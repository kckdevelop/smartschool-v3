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AFTAR SISWA 2025-2026\"/>
    </mc:Choice>
  </mc:AlternateContent>
  <xr:revisionPtr revIDLastSave="0" documentId="13_ncr:1_{D7498154-2654-4682-B1AD-D8D82EEC0E86}" xr6:coauthVersionLast="47" xr6:coauthVersionMax="47" xr10:uidLastSave="{00000000-0000-0000-0000-000000000000}"/>
  <bookViews>
    <workbookView xWindow="-120" yWindow="-120" windowWidth="24240" windowHeight="13020" tabRatio="896" activeTab="8" xr2:uid="{00000000-000D-0000-FFFF-FFFF00000000}"/>
  </bookViews>
  <sheets>
    <sheet name="TAV 1" sheetId="1" r:id="rId1"/>
    <sheet name="TPM 1" sheetId="2" r:id="rId2"/>
    <sheet name="TPM 2" sheetId="3" r:id="rId3"/>
    <sheet name="TKR 1" sheetId="4" r:id="rId4"/>
    <sheet name="TKR 2" sheetId="5" r:id="rId5"/>
    <sheet name="TKR 3" sheetId="6" r:id="rId6"/>
    <sheet name="TKR 4" sheetId="7" r:id="rId7"/>
    <sheet name="TKR 5" sheetId="8" r:id="rId8"/>
    <sheet name="TSM 1" sheetId="9" r:id="rId9"/>
    <sheet name="TSM 2" sheetId="10" r:id="rId10"/>
    <sheet name="TSM 3" sheetId="11" r:id="rId11"/>
    <sheet name="TSM 4" sheetId="12" r:id="rId12"/>
    <sheet name="RPL 1" sheetId="13" r:id="rId13"/>
    <sheet name="RPL 2" sheetId="14" r:id="rId14"/>
    <sheet name="stat" sheetId="16" r:id="rId15"/>
    <sheet name="Total" sheetId="17" r:id="rId16"/>
    <sheet name="alamat" sheetId="18" r:id="rId17"/>
    <sheet name="master" sheetId="19" r:id="rId18"/>
  </sheets>
  <definedNames>
    <definedName name="_xlnm._FilterDatabase" localSheetId="16" hidden="1">alamat!$B$1:$O$446</definedName>
    <definedName name="_xlnm.Print_Area" localSheetId="16">alamat!$D$432:$M$446</definedName>
    <definedName name="_xlnm.Print_Titles" localSheetId="16">alamat!$1:$1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3" roundtripDataChecksum="Z0D+asYu/Z+/9mkQxJHNv+8o//XYLLDvLNGmpOh7cm0="/>
    </ext>
  </extLst>
</workbook>
</file>

<file path=xl/calcChain.xml><?xml version="1.0" encoding="utf-8"?>
<calcChain xmlns="http://schemas.openxmlformats.org/spreadsheetml/2006/main">
  <c r="E107" i="18" l="1"/>
  <c r="F107" i="18"/>
  <c r="G107" i="18"/>
  <c r="H107" i="18"/>
  <c r="I107" i="18"/>
  <c r="J107" i="18"/>
  <c r="K107" i="18"/>
  <c r="L107" i="18"/>
  <c r="M107" i="18"/>
  <c r="N107" i="18"/>
  <c r="O107" i="18"/>
  <c r="E420" i="18" l="1"/>
  <c r="F420" i="18"/>
  <c r="G420" i="18"/>
  <c r="H420" i="18"/>
  <c r="I420" i="18"/>
  <c r="J420" i="18"/>
  <c r="K420" i="18"/>
  <c r="L420" i="18"/>
  <c r="M420" i="18"/>
  <c r="N420" i="18"/>
  <c r="O420" i="18"/>
  <c r="E9" i="18"/>
  <c r="F9" i="18"/>
  <c r="G9" i="18"/>
  <c r="H9" i="18"/>
  <c r="I9" i="18"/>
  <c r="J9" i="18"/>
  <c r="K9" i="18"/>
  <c r="L9" i="18"/>
  <c r="M9" i="18"/>
  <c r="N9" i="18"/>
  <c r="O9" i="18"/>
  <c r="E73" i="18" l="1"/>
  <c r="F73" i="18"/>
  <c r="G73" i="18"/>
  <c r="H73" i="18"/>
  <c r="I73" i="18"/>
  <c r="J73" i="18"/>
  <c r="K73" i="18"/>
  <c r="L73" i="18"/>
  <c r="M73" i="18"/>
  <c r="N73" i="18"/>
  <c r="O73" i="18"/>
  <c r="E69" i="18"/>
  <c r="F69" i="18"/>
  <c r="G69" i="18"/>
  <c r="H69" i="18"/>
  <c r="I69" i="18"/>
  <c r="J69" i="18"/>
  <c r="K69" i="18"/>
  <c r="L69" i="18"/>
  <c r="M69" i="18"/>
  <c r="N69" i="18"/>
  <c r="O69" i="18"/>
  <c r="C14" i="16" l="1"/>
  <c r="F68" i="18" l="1"/>
  <c r="F70" i="18"/>
  <c r="F71" i="18"/>
  <c r="F72" i="18"/>
  <c r="F74" i="18"/>
  <c r="F75" i="18"/>
  <c r="F76" i="18"/>
  <c r="F77" i="18"/>
  <c r="F78" i="18"/>
  <c r="F7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5" i="18"/>
  <c r="F296" i="18"/>
  <c r="F297" i="18"/>
  <c r="F298" i="18"/>
  <c r="F299" i="18"/>
  <c r="F80" i="18"/>
  <c r="F81" i="18"/>
  <c r="F82" i="18"/>
  <c r="F83" i="18"/>
  <c r="F84" i="18"/>
  <c r="F183" i="18"/>
  <c r="F85" i="18"/>
  <c r="F86" i="18"/>
  <c r="F87" i="18"/>
  <c r="F88" i="18"/>
  <c r="F89" i="18"/>
  <c r="F91" i="18"/>
  <c r="F92" i="18"/>
  <c r="F93" i="18"/>
  <c r="F94" i="18"/>
  <c r="F193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22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389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4" i="18"/>
  <c r="F185" i="18"/>
  <c r="F186" i="18"/>
  <c r="F187" i="18"/>
  <c r="F188" i="18"/>
  <c r="F189" i="18"/>
  <c r="F190" i="18"/>
  <c r="F191" i="18"/>
  <c r="F192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9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2" i="18"/>
  <c r="F3" i="18"/>
  <c r="F4" i="18"/>
  <c r="F5" i="18"/>
  <c r="F6" i="18"/>
  <c r="F7" i="18"/>
  <c r="F8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3" i="18"/>
  <c r="F24" i="18"/>
  <c r="F261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294" i="18"/>
  <c r="F58" i="18"/>
  <c r="F59" i="18"/>
  <c r="F60" i="18"/>
  <c r="F61" i="18"/>
  <c r="F62" i="18"/>
  <c r="F63" i="18"/>
  <c r="F64" i="18"/>
  <c r="F65" i="18"/>
  <c r="F66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67" i="18"/>
  <c r="O253" i="18"/>
  <c r="N253" i="18"/>
  <c r="M253" i="18"/>
  <c r="L253" i="18"/>
  <c r="K253" i="18"/>
  <c r="J253" i="18"/>
  <c r="I253" i="18"/>
  <c r="H253" i="18"/>
  <c r="G253" i="18"/>
  <c r="O446" i="18"/>
  <c r="N446" i="18"/>
  <c r="M446" i="18"/>
  <c r="L446" i="18"/>
  <c r="K446" i="18"/>
  <c r="J446" i="18"/>
  <c r="I446" i="18"/>
  <c r="H446" i="18"/>
  <c r="G446" i="18"/>
  <c r="O445" i="18"/>
  <c r="N445" i="18"/>
  <c r="M445" i="18"/>
  <c r="L445" i="18"/>
  <c r="K445" i="18"/>
  <c r="J445" i="18"/>
  <c r="I445" i="18"/>
  <c r="H445" i="18"/>
  <c r="G445" i="18"/>
  <c r="O444" i="18"/>
  <c r="N444" i="18"/>
  <c r="M444" i="18"/>
  <c r="L444" i="18"/>
  <c r="K444" i="18"/>
  <c r="J444" i="18"/>
  <c r="I444" i="18"/>
  <c r="H444" i="18"/>
  <c r="G444" i="18"/>
  <c r="O443" i="18"/>
  <c r="N443" i="18"/>
  <c r="M443" i="18"/>
  <c r="L443" i="18"/>
  <c r="K443" i="18"/>
  <c r="J443" i="18"/>
  <c r="I443" i="18"/>
  <c r="H443" i="18"/>
  <c r="G443" i="18"/>
  <c r="O442" i="18"/>
  <c r="N442" i="18"/>
  <c r="M442" i="18"/>
  <c r="L442" i="18"/>
  <c r="K442" i="18"/>
  <c r="J442" i="18"/>
  <c r="I442" i="18"/>
  <c r="H442" i="18"/>
  <c r="G442" i="18"/>
  <c r="O441" i="18"/>
  <c r="N441" i="18"/>
  <c r="M441" i="18"/>
  <c r="L441" i="18"/>
  <c r="K441" i="18"/>
  <c r="J441" i="18"/>
  <c r="I441" i="18"/>
  <c r="H441" i="18"/>
  <c r="G441" i="18"/>
  <c r="O440" i="18"/>
  <c r="N440" i="18"/>
  <c r="M440" i="18"/>
  <c r="L440" i="18"/>
  <c r="K440" i="18"/>
  <c r="J440" i="18"/>
  <c r="I440" i="18"/>
  <c r="H440" i="18"/>
  <c r="G440" i="18"/>
  <c r="O439" i="18"/>
  <c r="N439" i="18"/>
  <c r="M439" i="18"/>
  <c r="L439" i="18"/>
  <c r="K439" i="18"/>
  <c r="J439" i="18"/>
  <c r="I439" i="18"/>
  <c r="H439" i="18"/>
  <c r="G439" i="18"/>
  <c r="O438" i="18"/>
  <c r="N438" i="18"/>
  <c r="M438" i="18"/>
  <c r="L438" i="18"/>
  <c r="K438" i="18"/>
  <c r="J438" i="18"/>
  <c r="I438" i="18"/>
  <c r="H438" i="18"/>
  <c r="G438" i="18"/>
  <c r="O437" i="18"/>
  <c r="N437" i="18"/>
  <c r="M437" i="18"/>
  <c r="L437" i="18"/>
  <c r="K437" i="18"/>
  <c r="J437" i="18"/>
  <c r="I437" i="18"/>
  <c r="H437" i="18"/>
  <c r="G437" i="18"/>
  <c r="O436" i="18"/>
  <c r="N436" i="18"/>
  <c r="M436" i="18"/>
  <c r="L436" i="18"/>
  <c r="K436" i="18"/>
  <c r="J436" i="18"/>
  <c r="I436" i="18"/>
  <c r="H436" i="18"/>
  <c r="G436" i="18"/>
  <c r="O435" i="18"/>
  <c r="N435" i="18"/>
  <c r="M435" i="18"/>
  <c r="L435" i="18"/>
  <c r="K435" i="18"/>
  <c r="J435" i="18"/>
  <c r="I435" i="18"/>
  <c r="H435" i="18"/>
  <c r="G435" i="18"/>
  <c r="O434" i="18"/>
  <c r="N434" i="18"/>
  <c r="M434" i="18"/>
  <c r="L434" i="18"/>
  <c r="K434" i="18"/>
  <c r="J434" i="18"/>
  <c r="I434" i="18"/>
  <c r="H434" i="18"/>
  <c r="G434" i="18"/>
  <c r="O433" i="18"/>
  <c r="N433" i="18"/>
  <c r="M433" i="18"/>
  <c r="L433" i="18"/>
  <c r="K433" i="18"/>
  <c r="J433" i="18"/>
  <c r="I433" i="18"/>
  <c r="H433" i="18"/>
  <c r="G433" i="18"/>
  <c r="O66" i="18"/>
  <c r="N66" i="18"/>
  <c r="M66" i="18"/>
  <c r="L66" i="18"/>
  <c r="K66" i="18"/>
  <c r="J66" i="18"/>
  <c r="I66" i="18"/>
  <c r="H66" i="18"/>
  <c r="G66" i="18"/>
  <c r="O65" i="18"/>
  <c r="N65" i="18"/>
  <c r="M65" i="18"/>
  <c r="L65" i="18"/>
  <c r="K65" i="18"/>
  <c r="J65" i="18"/>
  <c r="I65" i="18"/>
  <c r="H65" i="18"/>
  <c r="G65" i="18"/>
  <c r="O64" i="18"/>
  <c r="N64" i="18"/>
  <c r="M64" i="18"/>
  <c r="L64" i="18"/>
  <c r="K64" i="18"/>
  <c r="J64" i="18"/>
  <c r="I64" i="18"/>
  <c r="H64" i="18"/>
  <c r="G64" i="18"/>
  <c r="O63" i="18"/>
  <c r="N63" i="18"/>
  <c r="M63" i="18"/>
  <c r="L63" i="18"/>
  <c r="K63" i="18"/>
  <c r="J63" i="18"/>
  <c r="I63" i="18"/>
  <c r="H63" i="18"/>
  <c r="G63" i="18"/>
  <c r="O62" i="18"/>
  <c r="N62" i="18"/>
  <c r="M62" i="18"/>
  <c r="L62" i="18"/>
  <c r="K62" i="18"/>
  <c r="J62" i="18"/>
  <c r="I62" i="18"/>
  <c r="H62" i="18"/>
  <c r="G62" i="18"/>
  <c r="O61" i="18"/>
  <c r="N61" i="18"/>
  <c r="M61" i="18"/>
  <c r="L61" i="18"/>
  <c r="K61" i="18"/>
  <c r="J61" i="18"/>
  <c r="I61" i="18"/>
  <c r="H61" i="18"/>
  <c r="G61" i="18"/>
  <c r="O60" i="18"/>
  <c r="N60" i="18"/>
  <c r="M60" i="18"/>
  <c r="L60" i="18"/>
  <c r="K60" i="18"/>
  <c r="J60" i="18"/>
  <c r="I60" i="18"/>
  <c r="H60" i="18"/>
  <c r="G60" i="18"/>
  <c r="O59" i="18"/>
  <c r="N59" i="18"/>
  <c r="M59" i="18"/>
  <c r="L59" i="18"/>
  <c r="K59" i="18"/>
  <c r="J59" i="18"/>
  <c r="I59" i="18"/>
  <c r="H59" i="18"/>
  <c r="G59" i="18"/>
  <c r="O58" i="18"/>
  <c r="N58" i="18"/>
  <c r="M58" i="18"/>
  <c r="L58" i="18"/>
  <c r="K58" i="18"/>
  <c r="J58" i="18"/>
  <c r="I58" i="18"/>
  <c r="H58" i="18"/>
  <c r="G58" i="18"/>
  <c r="O294" i="18"/>
  <c r="N294" i="18"/>
  <c r="M294" i="18"/>
  <c r="L294" i="18"/>
  <c r="K294" i="18"/>
  <c r="J294" i="18"/>
  <c r="I294" i="18"/>
  <c r="H294" i="18"/>
  <c r="G294" i="18"/>
  <c r="O57" i="18"/>
  <c r="N57" i="18"/>
  <c r="M57" i="18"/>
  <c r="L57" i="18"/>
  <c r="K57" i="18"/>
  <c r="J57" i="18"/>
  <c r="I57" i="18"/>
  <c r="H57" i="18"/>
  <c r="G57" i="18"/>
  <c r="O56" i="18"/>
  <c r="N56" i="18"/>
  <c r="M56" i="18"/>
  <c r="L56" i="18"/>
  <c r="K56" i="18"/>
  <c r="J56" i="18"/>
  <c r="I56" i="18"/>
  <c r="H56" i="18"/>
  <c r="G56" i="18"/>
  <c r="O55" i="18"/>
  <c r="N55" i="18"/>
  <c r="M55" i="18"/>
  <c r="L55" i="18"/>
  <c r="K55" i="18"/>
  <c r="J55" i="18"/>
  <c r="I55" i="18"/>
  <c r="H55" i="18"/>
  <c r="G55" i="18"/>
  <c r="O54" i="18"/>
  <c r="N54" i="18"/>
  <c r="M54" i="18"/>
  <c r="L54" i="18"/>
  <c r="K54" i="18"/>
  <c r="J54" i="18"/>
  <c r="I54" i="18"/>
  <c r="H54" i="18"/>
  <c r="G54" i="18"/>
  <c r="O53" i="18"/>
  <c r="N53" i="18"/>
  <c r="M53" i="18"/>
  <c r="L53" i="18"/>
  <c r="K53" i="18"/>
  <c r="J53" i="18"/>
  <c r="I53" i="18"/>
  <c r="H53" i="18"/>
  <c r="G53" i="18"/>
  <c r="O52" i="18"/>
  <c r="N52" i="18"/>
  <c r="M52" i="18"/>
  <c r="L52" i="18"/>
  <c r="K52" i="18"/>
  <c r="J52" i="18"/>
  <c r="I52" i="18"/>
  <c r="H52" i="18"/>
  <c r="G52" i="18"/>
  <c r="O51" i="18"/>
  <c r="N51" i="18"/>
  <c r="M51" i="18"/>
  <c r="L51" i="18"/>
  <c r="K51" i="18"/>
  <c r="J51" i="18"/>
  <c r="I51" i="18"/>
  <c r="H51" i="18"/>
  <c r="G51" i="18"/>
  <c r="O50" i="18"/>
  <c r="N50" i="18"/>
  <c r="M50" i="18"/>
  <c r="L50" i="18"/>
  <c r="K50" i="18"/>
  <c r="J50" i="18"/>
  <c r="I50" i="18"/>
  <c r="H50" i="18"/>
  <c r="G50" i="18"/>
  <c r="O49" i="18"/>
  <c r="N49" i="18"/>
  <c r="M49" i="18"/>
  <c r="L49" i="18"/>
  <c r="K49" i="18"/>
  <c r="J49" i="18"/>
  <c r="I49" i="18"/>
  <c r="H49" i="18"/>
  <c r="G49" i="18"/>
  <c r="O48" i="18"/>
  <c r="N48" i="18"/>
  <c r="M48" i="18"/>
  <c r="L48" i="18"/>
  <c r="K48" i="18"/>
  <c r="J48" i="18"/>
  <c r="I48" i="18"/>
  <c r="H48" i="18"/>
  <c r="G48" i="18"/>
  <c r="O47" i="18"/>
  <c r="N47" i="18"/>
  <c r="M47" i="18"/>
  <c r="L47" i="18"/>
  <c r="K47" i="18"/>
  <c r="J47" i="18"/>
  <c r="I47" i="18"/>
  <c r="H47" i="18"/>
  <c r="G47" i="18"/>
  <c r="O46" i="18"/>
  <c r="N46" i="18"/>
  <c r="M46" i="18"/>
  <c r="L46" i="18"/>
  <c r="K46" i="18"/>
  <c r="J46" i="18"/>
  <c r="I46" i="18"/>
  <c r="H46" i="18"/>
  <c r="G46" i="18"/>
  <c r="O45" i="18"/>
  <c r="N45" i="18"/>
  <c r="M45" i="18"/>
  <c r="L45" i="18"/>
  <c r="K45" i="18"/>
  <c r="J45" i="18"/>
  <c r="I45" i="18"/>
  <c r="H45" i="18"/>
  <c r="G45" i="18"/>
  <c r="O44" i="18"/>
  <c r="N44" i="18"/>
  <c r="M44" i="18"/>
  <c r="L44" i="18"/>
  <c r="K44" i="18"/>
  <c r="J44" i="18"/>
  <c r="I44" i="18"/>
  <c r="H44" i="18"/>
  <c r="G44" i="18"/>
  <c r="O43" i="18"/>
  <c r="N43" i="18"/>
  <c r="M43" i="18"/>
  <c r="L43" i="18"/>
  <c r="K43" i="18"/>
  <c r="J43" i="18"/>
  <c r="I43" i="18"/>
  <c r="H43" i="18"/>
  <c r="G43" i="18"/>
  <c r="O42" i="18"/>
  <c r="N42" i="18"/>
  <c r="M42" i="18"/>
  <c r="L42" i="18"/>
  <c r="K42" i="18"/>
  <c r="J42" i="18"/>
  <c r="I42" i="18"/>
  <c r="H42" i="18"/>
  <c r="G42" i="18"/>
  <c r="O41" i="18"/>
  <c r="N41" i="18"/>
  <c r="M41" i="18"/>
  <c r="L41" i="18"/>
  <c r="K41" i="18"/>
  <c r="J41" i="18"/>
  <c r="I41" i="18"/>
  <c r="H41" i="18"/>
  <c r="G41" i="18"/>
  <c r="O40" i="18"/>
  <c r="N40" i="18"/>
  <c r="M40" i="18"/>
  <c r="L40" i="18"/>
  <c r="K40" i="18"/>
  <c r="J40" i="18"/>
  <c r="I40" i="18"/>
  <c r="H40" i="18"/>
  <c r="G40" i="18"/>
  <c r="O39" i="18"/>
  <c r="N39" i="18"/>
  <c r="M39" i="18"/>
  <c r="L39" i="18"/>
  <c r="K39" i="18"/>
  <c r="J39" i="18"/>
  <c r="I39" i="18"/>
  <c r="H39" i="18"/>
  <c r="G39" i="18"/>
  <c r="O38" i="18"/>
  <c r="N38" i="18"/>
  <c r="M38" i="18"/>
  <c r="L38" i="18"/>
  <c r="K38" i="18"/>
  <c r="J38" i="18"/>
  <c r="I38" i="18"/>
  <c r="H38" i="18"/>
  <c r="G38" i="18"/>
  <c r="O37" i="18"/>
  <c r="N37" i="18"/>
  <c r="M37" i="18"/>
  <c r="L37" i="18"/>
  <c r="K37" i="18"/>
  <c r="J37" i="18"/>
  <c r="I37" i="18"/>
  <c r="H37" i="18"/>
  <c r="G37" i="18"/>
  <c r="O36" i="18"/>
  <c r="N36" i="18"/>
  <c r="M36" i="18"/>
  <c r="L36" i="18"/>
  <c r="K36" i="18"/>
  <c r="J36" i="18"/>
  <c r="I36" i="18"/>
  <c r="H36" i="18"/>
  <c r="G36" i="18"/>
  <c r="O35" i="18"/>
  <c r="N35" i="18"/>
  <c r="M35" i="18"/>
  <c r="L35" i="18"/>
  <c r="K35" i="18"/>
  <c r="J35" i="18"/>
  <c r="I35" i="18"/>
  <c r="H35" i="18"/>
  <c r="G35" i="18"/>
  <c r="O34" i="18"/>
  <c r="N34" i="18"/>
  <c r="M34" i="18"/>
  <c r="L34" i="18"/>
  <c r="K34" i="18"/>
  <c r="J34" i="18"/>
  <c r="I34" i="18"/>
  <c r="H34" i="18"/>
  <c r="G34" i="18"/>
  <c r="O33" i="18"/>
  <c r="N33" i="18"/>
  <c r="M33" i="18"/>
  <c r="L33" i="18"/>
  <c r="K33" i="18"/>
  <c r="J33" i="18"/>
  <c r="I33" i="18"/>
  <c r="H33" i="18"/>
  <c r="G33" i="18"/>
  <c r="O32" i="18"/>
  <c r="N32" i="18"/>
  <c r="M32" i="18"/>
  <c r="L32" i="18"/>
  <c r="K32" i="18"/>
  <c r="J32" i="18"/>
  <c r="I32" i="18"/>
  <c r="H32" i="18"/>
  <c r="G32" i="18"/>
  <c r="O31" i="18"/>
  <c r="N31" i="18"/>
  <c r="M31" i="18"/>
  <c r="L31" i="18"/>
  <c r="K31" i="18"/>
  <c r="J31" i="18"/>
  <c r="I31" i="18"/>
  <c r="H31" i="18"/>
  <c r="G31" i="18"/>
  <c r="O30" i="18"/>
  <c r="N30" i="18"/>
  <c r="M30" i="18"/>
  <c r="L30" i="18"/>
  <c r="K30" i="18"/>
  <c r="J30" i="18"/>
  <c r="I30" i="18"/>
  <c r="H30" i="18"/>
  <c r="G30" i="18"/>
  <c r="O29" i="18"/>
  <c r="N29" i="18"/>
  <c r="M29" i="18"/>
  <c r="L29" i="18"/>
  <c r="K29" i="18"/>
  <c r="J29" i="18"/>
  <c r="I29" i="18"/>
  <c r="H29" i="18"/>
  <c r="G29" i="18"/>
  <c r="O28" i="18"/>
  <c r="N28" i="18"/>
  <c r="M28" i="18"/>
  <c r="L28" i="18"/>
  <c r="K28" i="18"/>
  <c r="J28" i="18"/>
  <c r="I28" i="18"/>
  <c r="H28" i="18"/>
  <c r="G28" i="18"/>
  <c r="O27" i="18"/>
  <c r="N27" i="18"/>
  <c r="M27" i="18"/>
  <c r="L27" i="18"/>
  <c r="K27" i="18"/>
  <c r="J27" i="18"/>
  <c r="I27" i="18"/>
  <c r="H27" i="18"/>
  <c r="G27" i="18"/>
  <c r="O26" i="18"/>
  <c r="N26" i="18"/>
  <c r="M26" i="18"/>
  <c r="L26" i="18"/>
  <c r="K26" i="18"/>
  <c r="J26" i="18"/>
  <c r="I26" i="18"/>
  <c r="H26" i="18"/>
  <c r="G26" i="18"/>
  <c r="O25" i="18"/>
  <c r="N25" i="18"/>
  <c r="M25" i="18"/>
  <c r="L25" i="18"/>
  <c r="K25" i="18"/>
  <c r="J25" i="18"/>
  <c r="I25" i="18"/>
  <c r="H25" i="18"/>
  <c r="G25" i="18"/>
  <c r="O261" i="18"/>
  <c r="N261" i="18"/>
  <c r="M261" i="18"/>
  <c r="L261" i="18"/>
  <c r="K261" i="18"/>
  <c r="J261" i="18"/>
  <c r="I261" i="18"/>
  <c r="H261" i="18"/>
  <c r="G261" i="18"/>
  <c r="O24" i="18"/>
  <c r="N24" i="18"/>
  <c r="M24" i="18"/>
  <c r="L24" i="18"/>
  <c r="K24" i="18"/>
  <c r="J24" i="18"/>
  <c r="I24" i="18"/>
  <c r="H24" i="18"/>
  <c r="G24" i="18"/>
  <c r="O23" i="18"/>
  <c r="N23" i="18"/>
  <c r="M23" i="18"/>
  <c r="L23" i="18"/>
  <c r="K23" i="18"/>
  <c r="J23" i="18"/>
  <c r="I23" i="18"/>
  <c r="H23" i="18"/>
  <c r="G23" i="18"/>
  <c r="O21" i="18"/>
  <c r="N21" i="18"/>
  <c r="M21" i="18"/>
  <c r="L21" i="18"/>
  <c r="K21" i="18"/>
  <c r="J21" i="18"/>
  <c r="I21" i="18"/>
  <c r="H21" i="18"/>
  <c r="G21" i="18"/>
  <c r="O20" i="18"/>
  <c r="N20" i="18"/>
  <c r="M20" i="18"/>
  <c r="L20" i="18"/>
  <c r="K20" i="18"/>
  <c r="J20" i="18"/>
  <c r="I20" i="18"/>
  <c r="H20" i="18"/>
  <c r="G20" i="18"/>
  <c r="O19" i="18"/>
  <c r="N19" i="18"/>
  <c r="M19" i="18"/>
  <c r="L19" i="18"/>
  <c r="K19" i="18"/>
  <c r="J19" i="18"/>
  <c r="I19" i="18"/>
  <c r="H19" i="18"/>
  <c r="G19" i="18"/>
  <c r="O18" i="18"/>
  <c r="N18" i="18"/>
  <c r="M18" i="18"/>
  <c r="L18" i="18"/>
  <c r="K18" i="18"/>
  <c r="J18" i="18"/>
  <c r="I18" i="18"/>
  <c r="H18" i="18"/>
  <c r="G18" i="18"/>
  <c r="O17" i="18"/>
  <c r="N17" i="18"/>
  <c r="M17" i="18"/>
  <c r="L17" i="18"/>
  <c r="K17" i="18"/>
  <c r="J17" i="18"/>
  <c r="I17" i="18"/>
  <c r="H17" i="18"/>
  <c r="G17" i="18"/>
  <c r="O16" i="18"/>
  <c r="N16" i="18"/>
  <c r="M16" i="18"/>
  <c r="L16" i="18"/>
  <c r="K16" i="18"/>
  <c r="J16" i="18"/>
  <c r="I16" i="18"/>
  <c r="H16" i="18"/>
  <c r="G16" i="18"/>
  <c r="O15" i="18"/>
  <c r="N15" i="18"/>
  <c r="M15" i="18"/>
  <c r="L15" i="18"/>
  <c r="K15" i="18"/>
  <c r="J15" i="18"/>
  <c r="I15" i="18"/>
  <c r="H15" i="18"/>
  <c r="G15" i="18"/>
  <c r="O14" i="18"/>
  <c r="N14" i="18"/>
  <c r="M14" i="18"/>
  <c r="L14" i="18"/>
  <c r="K14" i="18"/>
  <c r="J14" i="18"/>
  <c r="I14" i="18"/>
  <c r="H14" i="18"/>
  <c r="G14" i="18"/>
  <c r="O13" i="18"/>
  <c r="N13" i="18"/>
  <c r="M13" i="18"/>
  <c r="L13" i="18"/>
  <c r="K13" i="18"/>
  <c r="J13" i="18"/>
  <c r="I13" i="18"/>
  <c r="H13" i="18"/>
  <c r="G13" i="18"/>
  <c r="O12" i="18"/>
  <c r="N12" i="18"/>
  <c r="M12" i="18"/>
  <c r="L12" i="18"/>
  <c r="K12" i="18"/>
  <c r="J12" i="18"/>
  <c r="I12" i="18"/>
  <c r="H12" i="18"/>
  <c r="G12" i="18"/>
  <c r="O11" i="18"/>
  <c r="N11" i="18"/>
  <c r="M11" i="18"/>
  <c r="L11" i="18"/>
  <c r="K11" i="18"/>
  <c r="J11" i="18"/>
  <c r="I11" i="18"/>
  <c r="H11" i="18"/>
  <c r="G11" i="18"/>
  <c r="O10" i="18"/>
  <c r="N10" i="18"/>
  <c r="M10" i="18"/>
  <c r="L10" i="18"/>
  <c r="K10" i="18"/>
  <c r="J10" i="18"/>
  <c r="I10" i="18"/>
  <c r="H10" i="18"/>
  <c r="G10" i="18"/>
  <c r="O8" i="18"/>
  <c r="N8" i="18"/>
  <c r="M8" i="18"/>
  <c r="L8" i="18"/>
  <c r="K8" i="18"/>
  <c r="J8" i="18"/>
  <c r="I8" i="18"/>
  <c r="H8" i="18"/>
  <c r="G8" i="18"/>
  <c r="O7" i="18"/>
  <c r="N7" i="18"/>
  <c r="M7" i="18"/>
  <c r="L7" i="18"/>
  <c r="K7" i="18"/>
  <c r="J7" i="18"/>
  <c r="I7" i="18"/>
  <c r="H7" i="18"/>
  <c r="G7" i="18"/>
  <c r="O6" i="18"/>
  <c r="N6" i="18"/>
  <c r="M6" i="18"/>
  <c r="L6" i="18"/>
  <c r="K6" i="18"/>
  <c r="J6" i="18"/>
  <c r="I6" i="18"/>
  <c r="H6" i="18"/>
  <c r="G6" i="18"/>
  <c r="O5" i="18"/>
  <c r="N5" i="18"/>
  <c r="M5" i="18"/>
  <c r="L5" i="18"/>
  <c r="K5" i="18"/>
  <c r="J5" i="18"/>
  <c r="I5" i="18"/>
  <c r="H5" i="18"/>
  <c r="G5" i="18"/>
  <c r="O4" i="18"/>
  <c r="N4" i="18"/>
  <c r="M4" i="18"/>
  <c r="L4" i="18"/>
  <c r="K4" i="18"/>
  <c r="J4" i="18"/>
  <c r="I4" i="18"/>
  <c r="H4" i="18"/>
  <c r="G4" i="18"/>
  <c r="O3" i="18"/>
  <c r="N3" i="18"/>
  <c r="M3" i="18"/>
  <c r="L3" i="18"/>
  <c r="K3" i="18"/>
  <c r="J3" i="18"/>
  <c r="I3" i="18"/>
  <c r="H3" i="18"/>
  <c r="G3" i="18"/>
  <c r="O2" i="18"/>
  <c r="N2" i="18"/>
  <c r="M2" i="18"/>
  <c r="L2" i="18"/>
  <c r="K2" i="18"/>
  <c r="J2" i="18"/>
  <c r="I2" i="18"/>
  <c r="H2" i="18"/>
  <c r="G2" i="18"/>
  <c r="O432" i="18"/>
  <c r="N432" i="18"/>
  <c r="M432" i="18"/>
  <c r="L432" i="18"/>
  <c r="K432" i="18"/>
  <c r="J432" i="18"/>
  <c r="I432" i="18"/>
  <c r="H432" i="18"/>
  <c r="G432" i="18"/>
  <c r="O431" i="18"/>
  <c r="N431" i="18"/>
  <c r="M431" i="18"/>
  <c r="L431" i="18"/>
  <c r="K431" i="18"/>
  <c r="J431" i="18"/>
  <c r="I431" i="18"/>
  <c r="H431" i="18"/>
  <c r="G431" i="18"/>
  <c r="O430" i="18"/>
  <c r="N430" i="18"/>
  <c r="M430" i="18"/>
  <c r="L430" i="18"/>
  <c r="K430" i="18"/>
  <c r="J430" i="18"/>
  <c r="I430" i="18"/>
  <c r="H430" i="18"/>
  <c r="G430" i="18"/>
  <c r="O429" i="18"/>
  <c r="N429" i="18"/>
  <c r="M429" i="18"/>
  <c r="L429" i="18"/>
  <c r="K429" i="18"/>
  <c r="J429" i="18"/>
  <c r="I429" i="18"/>
  <c r="H429" i="18"/>
  <c r="G429" i="18"/>
  <c r="O428" i="18"/>
  <c r="N428" i="18"/>
  <c r="M428" i="18"/>
  <c r="L428" i="18"/>
  <c r="K428" i="18"/>
  <c r="J428" i="18"/>
  <c r="I428" i="18"/>
  <c r="H428" i="18"/>
  <c r="G428" i="18"/>
  <c r="O427" i="18"/>
  <c r="N427" i="18"/>
  <c r="M427" i="18"/>
  <c r="L427" i="18"/>
  <c r="K427" i="18"/>
  <c r="J427" i="18"/>
  <c r="I427" i="18"/>
  <c r="H427" i="18"/>
  <c r="G427" i="18"/>
  <c r="O426" i="18"/>
  <c r="N426" i="18"/>
  <c r="M426" i="18"/>
  <c r="L426" i="18"/>
  <c r="K426" i="18"/>
  <c r="J426" i="18"/>
  <c r="I426" i="18"/>
  <c r="H426" i="18"/>
  <c r="G426" i="18"/>
  <c r="O425" i="18"/>
  <c r="N425" i="18"/>
  <c r="M425" i="18"/>
  <c r="L425" i="18"/>
  <c r="K425" i="18"/>
  <c r="J425" i="18"/>
  <c r="I425" i="18"/>
  <c r="H425" i="18"/>
  <c r="G425" i="18"/>
  <c r="O424" i="18"/>
  <c r="N424" i="18"/>
  <c r="M424" i="18"/>
  <c r="L424" i="18"/>
  <c r="K424" i="18"/>
  <c r="J424" i="18"/>
  <c r="I424" i="18"/>
  <c r="H424" i="18"/>
  <c r="G424" i="18"/>
  <c r="O423" i="18"/>
  <c r="N423" i="18"/>
  <c r="M423" i="18"/>
  <c r="L423" i="18"/>
  <c r="K423" i="18"/>
  <c r="J423" i="18"/>
  <c r="I423" i="18"/>
  <c r="H423" i="18"/>
  <c r="G423" i="18"/>
  <c r="O422" i="18"/>
  <c r="N422" i="18"/>
  <c r="M422" i="18"/>
  <c r="L422" i="18"/>
  <c r="K422" i="18"/>
  <c r="J422" i="18"/>
  <c r="I422" i="18"/>
  <c r="H422" i="18"/>
  <c r="G422" i="18"/>
  <c r="O421" i="18"/>
  <c r="N421" i="18"/>
  <c r="M421" i="18"/>
  <c r="L421" i="18"/>
  <c r="K421" i="18"/>
  <c r="J421" i="18"/>
  <c r="I421" i="18"/>
  <c r="H421" i="18"/>
  <c r="G421" i="18"/>
  <c r="O419" i="18"/>
  <c r="N419" i="18"/>
  <c r="M419" i="18"/>
  <c r="L419" i="18"/>
  <c r="K419" i="18"/>
  <c r="J419" i="18"/>
  <c r="I419" i="18"/>
  <c r="H419" i="18"/>
  <c r="G419" i="18"/>
  <c r="O418" i="18"/>
  <c r="N418" i="18"/>
  <c r="M418" i="18"/>
  <c r="L418" i="18"/>
  <c r="K418" i="18"/>
  <c r="J418" i="18"/>
  <c r="I418" i="18"/>
  <c r="H418" i="18"/>
  <c r="G418" i="18"/>
  <c r="O417" i="18"/>
  <c r="N417" i="18"/>
  <c r="M417" i="18"/>
  <c r="L417" i="18"/>
  <c r="K417" i="18"/>
  <c r="J417" i="18"/>
  <c r="I417" i="18"/>
  <c r="H417" i="18"/>
  <c r="G417" i="18"/>
  <c r="O416" i="18"/>
  <c r="N416" i="18"/>
  <c r="M416" i="18"/>
  <c r="L416" i="18"/>
  <c r="K416" i="18"/>
  <c r="J416" i="18"/>
  <c r="I416" i="18"/>
  <c r="H416" i="18"/>
  <c r="G416" i="18"/>
  <c r="O415" i="18"/>
  <c r="N415" i="18"/>
  <c r="M415" i="18"/>
  <c r="L415" i="18"/>
  <c r="K415" i="18"/>
  <c r="J415" i="18"/>
  <c r="I415" i="18"/>
  <c r="H415" i="18"/>
  <c r="G415" i="18"/>
  <c r="O414" i="18"/>
  <c r="N414" i="18"/>
  <c r="M414" i="18"/>
  <c r="L414" i="18"/>
  <c r="K414" i="18"/>
  <c r="J414" i="18"/>
  <c r="I414" i="18"/>
  <c r="H414" i="18"/>
  <c r="G414" i="18"/>
  <c r="O413" i="18"/>
  <c r="N413" i="18"/>
  <c r="M413" i="18"/>
  <c r="L413" i="18"/>
  <c r="K413" i="18"/>
  <c r="J413" i="18"/>
  <c r="I413" i="18"/>
  <c r="H413" i="18"/>
  <c r="G413" i="18"/>
  <c r="O412" i="18"/>
  <c r="N412" i="18"/>
  <c r="M412" i="18"/>
  <c r="L412" i="18"/>
  <c r="K412" i="18"/>
  <c r="J412" i="18"/>
  <c r="I412" i="18"/>
  <c r="H412" i="18"/>
  <c r="G412" i="18"/>
  <c r="O411" i="18"/>
  <c r="N411" i="18"/>
  <c r="M411" i="18"/>
  <c r="L411" i="18"/>
  <c r="K411" i="18"/>
  <c r="J411" i="18"/>
  <c r="I411" i="18"/>
  <c r="H411" i="18"/>
  <c r="G411" i="18"/>
  <c r="O410" i="18"/>
  <c r="N410" i="18"/>
  <c r="M410" i="18"/>
  <c r="L410" i="18"/>
  <c r="K410" i="18"/>
  <c r="J410" i="18"/>
  <c r="I410" i="18"/>
  <c r="H410" i="18"/>
  <c r="G410" i="18"/>
  <c r="O409" i="18"/>
  <c r="N409" i="18"/>
  <c r="M409" i="18"/>
  <c r="L409" i="18"/>
  <c r="K409" i="18"/>
  <c r="J409" i="18"/>
  <c r="I409" i="18"/>
  <c r="H409" i="18"/>
  <c r="G409" i="18"/>
  <c r="O408" i="18"/>
  <c r="N408" i="18"/>
  <c r="M408" i="18"/>
  <c r="L408" i="18"/>
  <c r="K408" i="18"/>
  <c r="J408" i="18"/>
  <c r="I408" i="18"/>
  <c r="H408" i="18"/>
  <c r="G408" i="18"/>
  <c r="O407" i="18"/>
  <c r="N407" i="18"/>
  <c r="M407" i="18"/>
  <c r="L407" i="18"/>
  <c r="K407" i="18"/>
  <c r="J407" i="18"/>
  <c r="I407" i="18"/>
  <c r="H407" i="18"/>
  <c r="G407" i="18"/>
  <c r="O406" i="18"/>
  <c r="N406" i="18"/>
  <c r="M406" i="18"/>
  <c r="L406" i="18"/>
  <c r="K406" i="18"/>
  <c r="J406" i="18"/>
  <c r="I406" i="18"/>
  <c r="H406" i="18"/>
  <c r="G406" i="18"/>
  <c r="O405" i="18"/>
  <c r="N405" i="18"/>
  <c r="M405" i="18"/>
  <c r="L405" i="18"/>
  <c r="K405" i="18"/>
  <c r="J405" i="18"/>
  <c r="I405" i="18"/>
  <c r="H405" i="18"/>
  <c r="G405" i="18"/>
  <c r="O404" i="18"/>
  <c r="N404" i="18"/>
  <c r="M404" i="18"/>
  <c r="L404" i="18"/>
  <c r="K404" i="18"/>
  <c r="J404" i="18"/>
  <c r="I404" i="18"/>
  <c r="H404" i="18"/>
  <c r="G404" i="18"/>
  <c r="O403" i="18"/>
  <c r="N403" i="18"/>
  <c r="M403" i="18"/>
  <c r="L403" i="18"/>
  <c r="K403" i="18"/>
  <c r="J403" i="18"/>
  <c r="I403" i="18"/>
  <c r="H403" i="18"/>
  <c r="G403" i="18"/>
  <c r="O402" i="18"/>
  <c r="N402" i="18"/>
  <c r="M402" i="18"/>
  <c r="L402" i="18"/>
  <c r="K402" i="18"/>
  <c r="J402" i="18"/>
  <c r="I402" i="18"/>
  <c r="H402" i="18"/>
  <c r="G402" i="18"/>
  <c r="O401" i="18"/>
  <c r="N401" i="18"/>
  <c r="M401" i="18"/>
  <c r="L401" i="18"/>
  <c r="K401" i="18"/>
  <c r="J401" i="18"/>
  <c r="I401" i="18"/>
  <c r="H401" i="18"/>
  <c r="G401" i="18"/>
  <c r="O400" i="18"/>
  <c r="N400" i="18"/>
  <c r="M400" i="18"/>
  <c r="L400" i="18"/>
  <c r="K400" i="18"/>
  <c r="J400" i="18"/>
  <c r="I400" i="18"/>
  <c r="H400" i="18"/>
  <c r="G400" i="18"/>
  <c r="O399" i="18"/>
  <c r="N399" i="18"/>
  <c r="M399" i="18"/>
  <c r="L399" i="18"/>
  <c r="K399" i="18"/>
  <c r="J399" i="18"/>
  <c r="I399" i="18"/>
  <c r="H399" i="18"/>
  <c r="G399" i="18"/>
  <c r="O398" i="18"/>
  <c r="N398" i="18"/>
  <c r="M398" i="18"/>
  <c r="L398" i="18"/>
  <c r="K398" i="18"/>
  <c r="J398" i="18"/>
  <c r="I398" i="18"/>
  <c r="H398" i="18"/>
  <c r="G398" i="18"/>
  <c r="O397" i="18"/>
  <c r="N397" i="18"/>
  <c r="M397" i="18"/>
  <c r="L397" i="18"/>
  <c r="K397" i="18"/>
  <c r="J397" i="18"/>
  <c r="I397" i="18"/>
  <c r="H397" i="18"/>
  <c r="G397" i="18"/>
  <c r="O396" i="18"/>
  <c r="N396" i="18"/>
  <c r="M396" i="18"/>
  <c r="L396" i="18"/>
  <c r="K396" i="18"/>
  <c r="J396" i="18"/>
  <c r="I396" i="18"/>
  <c r="H396" i="18"/>
  <c r="G396" i="18"/>
  <c r="O395" i="18"/>
  <c r="N395" i="18"/>
  <c r="M395" i="18"/>
  <c r="L395" i="18"/>
  <c r="K395" i="18"/>
  <c r="J395" i="18"/>
  <c r="I395" i="18"/>
  <c r="H395" i="18"/>
  <c r="G395" i="18"/>
  <c r="O394" i="18"/>
  <c r="N394" i="18"/>
  <c r="M394" i="18"/>
  <c r="L394" i="18"/>
  <c r="K394" i="18"/>
  <c r="J394" i="18"/>
  <c r="I394" i="18"/>
  <c r="H394" i="18"/>
  <c r="G394" i="18"/>
  <c r="O393" i="18"/>
  <c r="N393" i="18"/>
  <c r="M393" i="18"/>
  <c r="L393" i="18"/>
  <c r="K393" i="18"/>
  <c r="J393" i="18"/>
  <c r="I393" i="18"/>
  <c r="H393" i="18"/>
  <c r="G393" i="18"/>
  <c r="O392" i="18"/>
  <c r="N392" i="18"/>
  <c r="M392" i="18"/>
  <c r="L392" i="18"/>
  <c r="K392" i="18"/>
  <c r="J392" i="18"/>
  <c r="I392" i="18"/>
  <c r="H392" i="18"/>
  <c r="G392" i="18"/>
  <c r="O391" i="18"/>
  <c r="N391" i="18"/>
  <c r="M391" i="18"/>
  <c r="L391" i="18"/>
  <c r="K391" i="18"/>
  <c r="J391" i="18"/>
  <c r="I391" i="18"/>
  <c r="H391" i="18"/>
  <c r="G391" i="18"/>
  <c r="O390" i="18"/>
  <c r="N390" i="18"/>
  <c r="M390" i="18"/>
  <c r="L390" i="18"/>
  <c r="K390" i="18"/>
  <c r="J390" i="18"/>
  <c r="I390" i="18"/>
  <c r="H390" i="18"/>
  <c r="G390" i="18"/>
  <c r="O388" i="18"/>
  <c r="N388" i="18"/>
  <c r="M388" i="18"/>
  <c r="L388" i="18"/>
  <c r="K388" i="18"/>
  <c r="J388" i="18"/>
  <c r="I388" i="18"/>
  <c r="H388" i="18"/>
  <c r="G388" i="18"/>
  <c r="O387" i="18"/>
  <c r="N387" i="18"/>
  <c r="M387" i="18"/>
  <c r="L387" i="18"/>
  <c r="K387" i="18"/>
  <c r="J387" i="18"/>
  <c r="I387" i="18"/>
  <c r="H387" i="18"/>
  <c r="G387" i="18"/>
  <c r="O386" i="18"/>
  <c r="N386" i="18"/>
  <c r="M386" i="18"/>
  <c r="L386" i="18"/>
  <c r="K386" i="18"/>
  <c r="J386" i="18"/>
  <c r="I386" i="18"/>
  <c r="H386" i="18"/>
  <c r="G386" i="18"/>
  <c r="O385" i="18"/>
  <c r="N385" i="18"/>
  <c r="M385" i="18"/>
  <c r="L385" i="18"/>
  <c r="K385" i="18"/>
  <c r="J385" i="18"/>
  <c r="I385" i="18"/>
  <c r="H385" i="18"/>
  <c r="G385" i="18"/>
  <c r="O384" i="18"/>
  <c r="N384" i="18"/>
  <c r="M384" i="18"/>
  <c r="L384" i="18"/>
  <c r="K384" i="18"/>
  <c r="J384" i="18"/>
  <c r="I384" i="18"/>
  <c r="H384" i="18"/>
  <c r="G384" i="18"/>
  <c r="O383" i="18"/>
  <c r="N383" i="18"/>
  <c r="M383" i="18"/>
  <c r="L383" i="18"/>
  <c r="K383" i="18"/>
  <c r="J383" i="18"/>
  <c r="I383" i="18"/>
  <c r="H383" i="18"/>
  <c r="G383" i="18"/>
  <c r="O382" i="18"/>
  <c r="N382" i="18"/>
  <c r="M382" i="18"/>
  <c r="L382" i="18"/>
  <c r="K382" i="18"/>
  <c r="J382" i="18"/>
  <c r="I382" i="18"/>
  <c r="H382" i="18"/>
  <c r="G382" i="18"/>
  <c r="O381" i="18"/>
  <c r="N381" i="18"/>
  <c r="M381" i="18"/>
  <c r="L381" i="18"/>
  <c r="K381" i="18"/>
  <c r="J381" i="18"/>
  <c r="I381" i="18"/>
  <c r="H381" i="18"/>
  <c r="G381" i="18"/>
  <c r="O380" i="18"/>
  <c r="N380" i="18"/>
  <c r="M380" i="18"/>
  <c r="L380" i="18"/>
  <c r="K380" i="18"/>
  <c r="J380" i="18"/>
  <c r="I380" i="18"/>
  <c r="H380" i="18"/>
  <c r="G380" i="18"/>
  <c r="O379" i="18"/>
  <c r="N379" i="18"/>
  <c r="M379" i="18"/>
  <c r="L379" i="18"/>
  <c r="K379" i="18"/>
  <c r="J379" i="18"/>
  <c r="I379" i="18"/>
  <c r="H379" i="18"/>
  <c r="G379" i="18"/>
  <c r="O378" i="18"/>
  <c r="N378" i="18"/>
  <c r="M378" i="18"/>
  <c r="L378" i="18"/>
  <c r="K378" i="18"/>
  <c r="J378" i="18"/>
  <c r="I378" i="18"/>
  <c r="H378" i="18"/>
  <c r="G378" i="18"/>
  <c r="O377" i="18"/>
  <c r="N377" i="18"/>
  <c r="M377" i="18"/>
  <c r="L377" i="18"/>
  <c r="K377" i="18"/>
  <c r="J377" i="18"/>
  <c r="I377" i="18"/>
  <c r="H377" i="18"/>
  <c r="G377" i="18"/>
  <c r="O376" i="18"/>
  <c r="N376" i="18"/>
  <c r="M376" i="18"/>
  <c r="L376" i="18"/>
  <c r="K376" i="18"/>
  <c r="J376" i="18"/>
  <c r="I376" i="18"/>
  <c r="H376" i="18"/>
  <c r="G376" i="18"/>
  <c r="O375" i="18"/>
  <c r="N375" i="18"/>
  <c r="M375" i="18"/>
  <c r="L375" i="18"/>
  <c r="K375" i="18"/>
  <c r="J375" i="18"/>
  <c r="I375" i="18"/>
  <c r="H375" i="18"/>
  <c r="G375" i="18"/>
  <c r="O374" i="18"/>
  <c r="N374" i="18"/>
  <c r="M374" i="18"/>
  <c r="L374" i="18"/>
  <c r="K374" i="18"/>
  <c r="J374" i="18"/>
  <c r="I374" i="18"/>
  <c r="H374" i="18"/>
  <c r="G374" i="18"/>
  <c r="O373" i="18"/>
  <c r="N373" i="18"/>
  <c r="M373" i="18"/>
  <c r="L373" i="18"/>
  <c r="K373" i="18"/>
  <c r="J373" i="18"/>
  <c r="I373" i="18"/>
  <c r="H373" i="18"/>
  <c r="G373" i="18"/>
  <c r="O372" i="18"/>
  <c r="N372" i="18"/>
  <c r="M372" i="18"/>
  <c r="L372" i="18"/>
  <c r="K372" i="18"/>
  <c r="J372" i="18"/>
  <c r="I372" i="18"/>
  <c r="H372" i="18"/>
  <c r="G372" i="18"/>
  <c r="O371" i="18"/>
  <c r="N371" i="18"/>
  <c r="M371" i="18"/>
  <c r="L371" i="18"/>
  <c r="K371" i="18"/>
  <c r="J371" i="18"/>
  <c r="I371" i="18"/>
  <c r="H371" i="18"/>
  <c r="G371" i="18"/>
  <c r="O370" i="18"/>
  <c r="N370" i="18"/>
  <c r="M370" i="18"/>
  <c r="L370" i="18"/>
  <c r="K370" i="18"/>
  <c r="J370" i="18"/>
  <c r="I370" i="18"/>
  <c r="H370" i="18"/>
  <c r="G370" i="18"/>
  <c r="O369" i="18"/>
  <c r="N369" i="18"/>
  <c r="M369" i="18"/>
  <c r="L369" i="18"/>
  <c r="K369" i="18"/>
  <c r="J369" i="18"/>
  <c r="I369" i="18"/>
  <c r="H369" i="18"/>
  <c r="G369" i="18"/>
  <c r="O368" i="18"/>
  <c r="N368" i="18"/>
  <c r="M368" i="18"/>
  <c r="L368" i="18"/>
  <c r="K368" i="18"/>
  <c r="J368" i="18"/>
  <c r="I368" i="18"/>
  <c r="H368" i="18"/>
  <c r="G368" i="18"/>
  <c r="O367" i="18"/>
  <c r="N367" i="18"/>
  <c r="M367" i="18"/>
  <c r="L367" i="18"/>
  <c r="K367" i="18"/>
  <c r="J367" i="18"/>
  <c r="I367" i="18"/>
  <c r="H367" i="18"/>
  <c r="G367" i="18"/>
  <c r="O366" i="18"/>
  <c r="N366" i="18"/>
  <c r="M366" i="18"/>
  <c r="L366" i="18"/>
  <c r="K366" i="18"/>
  <c r="J366" i="18"/>
  <c r="I366" i="18"/>
  <c r="H366" i="18"/>
  <c r="G366" i="18"/>
  <c r="O365" i="18"/>
  <c r="N365" i="18"/>
  <c r="M365" i="18"/>
  <c r="L365" i="18"/>
  <c r="K365" i="18"/>
  <c r="J365" i="18"/>
  <c r="I365" i="18"/>
  <c r="H365" i="18"/>
  <c r="G365" i="18"/>
  <c r="O364" i="18"/>
  <c r="N364" i="18"/>
  <c r="M364" i="18"/>
  <c r="L364" i="18"/>
  <c r="K364" i="18"/>
  <c r="J364" i="18"/>
  <c r="I364" i="18"/>
  <c r="H364" i="18"/>
  <c r="G364" i="18"/>
  <c r="O363" i="18"/>
  <c r="N363" i="18"/>
  <c r="M363" i="18"/>
  <c r="L363" i="18"/>
  <c r="K363" i="18"/>
  <c r="J363" i="18"/>
  <c r="I363" i="18"/>
  <c r="H363" i="18"/>
  <c r="G363" i="18"/>
  <c r="O362" i="18"/>
  <c r="N362" i="18"/>
  <c r="M362" i="18"/>
  <c r="L362" i="18"/>
  <c r="K362" i="18"/>
  <c r="J362" i="18"/>
  <c r="I362" i="18"/>
  <c r="H362" i="18"/>
  <c r="G362" i="18"/>
  <c r="O361" i="18"/>
  <c r="N361" i="18"/>
  <c r="M361" i="18"/>
  <c r="L361" i="18"/>
  <c r="K361" i="18"/>
  <c r="J361" i="18"/>
  <c r="I361" i="18"/>
  <c r="H361" i="18"/>
  <c r="G361" i="18"/>
  <c r="O360" i="18"/>
  <c r="N360" i="18"/>
  <c r="M360" i="18"/>
  <c r="L360" i="18"/>
  <c r="K360" i="18"/>
  <c r="J360" i="18"/>
  <c r="I360" i="18"/>
  <c r="H360" i="18"/>
  <c r="G360" i="18"/>
  <c r="O359" i="18"/>
  <c r="N359" i="18"/>
  <c r="M359" i="18"/>
  <c r="L359" i="18"/>
  <c r="K359" i="18"/>
  <c r="J359" i="18"/>
  <c r="I359" i="18"/>
  <c r="H359" i="18"/>
  <c r="G359" i="18"/>
  <c r="O358" i="18"/>
  <c r="N358" i="18"/>
  <c r="M358" i="18"/>
  <c r="L358" i="18"/>
  <c r="K358" i="18"/>
  <c r="J358" i="18"/>
  <c r="I358" i="18"/>
  <c r="H358" i="18"/>
  <c r="G358" i="18"/>
  <c r="O357" i="18"/>
  <c r="N357" i="18"/>
  <c r="M357" i="18"/>
  <c r="L357" i="18"/>
  <c r="K357" i="18"/>
  <c r="J357" i="18"/>
  <c r="I357" i="18"/>
  <c r="H357" i="18"/>
  <c r="G357" i="18"/>
  <c r="O356" i="18"/>
  <c r="N356" i="18"/>
  <c r="M356" i="18"/>
  <c r="L356" i="18"/>
  <c r="K356" i="18"/>
  <c r="J356" i="18"/>
  <c r="I356" i="18"/>
  <c r="H356" i="18"/>
  <c r="G356" i="18"/>
  <c r="O355" i="18"/>
  <c r="N355" i="18"/>
  <c r="M355" i="18"/>
  <c r="L355" i="18"/>
  <c r="K355" i="18"/>
  <c r="J355" i="18"/>
  <c r="I355" i="18"/>
  <c r="H355" i="18"/>
  <c r="G355" i="18"/>
  <c r="O354" i="18"/>
  <c r="N354" i="18"/>
  <c r="M354" i="18"/>
  <c r="L354" i="18"/>
  <c r="K354" i="18"/>
  <c r="J354" i="18"/>
  <c r="I354" i="18"/>
  <c r="H354" i="18"/>
  <c r="G354" i="18"/>
  <c r="O353" i="18"/>
  <c r="N353" i="18"/>
  <c r="M353" i="18"/>
  <c r="L353" i="18"/>
  <c r="K353" i="18"/>
  <c r="J353" i="18"/>
  <c r="I353" i="18"/>
  <c r="H353" i="18"/>
  <c r="G353" i="18"/>
  <c r="O352" i="18"/>
  <c r="N352" i="18"/>
  <c r="M352" i="18"/>
  <c r="L352" i="18"/>
  <c r="K352" i="18"/>
  <c r="J352" i="18"/>
  <c r="I352" i="18"/>
  <c r="H352" i="18"/>
  <c r="G352" i="18"/>
  <c r="O351" i="18"/>
  <c r="N351" i="18"/>
  <c r="M351" i="18"/>
  <c r="L351" i="18"/>
  <c r="K351" i="18"/>
  <c r="J351" i="18"/>
  <c r="I351" i="18"/>
  <c r="H351" i="18"/>
  <c r="G351" i="18"/>
  <c r="O350" i="18"/>
  <c r="N350" i="18"/>
  <c r="M350" i="18"/>
  <c r="L350" i="18"/>
  <c r="K350" i="18"/>
  <c r="J350" i="18"/>
  <c r="I350" i="18"/>
  <c r="H350" i="18"/>
  <c r="G350" i="18"/>
  <c r="O349" i="18"/>
  <c r="N349" i="18"/>
  <c r="M349" i="18"/>
  <c r="L349" i="18"/>
  <c r="K349" i="18"/>
  <c r="J349" i="18"/>
  <c r="I349" i="18"/>
  <c r="H349" i="18"/>
  <c r="G349" i="18"/>
  <c r="O348" i="18"/>
  <c r="N348" i="18"/>
  <c r="M348" i="18"/>
  <c r="L348" i="18"/>
  <c r="K348" i="18"/>
  <c r="J348" i="18"/>
  <c r="I348" i="18"/>
  <c r="H348" i="18"/>
  <c r="G348" i="18"/>
  <c r="O347" i="18"/>
  <c r="N347" i="18"/>
  <c r="M347" i="18"/>
  <c r="L347" i="18"/>
  <c r="K347" i="18"/>
  <c r="J347" i="18"/>
  <c r="I347" i="18"/>
  <c r="H347" i="18"/>
  <c r="G347" i="18"/>
  <c r="O346" i="18"/>
  <c r="N346" i="18"/>
  <c r="M346" i="18"/>
  <c r="L346" i="18"/>
  <c r="K346" i="18"/>
  <c r="J346" i="18"/>
  <c r="I346" i="18"/>
  <c r="H346" i="18"/>
  <c r="G346" i="18"/>
  <c r="O345" i="18"/>
  <c r="N345" i="18"/>
  <c r="M345" i="18"/>
  <c r="L345" i="18"/>
  <c r="K345" i="18"/>
  <c r="J345" i="18"/>
  <c r="I345" i="18"/>
  <c r="H345" i="18"/>
  <c r="G345" i="18"/>
  <c r="O344" i="18"/>
  <c r="N344" i="18"/>
  <c r="M344" i="18"/>
  <c r="L344" i="18"/>
  <c r="K344" i="18"/>
  <c r="J344" i="18"/>
  <c r="I344" i="18"/>
  <c r="H344" i="18"/>
  <c r="G344" i="18"/>
  <c r="O343" i="18"/>
  <c r="N343" i="18"/>
  <c r="M343" i="18"/>
  <c r="L343" i="18"/>
  <c r="K343" i="18"/>
  <c r="J343" i="18"/>
  <c r="I343" i="18"/>
  <c r="H343" i="18"/>
  <c r="G343" i="18"/>
  <c r="O342" i="18"/>
  <c r="N342" i="18"/>
  <c r="M342" i="18"/>
  <c r="L342" i="18"/>
  <c r="K342" i="18"/>
  <c r="J342" i="18"/>
  <c r="I342" i="18"/>
  <c r="H342" i="18"/>
  <c r="G342" i="18"/>
  <c r="O341" i="18"/>
  <c r="N341" i="18"/>
  <c r="M341" i="18"/>
  <c r="L341" i="18"/>
  <c r="K341" i="18"/>
  <c r="J341" i="18"/>
  <c r="I341" i="18"/>
  <c r="H341" i="18"/>
  <c r="G341" i="18"/>
  <c r="O340" i="18"/>
  <c r="N340" i="18"/>
  <c r="M340" i="18"/>
  <c r="L340" i="18"/>
  <c r="K340" i="18"/>
  <c r="J340" i="18"/>
  <c r="I340" i="18"/>
  <c r="H340" i="18"/>
  <c r="G340" i="18"/>
  <c r="O339" i="18"/>
  <c r="N339" i="18"/>
  <c r="M339" i="18"/>
  <c r="L339" i="18"/>
  <c r="K339" i="18"/>
  <c r="J339" i="18"/>
  <c r="I339" i="18"/>
  <c r="H339" i="18"/>
  <c r="G339" i="18"/>
  <c r="O338" i="18"/>
  <c r="N338" i="18"/>
  <c r="M338" i="18"/>
  <c r="L338" i="18"/>
  <c r="K338" i="18"/>
  <c r="J338" i="18"/>
  <c r="I338" i="18"/>
  <c r="H338" i="18"/>
  <c r="G338" i="18"/>
  <c r="O337" i="18"/>
  <c r="N337" i="18"/>
  <c r="M337" i="18"/>
  <c r="L337" i="18"/>
  <c r="K337" i="18"/>
  <c r="J337" i="18"/>
  <c r="I337" i="18"/>
  <c r="H337" i="18"/>
  <c r="G337" i="18"/>
  <c r="O336" i="18"/>
  <c r="N336" i="18"/>
  <c r="M336" i="18"/>
  <c r="L336" i="18"/>
  <c r="K336" i="18"/>
  <c r="J336" i="18"/>
  <c r="I336" i="18"/>
  <c r="H336" i="18"/>
  <c r="G336" i="18"/>
  <c r="O335" i="18"/>
  <c r="N335" i="18"/>
  <c r="M335" i="18"/>
  <c r="L335" i="18"/>
  <c r="K335" i="18"/>
  <c r="J335" i="18"/>
  <c r="I335" i="18"/>
  <c r="H335" i="18"/>
  <c r="G335" i="18"/>
  <c r="O334" i="18"/>
  <c r="N334" i="18"/>
  <c r="M334" i="18"/>
  <c r="L334" i="18"/>
  <c r="K334" i="18"/>
  <c r="J334" i="18"/>
  <c r="I334" i="18"/>
  <c r="H334" i="18"/>
  <c r="G334" i="18"/>
  <c r="O333" i="18"/>
  <c r="N333" i="18"/>
  <c r="M333" i="18"/>
  <c r="L333" i="18"/>
  <c r="K333" i="18"/>
  <c r="J333" i="18"/>
  <c r="I333" i="18"/>
  <c r="H333" i="18"/>
  <c r="G333" i="18"/>
  <c r="O332" i="18"/>
  <c r="N332" i="18"/>
  <c r="M332" i="18"/>
  <c r="L332" i="18"/>
  <c r="K332" i="18"/>
  <c r="J332" i="18"/>
  <c r="I332" i="18"/>
  <c r="H332" i="18"/>
  <c r="G332" i="18"/>
  <c r="O331" i="18"/>
  <c r="N331" i="18"/>
  <c r="M331" i="18"/>
  <c r="L331" i="18"/>
  <c r="K331" i="18"/>
  <c r="J331" i="18"/>
  <c r="I331" i="18"/>
  <c r="H331" i="18"/>
  <c r="G331" i="18"/>
  <c r="O330" i="18"/>
  <c r="N330" i="18"/>
  <c r="M330" i="18"/>
  <c r="L330" i="18"/>
  <c r="K330" i="18"/>
  <c r="J330" i="18"/>
  <c r="I330" i="18"/>
  <c r="H330" i="18"/>
  <c r="G330" i="18"/>
  <c r="O329" i="18"/>
  <c r="N329" i="18"/>
  <c r="M329" i="18"/>
  <c r="L329" i="18"/>
  <c r="K329" i="18"/>
  <c r="J329" i="18"/>
  <c r="I329" i="18"/>
  <c r="H329" i="18"/>
  <c r="G329" i="18"/>
  <c r="O328" i="18"/>
  <c r="N328" i="18"/>
  <c r="M328" i="18"/>
  <c r="L328" i="18"/>
  <c r="K328" i="18"/>
  <c r="J328" i="18"/>
  <c r="I328" i="18"/>
  <c r="H328" i="18"/>
  <c r="G328" i="18"/>
  <c r="O327" i="18"/>
  <c r="N327" i="18"/>
  <c r="M327" i="18"/>
  <c r="L327" i="18"/>
  <c r="K327" i="18"/>
  <c r="J327" i="18"/>
  <c r="I327" i="18"/>
  <c r="H327" i="18"/>
  <c r="G327" i="18"/>
  <c r="O326" i="18"/>
  <c r="N326" i="18"/>
  <c r="M326" i="18"/>
  <c r="L326" i="18"/>
  <c r="K326" i="18"/>
  <c r="J326" i="18"/>
  <c r="I326" i="18"/>
  <c r="H326" i="18"/>
  <c r="G326" i="18"/>
  <c r="O325" i="18"/>
  <c r="N325" i="18"/>
  <c r="M325" i="18"/>
  <c r="L325" i="18"/>
  <c r="K325" i="18"/>
  <c r="J325" i="18"/>
  <c r="I325" i="18"/>
  <c r="H325" i="18"/>
  <c r="G325" i="18"/>
  <c r="O324" i="18"/>
  <c r="N324" i="18"/>
  <c r="M324" i="18"/>
  <c r="L324" i="18"/>
  <c r="K324" i="18"/>
  <c r="J324" i="18"/>
  <c r="I324" i="18"/>
  <c r="H324" i="18"/>
  <c r="G324" i="18"/>
  <c r="O323" i="18"/>
  <c r="N323" i="18"/>
  <c r="M323" i="18"/>
  <c r="L323" i="18"/>
  <c r="K323" i="18"/>
  <c r="J323" i="18"/>
  <c r="I323" i="18"/>
  <c r="H323" i="18"/>
  <c r="G323" i="18"/>
  <c r="O322" i="18"/>
  <c r="N322" i="18"/>
  <c r="M322" i="18"/>
  <c r="L322" i="18"/>
  <c r="K322" i="18"/>
  <c r="J322" i="18"/>
  <c r="I322" i="18"/>
  <c r="H322" i="18"/>
  <c r="G322" i="18"/>
  <c r="O321" i="18"/>
  <c r="N321" i="18"/>
  <c r="M321" i="18"/>
  <c r="L321" i="18"/>
  <c r="K321" i="18"/>
  <c r="J321" i="18"/>
  <c r="I321" i="18"/>
  <c r="H321" i="18"/>
  <c r="G321" i="18"/>
  <c r="O320" i="18"/>
  <c r="N320" i="18"/>
  <c r="M320" i="18"/>
  <c r="L320" i="18"/>
  <c r="K320" i="18"/>
  <c r="J320" i="18"/>
  <c r="I320" i="18"/>
  <c r="H320" i="18"/>
  <c r="G320" i="18"/>
  <c r="O319" i="18"/>
  <c r="N319" i="18"/>
  <c r="M319" i="18"/>
  <c r="L319" i="18"/>
  <c r="K319" i="18"/>
  <c r="J319" i="18"/>
  <c r="I319" i="18"/>
  <c r="H319" i="18"/>
  <c r="G319" i="18"/>
  <c r="O318" i="18"/>
  <c r="N318" i="18"/>
  <c r="M318" i="18"/>
  <c r="L318" i="18"/>
  <c r="K318" i="18"/>
  <c r="J318" i="18"/>
  <c r="I318" i="18"/>
  <c r="H318" i="18"/>
  <c r="G318" i="18"/>
  <c r="O317" i="18"/>
  <c r="N317" i="18"/>
  <c r="M317" i="18"/>
  <c r="L317" i="18"/>
  <c r="K317" i="18"/>
  <c r="J317" i="18"/>
  <c r="I317" i="18"/>
  <c r="H317" i="18"/>
  <c r="G317" i="18"/>
  <c r="O316" i="18"/>
  <c r="N316" i="18"/>
  <c r="M316" i="18"/>
  <c r="L316" i="18"/>
  <c r="K316" i="18"/>
  <c r="J316" i="18"/>
  <c r="I316" i="18"/>
  <c r="H316" i="18"/>
  <c r="G316" i="18"/>
  <c r="O315" i="18"/>
  <c r="N315" i="18"/>
  <c r="M315" i="18"/>
  <c r="L315" i="18"/>
  <c r="K315" i="18"/>
  <c r="J315" i="18"/>
  <c r="I315" i="18"/>
  <c r="H315" i="18"/>
  <c r="G315" i="18"/>
  <c r="O314" i="18"/>
  <c r="N314" i="18"/>
  <c r="M314" i="18"/>
  <c r="L314" i="18"/>
  <c r="K314" i="18"/>
  <c r="J314" i="18"/>
  <c r="I314" i="18"/>
  <c r="H314" i="18"/>
  <c r="G314" i="18"/>
  <c r="O313" i="18"/>
  <c r="N313" i="18"/>
  <c r="M313" i="18"/>
  <c r="L313" i="18"/>
  <c r="K313" i="18"/>
  <c r="J313" i="18"/>
  <c r="I313" i="18"/>
  <c r="H313" i="18"/>
  <c r="G313" i="18"/>
  <c r="O312" i="18"/>
  <c r="N312" i="18"/>
  <c r="M312" i="18"/>
  <c r="L312" i="18"/>
  <c r="K312" i="18"/>
  <c r="J312" i="18"/>
  <c r="I312" i="18"/>
  <c r="H312" i="18"/>
  <c r="G312" i="18"/>
  <c r="O311" i="18"/>
  <c r="N311" i="18"/>
  <c r="M311" i="18"/>
  <c r="L311" i="18"/>
  <c r="K311" i="18"/>
  <c r="J311" i="18"/>
  <c r="I311" i="18"/>
  <c r="H311" i="18"/>
  <c r="G311" i="18"/>
  <c r="O310" i="18"/>
  <c r="N310" i="18"/>
  <c r="M310" i="18"/>
  <c r="L310" i="18"/>
  <c r="K310" i="18"/>
  <c r="J310" i="18"/>
  <c r="I310" i="18"/>
  <c r="H310" i="18"/>
  <c r="G310" i="18"/>
  <c r="O309" i="18"/>
  <c r="N309" i="18"/>
  <c r="M309" i="18"/>
  <c r="L309" i="18"/>
  <c r="K309" i="18"/>
  <c r="J309" i="18"/>
  <c r="I309" i="18"/>
  <c r="H309" i="18"/>
  <c r="G309" i="18"/>
  <c r="O308" i="18"/>
  <c r="N308" i="18"/>
  <c r="M308" i="18"/>
  <c r="L308" i="18"/>
  <c r="K308" i="18"/>
  <c r="J308" i="18"/>
  <c r="I308" i="18"/>
  <c r="H308" i="18"/>
  <c r="G308" i="18"/>
  <c r="O307" i="18"/>
  <c r="N307" i="18"/>
  <c r="M307" i="18"/>
  <c r="L307" i="18"/>
  <c r="K307" i="18"/>
  <c r="J307" i="18"/>
  <c r="I307" i="18"/>
  <c r="H307" i="18"/>
  <c r="G307" i="18"/>
  <c r="O306" i="18"/>
  <c r="N306" i="18"/>
  <c r="M306" i="18"/>
  <c r="L306" i="18"/>
  <c r="K306" i="18"/>
  <c r="J306" i="18"/>
  <c r="I306" i="18"/>
  <c r="H306" i="18"/>
  <c r="G306" i="18"/>
  <c r="O305" i="18"/>
  <c r="N305" i="18"/>
  <c r="M305" i="18"/>
  <c r="L305" i="18"/>
  <c r="K305" i="18"/>
  <c r="J305" i="18"/>
  <c r="I305" i="18"/>
  <c r="H305" i="18"/>
  <c r="G305" i="18"/>
  <c r="O304" i="18"/>
  <c r="N304" i="18"/>
  <c r="M304" i="18"/>
  <c r="L304" i="18"/>
  <c r="K304" i="18"/>
  <c r="J304" i="18"/>
  <c r="I304" i="18"/>
  <c r="H304" i="18"/>
  <c r="G304" i="18"/>
  <c r="O303" i="18"/>
  <c r="N303" i="18"/>
  <c r="M303" i="18"/>
  <c r="L303" i="18"/>
  <c r="K303" i="18"/>
  <c r="J303" i="18"/>
  <c r="I303" i="18"/>
  <c r="H303" i="18"/>
  <c r="G303" i="18"/>
  <c r="O302" i="18"/>
  <c r="N302" i="18"/>
  <c r="M302" i="18"/>
  <c r="L302" i="18"/>
  <c r="K302" i="18"/>
  <c r="J302" i="18"/>
  <c r="I302" i="18"/>
  <c r="H302" i="18"/>
  <c r="G302" i="18"/>
  <c r="O301" i="18"/>
  <c r="N301" i="18"/>
  <c r="M301" i="18"/>
  <c r="L301" i="18"/>
  <c r="K301" i="18"/>
  <c r="J301" i="18"/>
  <c r="I301" i="18"/>
  <c r="H301" i="18"/>
  <c r="G301" i="18"/>
  <c r="O300" i="18"/>
  <c r="N300" i="18"/>
  <c r="M300" i="18"/>
  <c r="L300" i="18"/>
  <c r="K300" i="18"/>
  <c r="J300" i="18"/>
  <c r="I300" i="18"/>
  <c r="H300" i="18"/>
  <c r="G300" i="18"/>
  <c r="O239" i="18"/>
  <c r="N239" i="18"/>
  <c r="M239" i="18"/>
  <c r="L239" i="18"/>
  <c r="K239" i="18"/>
  <c r="J239" i="18"/>
  <c r="I239" i="18"/>
  <c r="H239" i="18"/>
  <c r="G239" i="18"/>
  <c r="O238" i="18"/>
  <c r="N238" i="18"/>
  <c r="M238" i="18"/>
  <c r="L238" i="18"/>
  <c r="K238" i="18"/>
  <c r="J238" i="18"/>
  <c r="I238" i="18"/>
  <c r="H238" i="18"/>
  <c r="G238" i="18"/>
  <c r="O237" i="18"/>
  <c r="N237" i="18"/>
  <c r="M237" i="18"/>
  <c r="L237" i="18"/>
  <c r="K237" i="18"/>
  <c r="J237" i="18"/>
  <c r="I237" i="18"/>
  <c r="H237" i="18"/>
  <c r="G237" i="18"/>
  <c r="O236" i="18"/>
  <c r="N236" i="18"/>
  <c r="M236" i="18"/>
  <c r="L236" i="18"/>
  <c r="K236" i="18"/>
  <c r="J236" i="18"/>
  <c r="I236" i="18"/>
  <c r="H236" i="18"/>
  <c r="G236" i="18"/>
  <c r="O235" i="18"/>
  <c r="N235" i="18"/>
  <c r="M235" i="18"/>
  <c r="L235" i="18"/>
  <c r="K235" i="18"/>
  <c r="J235" i="18"/>
  <c r="I235" i="18"/>
  <c r="H235" i="18"/>
  <c r="G235" i="18"/>
  <c r="O234" i="18"/>
  <c r="N234" i="18"/>
  <c r="M234" i="18"/>
  <c r="L234" i="18"/>
  <c r="K234" i="18"/>
  <c r="J234" i="18"/>
  <c r="I234" i="18"/>
  <c r="H234" i="18"/>
  <c r="G234" i="18"/>
  <c r="O232" i="18"/>
  <c r="N232" i="18"/>
  <c r="M232" i="18"/>
  <c r="L232" i="18"/>
  <c r="K232" i="18"/>
  <c r="J232" i="18"/>
  <c r="I232" i="18"/>
  <c r="H232" i="18"/>
  <c r="G232" i="18"/>
  <c r="O231" i="18"/>
  <c r="N231" i="18"/>
  <c r="M231" i="18"/>
  <c r="L231" i="18"/>
  <c r="K231" i="18"/>
  <c r="J231" i="18"/>
  <c r="I231" i="18"/>
  <c r="H231" i="18"/>
  <c r="G231" i="18"/>
  <c r="O230" i="18"/>
  <c r="N230" i="18"/>
  <c r="M230" i="18"/>
  <c r="L230" i="18"/>
  <c r="K230" i="18"/>
  <c r="J230" i="18"/>
  <c r="I230" i="18"/>
  <c r="H230" i="18"/>
  <c r="G230" i="18"/>
  <c r="O229" i="18"/>
  <c r="N229" i="18"/>
  <c r="M229" i="18"/>
  <c r="L229" i="18"/>
  <c r="K229" i="18"/>
  <c r="J229" i="18"/>
  <c r="I229" i="18"/>
  <c r="H229" i="18"/>
  <c r="G229" i="18"/>
  <c r="O228" i="18"/>
  <c r="N228" i="18"/>
  <c r="M228" i="18"/>
  <c r="L228" i="18"/>
  <c r="K228" i="18"/>
  <c r="J228" i="18"/>
  <c r="I228" i="18"/>
  <c r="H228" i="18"/>
  <c r="G228" i="18"/>
  <c r="O227" i="18"/>
  <c r="N227" i="18"/>
  <c r="M227" i="18"/>
  <c r="L227" i="18"/>
  <c r="K227" i="18"/>
  <c r="J227" i="18"/>
  <c r="I227" i="18"/>
  <c r="H227" i="18"/>
  <c r="G227" i="18"/>
  <c r="O226" i="18"/>
  <c r="N226" i="18"/>
  <c r="M226" i="18"/>
  <c r="L226" i="18"/>
  <c r="K226" i="18"/>
  <c r="J226" i="18"/>
  <c r="I226" i="18"/>
  <c r="H226" i="18"/>
  <c r="G226" i="18"/>
  <c r="O225" i="18"/>
  <c r="N225" i="18"/>
  <c r="M225" i="18"/>
  <c r="L225" i="18"/>
  <c r="K225" i="18"/>
  <c r="J225" i="18"/>
  <c r="I225" i="18"/>
  <c r="H225" i="18"/>
  <c r="G225" i="18"/>
  <c r="O224" i="18"/>
  <c r="N224" i="18"/>
  <c r="M224" i="18"/>
  <c r="L224" i="18"/>
  <c r="K224" i="18"/>
  <c r="J224" i="18"/>
  <c r="I224" i="18"/>
  <c r="H224" i="18"/>
  <c r="G224" i="18"/>
  <c r="O223" i="18"/>
  <c r="N223" i="18"/>
  <c r="M223" i="18"/>
  <c r="L223" i="18"/>
  <c r="K223" i="18"/>
  <c r="J223" i="18"/>
  <c r="I223" i="18"/>
  <c r="H223" i="18"/>
  <c r="G223" i="18"/>
  <c r="O222" i="18"/>
  <c r="N222" i="18"/>
  <c r="M222" i="18"/>
  <c r="L222" i="18"/>
  <c r="K222" i="18"/>
  <c r="J222" i="18"/>
  <c r="I222" i="18"/>
  <c r="H222" i="18"/>
  <c r="G222" i="18"/>
  <c r="O221" i="18"/>
  <c r="N221" i="18"/>
  <c r="M221" i="18"/>
  <c r="L221" i="18"/>
  <c r="K221" i="18"/>
  <c r="J221" i="18"/>
  <c r="I221" i="18"/>
  <c r="H221" i="18"/>
  <c r="G221" i="18"/>
  <c r="O90" i="18"/>
  <c r="N90" i="18"/>
  <c r="M90" i="18"/>
  <c r="L90" i="18"/>
  <c r="K90" i="18"/>
  <c r="J90" i="18"/>
  <c r="I90" i="18"/>
  <c r="H90" i="18"/>
  <c r="G90" i="18"/>
  <c r="O220" i="18"/>
  <c r="N220" i="18"/>
  <c r="M220" i="18"/>
  <c r="L220" i="18"/>
  <c r="K220" i="18"/>
  <c r="J220" i="18"/>
  <c r="I220" i="18"/>
  <c r="H220" i="18"/>
  <c r="G220" i="18"/>
  <c r="O219" i="18"/>
  <c r="N219" i="18"/>
  <c r="M219" i="18"/>
  <c r="L219" i="18"/>
  <c r="K219" i="18"/>
  <c r="J219" i="18"/>
  <c r="I219" i="18"/>
  <c r="H219" i="18"/>
  <c r="G219" i="18"/>
  <c r="O218" i="18"/>
  <c r="N218" i="18"/>
  <c r="M218" i="18"/>
  <c r="L218" i="18"/>
  <c r="K218" i="18"/>
  <c r="J218" i="18"/>
  <c r="I218" i="18"/>
  <c r="H218" i="18"/>
  <c r="G218" i="18"/>
  <c r="O217" i="18"/>
  <c r="N217" i="18"/>
  <c r="M217" i="18"/>
  <c r="L217" i="18"/>
  <c r="K217" i="18"/>
  <c r="J217" i="18"/>
  <c r="I217" i="18"/>
  <c r="H217" i="18"/>
  <c r="G217" i="18"/>
  <c r="O216" i="18"/>
  <c r="N216" i="18"/>
  <c r="M216" i="18"/>
  <c r="L216" i="18"/>
  <c r="K216" i="18"/>
  <c r="J216" i="18"/>
  <c r="I216" i="18"/>
  <c r="H216" i="18"/>
  <c r="G216" i="18"/>
  <c r="O215" i="18"/>
  <c r="N215" i="18"/>
  <c r="M215" i="18"/>
  <c r="L215" i="18"/>
  <c r="K215" i="18"/>
  <c r="J215" i="18"/>
  <c r="I215" i="18"/>
  <c r="H215" i="18"/>
  <c r="G215" i="18"/>
  <c r="O214" i="18"/>
  <c r="N214" i="18"/>
  <c r="M214" i="18"/>
  <c r="L214" i="18"/>
  <c r="K214" i="18"/>
  <c r="J214" i="18"/>
  <c r="I214" i="18"/>
  <c r="H214" i="18"/>
  <c r="G214" i="18"/>
  <c r="O213" i="18"/>
  <c r="N213" i="18"/>
  <c r="M213" i="18"/>
  <c r="L213" i="18"/>
  <c r="K213" i="18"/>
  <c r="J213" i="18"/>
  <c r="I213" i="18"/>
  <c r="H213" i="18"/>
  <c r="G213" i="18"/>
  <c r="O212" i="18"/>
  <c r="N212" i="18"/>
  <c r="M212" i="18"/>
  <c r="L212" i="18"/>
  <c r="K212" i="18"/>
  <c r="J212" i="18"/>
  <c r="I212" i="18"/>
  <c r="H212" i="18"/>
  <c r="G212" i="18"/>
  <c r="O211" i="18"/>
  <c r="N211" i="18"/>
  <c r="M211" i="18"/>
  <c r="L211" i="18"/>
  <c r="K211" i="18"/>
  <c r="J211" i="18"/>
  <c r="I211" i="18"/>
  <c r="H211" i="18"/>
  <c r="G211" i="18"/>
  <c r="O210" i="18"/>
  <c r="N210" i="18"/>
  <c r="M210" i="18"/>
  <c r="L210" i="18"/>
  <c r="K210" i="18"/>
  <c r="J210" i="18"/>
  <c r="I210" i="18"/>
  <c r="H210" i="18"/>
  <c r="G210" i="18"/>
  <c r="O209" i="18"/>
  <c r="N209" i="18"/>
  <c r="M209" i="18"/>
  <c r="L209" i="18"/>
  <c r="K209" i="18"/>
  <c r="J209" i="18"/>
  <c r="I209" i="18"/>
  <c r="H209" i="18"/>
  <c r="G209" i="18"/>
  <c r="O208" i="18"/>
  <c r="N208" i="18"/>
  <c r="M208" i="18"/>
  <c r="L208" i="18"/>
  <c r="K208" i="18"/>
  <c r="J208" i="18"/>
  <c r="I208" i="18"/>
  <c r="H208" i="18"/>
  <c r="G208" i="18"/>
  <c r="O207" i="18"/>
  <c r="N207" i="18"/>
  <c r="M207" i="18"/>
  <c r="L207" i="18"/>
  <c r="K207" i="18"/>
  <c r="J207" i="18"/>
  <c r="I207" i="18"/>
  <c r="H207" i="18"/>
  <c r="G207" i="18"/>
  <c r="O206" i="18"/>
  <c r="N206" i="18"/>
  <c r="M206" i="18"/>
  <c r="L206" i="18"/>
  <c r="K206" i="18"/>
  <c r="J206" i="18"/>
  <c r="I206" i="18"/>
  <c r="H206" i="18"/>
  <c r="G206" i="18"/>
  <c r="O205" i="18"/>
  <c r="N205" i="18"/>
  <c r="M205" i="18"/>
  <c r="L205" i="18"/>
  <c r="K205" i="18"/>
  <c r="J205" i="18"/>
  <c r="I205" i="18"/>
  <c r="H205" i="18"/>
  <c r="G205" i="18"/>
  <c r="O204" i="18"/>
  <c r="N204" i="18"/>
  <c r="M204" i="18"/>
  <c r="L204" i="18"/>
  <c r="K204" i="18"/>
  <c r="J204" i="18"/>
  <c r="I204" i="18"/>
  <c r="H204" i="18"/>
  <c r="G204" i="18"/>
  <c r="O203" i="18"/>
  <c r="N203" i="18"/>
  <c r="M203" i="18"/>
  <c r="L203" i="18"/>
  <c r="K203" i="18"/>
  <c r="J203" i="18"/>
  <c r="I203" i="18"/>
  <c r="H203" i="18"/>
  <c r="G203" i="18"/>
  <c r="O202" i="18"/>
  <c r="N202" i="18"/>
  <c r="M202" i="18"/>
  <c r="L202" i="18"/>
  <c r="K202" i="18"/>
  <c r="J202" i="18"/>
  <c r="I202" i="18"/>
  <c r="H202" i="18"/>
  <c r="G202" i="18"/>
  <c r="O201" i="18"/>
  <c r="N201" i="18"/>
  <c r="M201" i="18"/>
  <c r="L201" i="18"/>
  <c r="K201" i="18"/>
  <c r="J201" i="18"/>
  <c r="I201" i="18"/>
  <c r="H201" i="18"/>
  <c r="G201" i="18"/>
  <c r="O200" i="18"/>
  <c r="N200" i="18"/>
  <c r="M200" i="18"/>
  <c r="L200" i="18"/>
  <c r="K200" i="18"/>
  <c r="J200" i="18"/>
  <c r="I200" i="18"/>
  <c r="H200" i="18"/>
  <c r="G200" i="18"/>
  <c r="O199" i="18"/>
  <c r="N199" i="18"/>
  <c r="M199" i="18"/>
  <c r="L199" i="18"/>
  <c r="K199" i="18"/>
  <c r="J199" i="18"/>
  <c r="I199" i="18"/>
  <c r="H199" i="18"/>
  <c r="G199" i="18"/>
  <c r="O198" i="18"/>
  <c r="N198" i="18"/>
  <c r="M198" i="18"/>
  <c r="L198" i="18"/>
  <c r="K198" i="18"/>
  <c r="J198" i="18"/>
  <c r="I198" i="18"/>
  <c r="H198" i="18"/>
  <c r="G198" i="18"/>
  <c r="O197" i="18"/>
  <c r="N197" i="18"/>
  <c r="M197" i="18"/>
  <c r="L197" i="18"/>
  <c r="K197" i="18"/>
  <c r="J197" i="18"/>
  <c r="I197" i="18"/>
  <c r="H197" i="18"/>
  <c r="G197" i="18"/>
  <c r="O196" i="18"/>
  <c r="N196" i="18"/>
  <c r="M196" i="18"/>
  <c r="L196" i="18"/>
  <c r="K196" i="18"/>
  <c r="J196" i="18"/>
  <c r="I196" i="18"/>
  <c r="H196" i="18"/>
  <c r="G196" i="18"/>
  <c r="O195" i="18"/>
  <c r="N195" i="18"/>
  <c r="M195" i="18"/>
  <c r="L195" i="18"/>
  <c r="K195" i="18"/>
  <c r="J195" i="18"/>
  <c r="I195" i="18"/>
  <c r="H195" i="18"/>
  <c r="G195" i="18"/>
  <c r="O194" i="18"/>
  <c r="N194" i="18"/>
  <c r="M194" i="18"/>
  <c r="L194" i="18"/>
  <c r="K194" i="18"/>
  <c r="J194" i="18"/>
  <c r="I194" i="18"/>
  <c r="H194" i="18"/>
  <c r="G194" i="18"/>
  <c r="O192" i="18"/>
  <c r="N192" i="18"/>
  <c r="M192" i="18"/>
  <c r="L192" i="18"/>
  <c r="K192" i="18"/>
  <c r="J192" i="18"/>
  <c r="I192" i="18"/>
  <c r="H192" i="18"/>
  <c r="G192" i="18"/>
  <c r="O191" i="18"/>
  <c r="N191" i="18"/>
  <c r="M191" i="18"/>
  <c r="L191" i="18"/>
  <c r="K191" i="18"/>
  <c r="J191" i="18"/>
  <c r="I191" i="18"/>
  <c r="H191" i="18"/>
  <c r="G191" i="18"/>
  <c r="O190" i="18"/>
  <c r="N190" i="18"/>
  <c r="M190" i="18"/>
  <c r="L190" i="18"/>
  <c r="K190" i="18"/>
  <c r="J190" i="18"/>
  <c r="I190" i="18"/>
  <c r="H190" i="18"/>
  <c r="G190" i="18"/>
  <c r="O189" i="18"/>
  <c r="N189" i="18"/>
  <c r="M189" i="18"/>
  <c r="L189" i="18"/>
  <c r="K189" i="18"/>
  <c r="J189" i="18"/>
  <c r="I189" i="18"/>
  <c r="H189" i="18"/>
  <c r="G189" i="18"/>
  <c r="O188" i="18"/>
  <c r="N188" i="18"/>
  <c r="M188" i="18"/>
  <c r="L188" i="18"/>
  <c r="K188" i="18"/>
  <c r="J188" i="18"/>
  <c r="I188" i="18"/>
  <c r="H188" i="18"/>
  <c r="G188" i="18"/>
  <c r="O187" i="18"/>
  <c r="N187" i="18"/>
  <c r="M187" i="18"/>
  <c r="L187" i="18"/>
  <c r="K187" i="18"/>
  <c r="J187" i="18"/>
  <c r="I187" i="18"/>
  <c r="H187" i="18"/>
  <c r="G187" i="18"/>
  <c r="O186" i="18"/>
  <c r="N186" i="18"/>
  <c r="M186" i="18"/>
  <c r="L186" i="18"/>
  <c r="K186" i="18"/>
  <c r="J186" i="18"/>
  <c r="I186" i="18"/>
  <c r="H186" i="18"/>
  <c r="G186" i="18"/>
  <c r="O185" i="18"/>
  <c r="N185" i="18"/>
  <c r="M185" i="18"/>
  <c r="L185" i="18"/>
  <c r="K185" i="18"/>
  <c r="J185" i="18"/>
  <c r="I185" i="18"/>
  <c r="H185" i="18"/>
  <c r="G185" i="18"/>
  <c r="O184" i="18"/>
  <c r="N184" i="18"/>
  <c r="M184" i="18"/>
  <c r="L184" i="18"/>
  <c r="K184" i="18"/>
  <c r="J184" i="18"/>
  <c r="I184" i="18"/>
  <c r="H184" i="18"/>
  <c r="G184" i="18"/>
  <c r="O182" i="18"/>
  <c r="N182" i="18"/>
  <c r="M182" i="18"/>
  <c r="L182" i="18"/>
  <c r="K182" i="18"/>
  <c r="J182" i="18"/>
  <c r="I182" i="18"/>
  <c r="H182" i="18"/>
  <c r="G182" i="18"/>
  <c r="O181" i="18"/>
  <c r="N181" i="18"/>
  <c r="M181" i="18"/>
  <c r="L181" i="18"/>
  <c r="K181" i="18"/>
  <c r="J181" i="18"/>
  <c r="I181" i="18"/>
  <c r="H181" i="18"/>
  <c r="G181" i="18"/>
  <c r="O180" i="18"/>
  <c r="N180" i="18"/>
  <c r="M180" i="18"/>
  <c r="L180" i="18"/>
  <c r="K180" i="18"/>
  <c r="J180" i="18"/>
  <c r="I180" i="18"/>
  <c r="H180" i="18"/>
  <c r="G180" i="18"/>
  <c r="O179" i="18"/>
  <c r="N179" i="18"/>
  <c r="M179" i="18"/>
  <c r="L179" i="18"/>
  <c r="K179" i="18"/>
  <c r="J179" i="18"/>
  <c r="I179" i="18"/>
  <c r="H179" i="18"/>
  <c r="G179" i="18"/>
  <c r="O178" i="18"/>
  <c r="N178" i="18"/>
  <c r="M178" i="18"/>
  <c r="L178" i="18"/>
  <c r="K178" i="18"/>
  <c r="J178" i="18"/>
  <c r="I178" i="18"/>
  <c r="H178" i="18"/>
  <c r="G178" i="18"/>
  <c r="O177" i="18"/>
  <c r="N177" i="18"/>
  <c r="M177" i="18"/>
  <c r="L177" i="18"/>
  <c r="K177" i="18"/>
  <c r="J177" i="18"/>
  <c r="I177" i="18"/>
  <c r="H177" i="18"/>
  <c r="G177" i="18"/>
  <c r="O176" i="18"/>
  <c r="N176" i="18"/>
  <c r="M176" i="18"/>
  <c r="L176" i="18"/>
  <c r="K176" i="18"/>
  <c r="J176" i="18"/>
  <c r="I176" i="18"/>
  <c r="H176" i="18"/>
  <c r="G176" i="18"/>
  <c r="O175" i="18"/>
  <c r="N175" i="18"/>
  <c r="M175" i="18"/>
  <c r="L175" i="18"/>
  <c r="K175" i="18"/>
  <c r="J175" i="18"/>
  <c r="I175" i="18"/>
  <c r="H175" i="18"/>
  <c r="G175" i="18"/>
  <c r="O174" i="18"/>
  <c r="N174" i="18"/>
  <c r="M174" i="18"/>
  <c r="L174" i="18"/>
  <c r="K174" i="18"/>
  <c r="J174" i="18"/>
  <c r="I174" i="18"/>
  <c r="H174" i="18"/>
  <c r="G174" i="18"/>
  <c r="O173" i="18"/>
  <c r="N173" i="18"/>
  <c r="M173" i="18"/>
  <c r="L173" i="18"/>
  <c r="K173" i="18"/>
  <c r="J173" i="18"/>
  <c r="I173" i="18"/>
  <c r="H173" i="18"/>
  <c r="G173" i="18"/>
  <c r="O172" i="18"/>
  <c r="N172" i="18"/>
  <c r="M172" i="18"/>
  <c r="L172" i="18"/>
  <c r="K172" i="18"/>
  <c r="J172" i="18"/>
  <c r="I172" i="18"/>
  <c r="H172" i="18"/>
  <c r="G172" i="18"/>
  <c r="O171" i="18"/>
  <c r="N171" i="18"/>
  <c r="M171" i="18"/>
  <c r="L171" i="18"/>
  <c r="K171" i="18"/>
  <c r="J171" i="18"/>
  <c r="I171" i="18"/>
  <c r="H171" i="18"/>
  <c r="G171" i="18"/>
  <c r="O170" i="18"/>
  <c r="N170" i="18"/>
  <c r="M170" i="18"/>
  <c r="L170" i="18"/>
  <c r="K170" i="18"/>
  <c r="J170" i="18"/>
  <c r="I170" i="18"/>
  <c r="H170" i="18"/>
  <c r="G170" i="18"/>
  <c r="O169" i="18"/>
  <c r="N169" i="18"/>
  <c r="M169" i="18"/>
  <c r="L169" i="18"/>
  <c r="K169" i="18"/>
  <c r="J169" i="18"/>
  <c r="I169" i="18"/>
  <c r="H169" i="18"/>
  <c r="G169" i="18"/>
  <c r="O168" i="18"/>
  <c r="N168" i="18"/>
  <c r="M168" i="18"/>
  <c r="L168" i="18"/>
  <c r="K168" i="18"/>
  <c r="J168" i="18"/>
  <c r="I168" i="18"/>
  <c r="H168" i="18"/>
  <c r="G168" i="18"/>
  <c r="O167" i="18"/>
  <c r="N167" i="18"/>
  <c r="M167" i="18"/>
  <c r="L167" i="18"/>
  <c r="K167" i="18"/>
  <c r="J167" i="18"/>
  <c r="I167" i="18"/>
  <c r="H167" i="18"/>
  <c r="G167" i="18"/>
  <c r="O166" i="18"/>
  <c r="N166" i="18"/>
  <c r="M166" i="18"/>
  <c r="L166" i="18"/>
  <c r="K166" i="18"/>
  <c r="J166" i="18"/>
  <c r="I166" i="18"/>
  <c r="H166" i="18"/>
  <c r="G166" i="18"/>
  <c r="O165" i="18"/>
  <c r="N165" i="18"/>
  <c r="M165" i="18"/>
  <c r="L165" i="18"/>
  <c r="K165" i="18"/>
  <c r="J165" i="18"/>
  <c r="I165" i="18"/>
  <c r="H165" i="18"/>
  <c r="G165" i="18"/>
  <c r="O164" i="18"/>
  <c r="N164" i="18"/>
  <c r="M164" i="18"/>
  <c r="L164" i="18"/>
  <c r="K164" i="18"/>
  <c r="J164" i="18"/>
  <c r="I164" i="18"/>
  <c r="H164" i="18"/>
  <c r="G164" i="18"/>
  <c r="O163" i="18"/>
  <c r="N163" i="18"/>
  <c r="M163" i="18"/>
  <c r="L163" i="18"/>
  <c r="K163" i="18"/>
  <c r="J163" i="18"/>
  <c r="I163" i="18"/>
  <c r="H163" i="18"/>
  <c r="G163" i="18"/>
  <c r="O389" i="18"/>
  <c r="N389" i="18"/>
  <c r="M389" i="18"/>
  <c r="L389" i="18"/>
  <c r="K389" i="18"/>
  <c r="J389" i="18"/>
  <c r="I389" i="18"/>
  <c r="H389" i="18"/>
  <c r="G389" i="18"/>
  <c r="O162" i="18"/>
  <c r="N162" i="18"/>
  <c r="M162" i="18"/>
  <c r="L162" i="18"/>
  <c r="K162" i="18"/>
  <c r="J162" i="18"/>
  <c r="I162" i="18"/>
  <c r="H162" i="18"/>
  <c r="G162" i="18"/>
  <c r="O161" i="18"/>
  <c r="N161" i="18"/>
  <c r="M161" i="18"/>
  <c r="L161" i="18"/>
  <c r="K161" i="18"/>
  <c r="J161" i="18"/>
  <c r="I161" i="18"/>
  <c r="H161" i="18"/>
  <c r="G161" i="18"/>
  <c r="O160" i="18"/>
  <c r="N160" i="18"/>
  <c r="M160" i="18"/>
  <c r="L160" i="18"/>
  <c r="K160" i="18"/>
  <c r="J160" i="18"/>
  <c r="I160" i="18"/>
  <c r="H160" i="18"/>
  <c r="G160" i="18"/>
  <c r="O159" i="18"/>
  <c r="N159" i="18"/>
  <c r="M159" i="18"/>
  <c r="L159" i="18"/>
  <c r="K159" i="18"/>
  <c r="J159" i="18"/>
  <c r="I159" i="18"/>
  <c r="H159" i="18"/>
  <c r="G159" i="18"/>
  <c r="O158" i="18"/>
  <c r="N158" i="18"/>
  <c r="M158" i="18"/>
  <c r="L158" i="18"/>
  <c r="K158" i="18"/>
  <c r="J158" i="18"/>
  <c r="I158" i="18"/>
  <c r="H158" i="18"/>
  <c r="G158" i="18"/>
  <c r="O157" i="18"/>
  <c r="N157" i="18"/>
  <c r="M157" i="18"/>
  <c r="L157" i="18"/>
  <c r="K157" i="18"/>
  <c r="J157" i="18"/>
  <c r="I157" i="18"/>
  <c r="H157" i="18"/>
  <c r="G157" i="18"/>
  <c r="O156" i="18"/>
  <c r="N156" i="18"/>
  <c r="M156" i="18"/>
  <c r="L156" i="18"/>
  <c r="K156" i="18"/>
  <c r="J156" i="18"/>
  <c r="I156" i="18"/>
  <c r="H156" i="18"/>
  <c r="G156" i="18"/>
  <c r="O155" i="18"/>
  <c r="N155" i="18"/>
  <c r="M155" i="18"/>
  <c r="L155" i="18"/>
  <c r="K155" i="18"/>
  <c r="J155" i="18"/>
  <c r="I155" i="18"/>
  <c r="H155" i="18"/>
  <c r="G155" i="18"/>
  <c r="O154" i="18"/>
  <c r="N154" i="18"/>
  <c r="M154" i="18"/>
  <c r="L154" i="18"/>
  <c r="K154" i="18"/>
  <c r="J154" i="18"/>
  <c r="I154" i="18"/>
  <c r="H154" i="18"/>
  <c r="G154" i="18"/>
  <c r="O153" i="18"/>
  <c r="N153" i="18"/>
  <c r="M153" i="18"/>
  <c r="L153" i="18"/>
  <c r="K153" i="18"/>
  <c r="J153" i="18"/>
  <c r="I153" i="18"/>
  <c r="H153" i="18"/>
  <c r="G153" i="18"/>
  <c r="O152" i="18"/>
  <c r="N152" i="18"/>
  <c r="M152" i="18"/>
  <c r="L152" i="18"/>
  <c r="K152" i="18"/>
  <c r="J152" i="18"/>
  <c r="I152" i="18"/>
  <c r="H152" i="18"/>
  <c r="G152" i="18"/>
  <c r="O151" i="18"/>
  <c r="N151" i="18"/>
  <c r="M151" i="18"/>
  <c r="L151" i="18"/>
  <c r="K151" i="18"/>
  <c r="J151" i="18"/>
  <c r="I151" i="18"/>
  <c r="H151" i="18"/>
  <c r="G151" i="18"/>
  <c r="O150" i="18"/>
  <c r="N150" i="18"/>
  <c r="M150" i="18"/>
  <c r="L150" i="18"/>
  <c r="K150" i="18"/>
  <c r="J150" i="18"/>
  <c r="I150" i="18"/>
  <c r="H150" i="18"/>
  <c r="G150" i="18"/>
  <c r="O149" i="18"/>
  <c r="N149" i="18"/>
  <c r="M149" i="18"/>
  <c r="L149" i="18"/>
  <c r="K149" i="18"/>
  <c r="J149" i="18"/>
  <c r="I149" i="18"/>
  <c r="H149" i="18"/>
  <c r="G149" i="18"/>
  <c r="O148" i="18"/>
  <c r="N148" i="18"/>
  <c r="M148" i="18"/>
  <c r="L148" i="18"/>
  <c r="K148" i="18"/>
  <c r="J148" i="18"/>
  <c r="I148" i="18"/>
  <c r="H148" i="18"/>
  <c r="G148" i="18"/>
  <c r="O147" i="18"/>
  <c r="N147" i="18"/>
  <c r="M147" i="18"/>
  <c r="L147" i="18"/>
  <c r="K147" i="18"/>
  <c r="J147" i="18"/>
  <c r="I147" i="18"/>
  <c r="H147" i="18"/>
  <c r="G147" i="18"/>
  <c r="O146" i="18"/>
  <c r="N146" i="18"/>
  <c r="M146" i="18"/>
  <c r="L146" i="18"/>
  <c r="K146" i="18"/>
  <c r="J146" i="18"/>
  <c r="I146" i="18"/>
  <c r="H146" i="18"/>
  <c r="G146" i="18"/>
  <c r="O145" i="18"/>
  <c r="N145" i="18"/>
  <c r="M145" i="18"/>
  <c r="L145" i="18"/>
  <c r="K145" i="18"/>
  <c r="J145" i="18"/>
  <c r="I145" i="18"/>
  <c r="H145" i="18"/>
  <c r="G145" i="18"/>
  <c r="O144" i="18"/>
  <c r="N144" i="18"/>
  <c r="M144" i="18"/>
  <c r="L144" i="18"/>
  <c r="K144" i="18"/>
  <c r="J144" i="18"/>
  <c r="I144" i="18"/>
  <c r="H144" i="18"/>
  <c r="G144" i="18"/>
  <c r="O143" i="18"/>
  <c r="N143" i="18"/>
  <c r="M143" i="18"/>
  <c r="L143" i="18"/>
  <c r="K143" i="18"/>
  <c r="J143" i="18"/>
  <c r="I143" i="18"/>
  <c r="H143" i="18"/>
  <c r="G143" i="18"/>
  <c r="O142" i="18"/>
  <c r="N142" i="18"/>
  <c r="M142" i="18"/>
  <c r="L142" i="18"/>
  <c r="K142" i="18"/>
  <c r="J142" i="18"/>
  <c r="I142" i="18"/>
  <c r="H142" i="18"/>
  <c r="G142" i="18"/>
  <c r="O141" i="18"/>
  <c r="N141" i="18"/>
  <c r="M141" i="18"/>
  <c r="L141" i="18"/>
  <c r="K141" i="18"/>
  <c r="J141" i="18"/>
  <c r="I141" i="18"/>
  <c r="H141" i="18"/>
  <c r="G141" i="18"/>
  <c r="O140" i="18"/>
  <c r="N140" i="18"/>
  <c r="M140" i="18"/>
  <c r="L140" i="18"/>
  <c r="K140" i="18"/>
  <c r="J140" i="18"/>
  <c r="I140" i="18"/>
  <c r="H140" i="18"/>
  <c r="G140" i="18"/>
  <c r="O139" i="18"/>
  <c r="N139" i="18"/>
  <c r="M139" i="18"/>
  <c r="L139" i="18"/>
  <c r="K139" i="18"/>
  <c r="J139" i="18"/>
  <c r="I139" i="18"/>
  <c r="H139" i="18"/>
  <c r="G139" i="18"/>
  <c r="O138" i="18"/>
  <c r="N138" i="18"/>
  <c r="M138" i="18"/>
  <c r="L138" i="18"/>
  <c r="K138" i="18"/>
  <c r="J138" i="18"/>
  <c r="I138" i="18"/>
  <c r="H138" i="18"/>
  <c r="G138" i="18"/>
  <c r="O137" i="18"/>
  <c r="N137" i="18"/>
  <c r="M137" i="18"/>
  <c r="L137" i="18"/>
  <c r="K137" i="18"/>
  <c r="J137" i="18"/>
  <c r="I137" i="18"/>
  <c r="H137" i="18"/>
  <c r="G137" i="18"/>
  <c r="O136" i="18"/>
  <c r="N136" i="18"/>
  <c r="M136" i="18"/>
  <c r="L136" i="18"/>
  <c r="K136" i="18"/>
  <c r="J136" i="18"/>
  <c r="I136" i="18"/>
  <c r="H136" i="18"/>
  <c r="G136" i="18"/>
  <c r="O135" i="18"/>
  <c r="N135" i="18"/>
  <c r="M135" i="18"/>
  <c r="L135" i="18"/>
  <c r="K135" i="18"/>
  <c r="J135" i="18"/>
  <c r="I135" i="18"/>
  <c r="H135" i="18"/>
  <c r="G135" i="18"/>
  <c r="O134" i="18"/>
  <c r="N134" i="18"/>
  <c r="M134" i="18"/>
  <c r="L134" i="18"/>
  <c r="K134" i="18"/>
  <c r="J134" i="18"/>
  <c r="I134" i="18"/>
  <c r="H134" i="18"/>
  <c r="G134" i="18"/>
  <c r="O133" i="18"/>
  <c r="N133" i="18"/>
  <c r="M133" i="18"/>
  <c r="L133" i="18"/>
  <c r="K133" i="18"/>
  <c r="J133" i="18"/>
  <c r="I133" i="18"/>
  <c r="H133" i="18"/>
  <c r="G133" i="18"/>
  <c r="O132" i="18"/>
  <c r="N132" i="18"/>
  <c r="M132" i="18"/>
  <c r="L132" i="18"/>
  <c r="K132" i="18"/>
  <c r="J132" i="18"/>
  <c r="I132" i="18"/>
  <c r="H132" i="18"/>
  <c r="G132" i="18"/>
  <c r="O131" i="18"/>
  <c r="N131" i="18"/>
  <c r="M131" i="18"/>
  <c r="L131" i="18"/>
  <c r="K131" i="18"/>
  <c r="J131" i="18"/>
  <c r="I131" i="18"/>
  <c r="H131" i="18"/>
  <c r="G131" i="18"/>
  <c r="O130" i="18"/>
  <c r="N130" i="18"/>
  <c r="M130" i="18"/>
  <c r="L130" i="18"/>
  <c r="K130" i="18"/>
  <c r="J130" i="18"/>
  <c r="I130" i="18"/>
  <c r="H130" i="18"/>
  <c r="G130" i="18"/>
  <c r="O129" i="18"/>
  <c r="N129" i="18"/>
  <c r="M129" i="18"/>
  <c r="L129" i="18"/>
  <c r="K129" i="18"/>
  <c r="J129" i="18"/>
  <c r="I129" i="18"/>
  <c r="H129" i="18"/>
  <c r="G129" i="18"/>
  <c r="O128" i="18"/>
  <c r="N128" i="18"/>
  <c r="M128" i="18"/>
  <c r="L128" i="18"/>
  <c r="K128" i="18"/>
  <c r="J128" i="18"/>
  <c r="I128" i="18"/>
  <c r="H128" i="18"/>
  <c r="G128" i="18"/>
  <c r="O127" i="18"/>
  <c r="N127" i="18"/>
  <c r="M127" i="18"/>
  <c r="L127" i="18"/>
  <c r="K127" i="18"/>
  <c r="J127" i="18"/>
  <c r="I127" i="18"/>
  <c r="H127" i="18"/>
  <c r="G127" i="18"/>
  <c r="O126" i="18"/>
  <c r="N126" i="18"/>
  <c r="M126" i="18"/>
  <c r="L126" i="18"/>
  <c r="K126" i="18"/>
  <c r="J126" i="18"/>
  <c r="I126" i="18"/>
  <c r="H126" i="18"/>
  <c r="G126" i="18"/>
  <c r="O125" i="18"/>
  <c r="N125" i="18"/>
  <c r="M125" i="18"/>
  <c r="L125" i="18"/>
  <c r="K125" i="18"/>
  <c r="J125" i="18"/>
  <c r="I125" i="18"/>
  <c r="H125" i="18"/>
  <c r="G125" i="18"/>
  <c r="O124" i="18"/>
  <c r="N124" i="18"/>
  <c r="M124" i="18"/>
  <c r="L124" i="18"/>
  <c r="K124" i="18"/>
  <c r="J124" i="18"/>
  <c r="I124" i="18"/>
  <c r="H124" i="18"/>
  <c r="G124" i="18"/>
  <c r="O123" i="18"/>
  <c r="N123" i="18"/>
  <c r="M123" i="18"/>
  <c r="L123" i="18"/>
  <c r="K123" i="18"/>
  <c r="J123" i="18"/>
  <c r="I123" i="18"/>
  <c r="H123" i="18"/>
  <c r="G123" i="18"/>
  <c r="O122" i="18"/>
  <c r="N122" i="18"/>
  <c r="M122" i="18"/>
  <c r="L122" i="18"/>
  <c r="K122" i="18"/>
  <c r="J122" i="18"/>
  <c r="I122" i="18"/>
  <c r="H122" i="18"/>
  <c r="G122" i="18"/>
  <c r="O121" i="18"/>
  <c r="N121" i="18"/>
  <c r="M121" i="18"/>
  <c r="L121" i="18"/>
  <c r="K121" i="18"/>
  <c r="J121" i="18"/>
  <c r="I121" i="18"/>
  <c r="H121" i="18"/>
  <c r="G121" i="18"/>
  <c r="O120" i="18"/>
  <c r="N120" i="18"/>
  <c r="M120" i="18"/>
  <c r="L120" i="18"/>
  <c r="K120" i="18"/>
  <c r="J120" i="18"/>
  <c r="I120" i="18"/>
  <c r="H120" i="18"/>
  <c r="G120" i="18"/>
  <c r="O119" i="18"/>
  <c r="N119" i="18"/>
  <c r="M119" i="18"/>
  <c r="L119" i="18"/>
  <c r="K119" i="18"/>
  <c r="J119" i="18"/>
  <c r="I119" i="18"/>
  <c r="H119" i="18"/>
  <c r="G119" i="18"/>
  <c r="O118" i="18"/>
  <c r="N118" i="18"/>
  <c r="M118" i="18"/>
  <c r="L118" i="18"/>
  <c r="K118" i="18"/>
  <c r="J118" i="18"/>
  <c r="I118" i="18"/>
  <c r="H118" i="18"/>
  <c r="G118" i="18"/>
  <c r="O117" i="18"/>
  <c r="N117" i="18"/>
  <c r="M117" i="18"/>
  <c r="L117" i="18"/>
  <c r="K117" i="18"/>
  <c r="J117" i="18"/>
  <c r="I117" i="18"/>
  <c r="H117" i="18"/>
  <c r="G117" i="18"/>
  <c r="O116" i="18"/>
  <c r="N116" i="18"/>
  <c r="M116" i="18"/>
  <c r="L116" i="18"/>
  <c r="K116" i="18"/>
  <c r="J116" i="18"/>
  <c r="I116" i="18"/>
  <c r="H116" i="18"/>
  <c r="G116" i="18"/>
  <c r="O115" i="18"/>
  <c r="N115" i="18"/>
  <c r="M115" i="18"/>
  <c r="L115" i="18"/>
  <c r="K115" i="18"/>
  <c r="J115" i="18"/>
  <c r="I115" i="18"/>
  <c r="H115" i="18"/>
  <c r="G115" i="18"/>
  <c r="O114" i="18"/>
  <c r="N114" i="18"/>
  <c r="M114" i="18"/>
  <c r="L114" i="18"/>
  <c r="K114" i="18"/>
  <c r="J114" i="18"/>
  <c r="I114" i="18"/>
  <c r="H114" i="18"/>
  <c r="G114" i="18"/>
  <c r="O113" i="18"/>
  <c r="N113" i="18"/>
  <c r="M113" i="18"/>
  <c r="L113" i="18"/>
  <c r="K113" i="18"/>
  <c r="J113" i="18"/>
  <c r="I113" i="18"/>
  <c r="H113" i="18"/>
  <c r="G113" i="18"/>
  <c r="O112" i="18"/>
  <c r="N112" i="18"/>
  <c r="M112" i="18"/>
  <c r="L112" i="18"/>
  <c r="K112" i="18"/>
  <c r="J112" i="18"/>
  <c r="I112" i="18"/>
  <c r="H112" i="18"/>
  <c r="G112" i="18"/>
  <c r="O111" i="18"/>
  <c r="N111" i="18"/>
  <c r="M111" i="18"/>
  <c r="L111" i="18"/>
  <c r="K111" i="18"/>
  <c r="J111" i="18"/>
  <c r="I111" i="18"/>
  <c r="H111" i="18"/>
  <c r="G111" i="18"/>
  <c r="O110" i="18"/>
  <c r="N110" i="18"/>
  <c r="M110" i="18"/>
  <c r="L110" i="18"/>
  <c r="K110" i="18"/>
  <c r="J110" i="18"/>
  <c r="I110" i="18"/>
  <c r="H110" i="18"/>
  <c r="G110" i="18"/>
  <c r="O109" i="18"/>
  <c r="N109" i="18"/>
  <c r="M109" i="18"/>
  <c r="L109" i="18"/>
  <c r="K109" i="18"/>
  <c r="J109" i="18"/>
  <c r="I109" i="18"/>
  <c r="H109" i="18"/>
  <c r="G109" i="18"/>
  <c r="O108" i="18"/>
  <c r="N108" i="18"/>
  <c r="M108" i="18"/>
  <c r="L108" i="18"/>
  <c r="K108" i="18"/>
  <c r="J108" i="18"/>
  <c r="I108" i="18"/>
  <c r="H108" i="18"/>
  <c r="G108" i="18"/>
  <c r="O22" i="18"/>
  <c r="N22" i="18"/>
  <c r="M22" i="18"/>
  <c r="L22" i="18"/>
  <c r="K22" i="18"/>
  <c r="J22" i="18"/>
  <c r="I22" i="18"/>
  <c r="H22" i="18"/>
  <c r="G22" i="18"/>
  <c r="O106" i="18"/>
  <c r="N106" i="18"/>
  <c r="M106" i="18"/>
  <c r="L106" i="18"/>
  <c r="K106" i="18"/>
  <c r="J106" i="18"/>
  <c r="I106" i="18"/>
  <c r="H106" i="18"/>
  <c r="G106" i="18"/>
  <c r="O105" i="18"/>
  <c r="N105" i="18"/>
  <c r="M105" i="18"/>
  <c r="L105" i="18"/>
  <c r="K105" i="18"/>
  <c r="J105" i="18"/>
  <c r="I105" i="18"/>
  <c r="H105" i="18"/>
  <c r="G105" i="18"/>
  <c r="O104" i="18"/>
  <c r="N104" i="18"/>
  <c r="M104" i="18"/>
  <c r="L104" i="18"/>
  <c r="K104" i="18"/>
  <c r="J104" i="18"/>
  <c r="I104" i="18"/>
  <c r="H104" i="18"/>
  <c r="G104" i="18"/>
  <c r="O103" i="18"/>
  <c r="N103" i="18"/>
  <c r="M103" i="18"/>
  <c r="L103" i="18"/>
  <c r="K103" i="18"/>
  <c r="J103" i="18"/>
  <c r="I103" i="18"/>
  <c r="H103" i="18"/>
  <c r="G103" i="18"/>
  <c r="O102" i="18"/>
  <c r="N102" i="18"/>
  <c r="M102" i="18"/>
  <c r="L102" i="18"/>
  <c r="K102" i="18"/>
  <c r="J102" i="18"/>
  <c r="I102" i="18"/>
  <c r="H102" i="18"/>
  <c r="G102" i="18"/>
  <c r="O101" i="18"/>
  <c r="N101" i="18"/>
  <c r="M101" i="18"/>
  <c r="L101" i="18"/>
  <c r="K101" i="18"/>
  <c r="J101" i="18"/>
  <c r="I101" i="18"/>
  <c r="H101" i="18"/>
  <c r="G101" i="18"/>
  <c r="O100" i="18"/>
  <c r="N100" i="18"/>
  <c r="M100" i="18"/>
  <c r="L100" i="18"/>
  <c r="K100" i="18"/>
  <c r="J100" i="18"/>
  <c r="I100" i="18"/>
  <c r="H100" i="18"/>
  <c r="G100" i="18"/>
  <c r="O99" i="18"/>
  <c r="N99" i="18"/>
  <c r="M99" i="18"/>
  <c r="L99" i="18"/>
  <c r="K99" i="18"/>
  <c r="J99" i="18"/>
  <c r="I99" i="18"/>
  <c r="H99" i="18"/>
  <c r="G99" i="18"/>
  <c r="O98" i="18"/>
  <c r="N98" i="18"/>
  <c r="M98" i="18"/>
  <c r="L98" i="18"/>
  <c r="K98" i="18"/>
  <c r="J98" i="18"/>
  <c r="I98" i="18"/>
  <c r="H98" i="18"/>
  <c r="G98" i="18"/>
  <c r="O97" i="18"/>
  <c r="N97" i="18"/>
  <c r="M97" i="18"/>
  <c r="L97" i="18"/>
  <c r="K97" i="18"/>
  <c r="J97" i="18"/>
  <c r="I97" i="18"/>
  <c r="H97" i="18"/>
  <c r="G97" i="18"/>
  <c r="O96" i="18"/>
  <c r="N96" i="18"/>
  <c r="M96" i="18"/>
  <c r="L96" i="18"/>
  <c r="K96" i="18"/>
  <c r="J96" i="18"/>
  <c r="I96" i="18"/>
  <c r="H96" i="18"/>
  <c r="G96" i="18"/>
  <c r="O95" i="18"/>
  <c r="N95" i="18"/>
  <c r="M95" i="18"/>
  <c r="L95" i="18"/>
  <c r="K95" i="18"/>
  <c r="J95" i="18"/>
  <c r="I95" i="18"/>
  <c r="H95" i="18"/>
  <c r="G95" i="18"/>
  <c r="O233" i="18"/>
  <c r="N233" i="18"/>
  <c r="M233" i="18"/>
  <c r="L233" i="18"/>
  <c r="K233" i="18"/>
  <c r="J233" i="18"/>
  <c r="I233" i="18"/>
  <c r="H233" i="18"/>
  <c r="G233" i="18"/>
  <c r="O193" i="18"/>
  <c r="N193" i="18"/>
  <c r="M193" i="18"/>
  <c r="L193" i="18"/>
  <c r="K193" i="18"/>
  <c r="J193" i="18"/>
  <c r="I193" i="18"/>
  <c r="H193" i="18"/>
  <c r="G193" i="18"/>
  <c r="O94" i="18"/>
  <c r="N94" i="18"/>
  <c r="M94" i="18"/>
  <c r="L94" i="18"/>
  <c r="K94" i="18"/>
  <c r="J94" i="18"/>
  <c r="I94" i="18"/>
  <c r="H94" i="18"/>
  <c r="G94" i="18"/>
  <c r="O93" i="18"/>
  <c r="N93" i="18"/>
  <c r="M93" i="18"/>
  <c r="L93" i="18"/>
  <c r="K93" i="18"/>
  <c r="J93" i="18"/>
  <c r="I93" i="18"/>
  <c r="H93" i="18"/>
  <c r="G93" i="18"/>
  <c r="O92" i="18"/>
  <c r="N92" i="18"/>
  <c r="M92" i="18"/>
  <c r="L92" i="18"/>
  <c r="K92" i="18"/>
  <c r="J92" i="18"/>
  <c r="I92" i="18"/>
  <c r="H92" i="18"/>
  <c r="G92" i="18"/>
  <c r="O91" i="18"/>
  <c r="N91" i="18"/>
  <c r="M91" i="18"/>
  <c r="L91" i="18"/>
  <c r="K91" i="18"/>
  <c r="J91" i="18"/>
  <c r="I91" i="18"/>
  <c r="H91" i="18"/>
  <c r="G91" i="18"/>
  <c r="O89" i="18"/>
  <c r="N89" i="18"/>
  <c r="M89" i="18"/>
  <c r="L89" i="18"/>
  <c r="K89" i="18"/>
  <c r="J89" i="18"/>
  <c r="I89" i="18"/>
  <c r="H89" i="18"/>
  <c r="G89" i="18"/>
  <c r="O88" i="18"/>
  <c r="N88" i="18"/>
  <c r="M88" i="18"/>
  <c r="L88" i="18"/>
  <c r="K88" i="18"/>
  <c r="J88" i="18"/>
  <c r="I88" i="18"/>
  <c r="H88" i="18"/>
  <c r="G88" i="18"/>
  <c r="O87" i="18"/>
  <c r="N87" i="18"/>
  <c r="M87" i="18"/>
  <c r="L87" i="18"/>
  <c r="K87" i="18"/>
  <c r="J87" i="18"/>
  <c r="I87" i="18"/>
  <c r="H87" i="18"/>
  <c r="G87" i="18"/>
  <c r="O86" i="18"/>
  <c r="N86" i="18"/>
  <c r="M86" i="18"/>
  <c r="L86" i="18"/>
  <c r="K86" i="18"/>
  <c r="J86" i="18"/>
  <c r="I86" i="18"/>
  <c r="H86" i="18"/>
  <c r="G86" i="18"/>
  <c r="O85" i="18"/>
  <c r="N85" i="18"/>
  <c r="M85" i="18"/>
  <c r="L85" i="18"/>
  <c r="K85" i="18"/>
  <c r="J85" i="18"/>
  <c r="I85" i="18"/>
  <c r="H85" i="18"/>
  <c r="G85" i="18"/>
  <c r="O183" i="18"/>
  <c r="N183" i="18"/>
  <c r="M183" i="18"/>
  <c r="L183" i="18"/>
  <c r="K183" i="18"/>
  <c r="J183" i="18"/>
  <c r="I183" i="18"/>
  <c r="H183" i="18"/>
  <c r="G183" i="18"/>
  <c r="O84" i="18"/>
  <c r="N84" i="18"/>
  <c r="M84" i="18"/>
  <c r="L84" i="18"/>
  <c r="K84" i="18"/>
  <c r="J84" i="18"/>
  <c r="I84" i="18"/>
  <c r="H84" i="18"/>
  <c r="G84" i="18"/>
  <c r="O83" i="18"/>
  <c r="N83" i="18"/>
  <c r="M83" i="18"/>
  <c r="L83" i="18"/>
  <c r="K83" i="18"/>
  <c r="J83" i="18"/>
  <c r="I83" i="18"/>
  <c r="H83" i="18"/>
  <c r="G83" i="18"/>
  <c r="O82" i="18"/>
  <c r="N82" i="18"/>
  <c r="M82" i="18"/>
  <c r="L82" i="18"/>
  <c r="K82" i="18"/>
  <c r="J82" i="18"/>
  <c r="I82" i="18"/>
  <c r="H82" i="18"/>
  <c r="G82" i="18"/>
  <c r="O81" i="18"/>
  <c r="N81" i="18"/>
  <c r="M81" i="18"/>
  <c r="L81" i="18"/>
  <c r="K81" i="18"/>
  <c r="J81" i="18"/>
  <c r="I81" i="18"/>
  <c r="H81" i="18"/>
  <c r="G81" i="18"/>
  <c r="O80" i="18"/>
  <c r="N80" i="18"/>
  <c r="M80" i="18"/>
  <c r="L80" i="18"/>
  <c r="K80" i="18"/>
  <c r="J80" i="18"/>
  <c r="I80" i="18"/>
  <c r="H80" i="18"/>
  <c r="G80" i="18"/>
  <c r="O299" i="18"/>
  <c r="N299" i="18"/>
  <c r="M299" i="18"/>
  <c r="L299" i="18"/>
  <c r="K299" i="18"/>
  <c r="J299" i="18"/>
  <c r="I299" i="18"/>
  <c r="H299" i="18"/>
  <c r="G299" i="18"/>
  <c r="O298" i="18"/>
  <c r="N298" i="18"/>
  <c r="M298" i="18"/>
  <c r="L298" i="18"/>
  <c r="K298" i="18"/>
  <c r="J298" i="18"/>
  <c r="I298" i="18"/>
  <c r="H298" i="18"/>
  <c r="G298" i="18"/>
  <c r="O297" i="18"/>
  <c r="N297" i="18"/>
  <c r="M297" i="18"/>
  <c r="L297" i="18"/>
  <c r="K297" i="18"/>
  <c r="J297" i="18"/>
  <c r="I297" i="18"/>
  <c r="H297" i="18"/>
  <c r="G297" i="18"/>
  <c r="O296" i="18"/>
  <c r="N296" i="18"/>
  <c r="M296" i="18"/>
  <c r="L296" i="18"/>
  <c r="K296" i="18"/>
  <c r="J296" i="18"/>
  <c r="I296" i="18"/>
  <c r="H296" i="18"/>
  <c r="G296" i="18"/>
  <c r="O295" i="18"/>
  <c r="N295" i="18"/>
  <c r="M295" i="18"/>
  <c r="L295" i="18"/>
  <c r="K295" i="18"/>
  <c r="J295" i="18"/>
  <c r="I295" i="18"/>
  <c r="H295" i="18"/>
  <c r="G295" i="18"/>
  <c r="O293" i="18"/>
  <c r="N293" i="18"/>
  <c r="M293" i="18"/>
  <c r="L293" i="18"/>
  <c r="K293" i="18"/>
  <c r="J293" i="18"/>
  <c r="I293" i="18"/>
  <c r="H293" i="18"/>
  <c r="G293" i="18"/>
  <c r="O292" i="18"/>
  <c r="N292" i="18"/>
  <c r="M292" i="18"/>
  <c r="L292" i="18"/>
  <c r="K292" i="18"/>
  <c r="J292" i="18"/>
  <c r="I292" i="18"/>
  <c r="H292" i="18"/>
  <c r="G292" i="18"/>
  <c r="O291" i="18"/>
  <c r="N291" i="18"/>
  <c r="M291" i="18"/>
  <c r="L291" i="18"/>
  <c r="K291" i="18"/>
  <c r="J291" i="18"/>
  <c r="I291" i="18"/>
  <c r="H291" i="18"/>
  <c r="G291" i="18"/>
  <c r="O290" i="18"/>
  <c r="N290" i="18"/>
  <c r="M290" i="18"/>
  <c r="L290" i="18"/>
  <c r="K290" i="18"/>
  <c r="J290" i="18"/>
  <c r="I290" i="18"/>
  <c r="H290" i="18"/>
  <c r="G290" i="18"/>
  <c r="O289" i="18"/>
  <c r="N289" i="18"/>
  <c r="M289" i="18"/>
  <c r="L289" i="18"/>
  <c r="K289" i="18"/>
  <c r="J289" i="18"/>
  <c r="I289" i="18"/>
  <c r="H289" i="18"/>
  <c r="G289" i="18"/>
  <c r="O288" i="18"/>
  <c r="N288" i="18"/>
  <c r="M288" i="18"/>
  <c r="L288" i="18"/>
  <c r="K288" i="18"/>
  <c r="J288" i="18"/>
  <c r="I288" i="18"/>
  <c r="H288" i="18"/>
  <c r="G288" i="18"/>
  <c r="O287" i="18"/>
  <c r="N287" i="18"/>
  <c r="M287" i="18"/>
  <c r="L287" i="18"/>
  <c r="K287" i="18"/>
  <c r="J287" i="18"/>
  <c r="I287" i="18"/>
  <c r="H287" i="18"/>
  <c r="G287" i="18"/>
  <c r="O286" i="18"/>
  <c r="N286" i="18"/>
  <c r="M286" i="18"/>
  <c r="L286" i="18"/>
  <c r="K286" i="18"/>
  <c r="J286" i="18"/>
  <c r="I286" i="18"/>
  <c r="H286" i="18"/>
  <c r="G286" i="18"/>
  <c r="O285" i="18"/>
  <c r="N285" i="18"/>
  <c r="M285" i="18"/>
  <c r="L285" i="18"/>
  <c r="K285" i="18"/>
  <c r="J285" i="18"/>
  <c r="I285" i="18"/>
  <c r="H285" i="18"/>
  <c r="G285" i="18"/>
  <c r="O284" i="18"/>
  <c r="N284" i="18"/>
  <c r="M284" i="18"/>
  <c r="L284" i="18"/>
  <c r="K284" i="18"/>
  <c r="J284" i="18"/>
  <c r="I284" i="18"/>
  <c r="H284" i="18"/>
  <c r="G284" i="18"/>
  <c r="O283" i="18"/>
  <c r="N283" i="18"/>
  <c r="M283" i="18"/>
  <c r="L283" i="18"/>
  <c r="K283" i="18"/>
  <c r="J283" i="18"/>
  <c r="I283" i="18"/>
  <c r="H283" i="18"/>
  <c r="G283" i="18"/>
  <c r="O282" i="18"/>
  <c r="N282" i="18"/>
  <c r="M282" i="18"/>
  <c r="L282" i="18"/>
  <c r="K282" i="18"/>
  <c r="J282" i="18"/>
  <c r="I282" i="18"/>
  <c r="H282" i="18"/>
  <c r="G282" i="18"/>
  <c r="O281" i="18"/>
  <c r="N281" i="18"/>
  <c r="M281" i="18"/>
  <c r="L281" i="18"/>
  <c r="K281" i="18"/>
  <c r="J281" i="18"/>
  <c r="I281" i="18"/>
  <c r="H281" i="18"/>
  <c r="G281" i="18"/>
  <c r="O280" i="18"/>
  <c r="N280" i="18"/>
  <c r="M280" i="18"/>
  <c r="L280" i="18"/>
  <c r="K280" i="18"/>
  <c r="J280" i="18"/>
  <c r="I280" i="18"/>
  <c r="H280" i="18"/>
  <c r="G280" i="18"/>
  <c r="O279" i="18"/>
  <c r="N279" i="18"/>
  <c r="M279" i="18"/>
  <c r="L279" i="18"/>
  <c r="K279" i="18"/>
  <c r="J279" i="18"/>
  <c r="I279" i="18"/>
  <c r="H279" i="18"/>
  <c r="G279" i="18"/>
  <c r="O278" i="18"/>
  <c r="N278" i="18"/>
  <c r="M278" i="18"/>
  <c r="L278" i="18"/>
  <c r="K278" i="18"/>
  <c r="J278" i="18"/>
  <c r="I278" i="18"/>
  <c r="H278" i="18"/>
  <c r="G278" i="18"/>
  <c r="O277" i="18"/>
  <c r="N277" i="18"/>
  <c r="M277" i="18"/>
  <c r="L277" i="18"/>
  <c r="K277" i="18"/>
  <c r="J277" i="18"/>
  <c r="I277" i="18"/>
  <c r="H277" i="18"/>
  <c r="G277" i="18"/>
  <c r="O276" i="18"/>
  <c r="N276" i="18"/>
  <c r="M276" i="18"/>
  <c r="L276" i="18"/>
  <c r="K276" i="18"/>
  <c r="J276" i="18"/>
  <c r="I276" i="18"/>
  <c r="H276" i="18"/>
  <c r="G276" i="18"/>
  <c r="O275" i="18"/>
  <c r="N275" i="18"/>
  <c r="M275" i="18"/>
  <c r="L275" i="18"/>
  <c r="K275" i="18"/>
  <c r="J275" i="18"/>
  <c r="I275" i="18"/>
  <c r="H275" i="18"/>
  <c r="G275" i="18"/>
  <c r="O274" i="18"/>
  <c r="N274" i="18"/>
  <c r="M274" i="18"/>
  <c r="L274" i="18"/>
  <c r="K274" i="18"/>
  <c r="J274" i="18"/>
  <c r="I274" i="18"/>
  <c r="H274" i="18"/>
  <c r="G274" i="18"/>
  <c r="O273" i="18"/>
  <c r="N273" i="18"/>
  <c r="M273" i="18"/>
  <c r="L273" i="18"/>
  <c r="K273" i="18"/>
  <c r="J273" i="18"/>
  <c r="I273" i="18"/>
  <c r="H273" i="18"/>
  <c r="G273" i="18"/>
  <c r="O272" i="18"/>
  <c r="N272" i="18"/>
  <c r="M272" i="18"/>
  <c r="L272" i="18"/>
  <c r="K272" i="18"/>
  <c r="J272" i="18"/>
  <c r="I272" i="18"/>
  <c r="H272" i="18"/>
  <c r="G272" i="18"/>
  <c r="O271" i="18"/>
  <c r="N271" i="18"/>
  <c r="M271" i="18"/>
  <c r="L271" i="18"/>
  <c r="K271" i="18"/>
  <c r="J271" i="18"/>
  <c r="I271" i="18"/>
  <c r="H271" i="18"/>
  <c r="G271" i="18"/>
  <c r="O270" i="18"/>
  <c r="N270" i="18"/>
  <c r="M270" i="18"/>
  <c r="L270" i="18"/>
  <c r="K270" i="18"/>
  <c r="J270" i="18"/>
  <c r="I270" i="18"/>
  <c r="H270" i="18"/>
  <c r="G270" i="18"/>
  <c r="O269" i="18"/>
  <c r="N269" i="18"/>
  <c r="M269" i="18"/>
  <c r="L269" i="18"/>
  <c r="K269" i="18"/>
  <c r="J269" i="18"/>
  <c r="I269" i="18"/>
  <c r="H269" i="18"/>
  <c r="G269" i="18"/>
  <c r="O268" i="18"/>
  <c r="N268" i="18"/>
  <c r="M268" i="18"/>
  <c r="L268" i="18"/>
  <c r="K268" i="18"/>
  <c r="J268" i="18"/>
  <c r="I268" i="18"/>
  <c r="H268" i="18"/>
  <c r="G268" i="18"/>
  <c r="O267" i="18"/>
  <c r="N267" i="18"/>
  <c r="M267" i="18"/>
  <c r="L267" i="18"/>
  <c r="K267" i="18"/>
  <c r="J267" i="18"/>
  <c r="I267" i="18"/>
  <c r="H267" i="18"/>
  <c r="G267" i="18"/>
  <c r="O266" i="18"/>
  <c r="N266" i="18"/>
  <c r="M266" i="18"/>
  <c r="L266" i="18"/>
  <c r="K266" i="18"/>
  <c r="J266" i="18"/>
  <c r="I266" i="18"/>
  <c r="H266" i="18"/>
  <c r="G266" i="18"/>
  <c r="O265" i="18"/>
  <c r="N265" i="18"/>
  <c r="M265" i="18"/>
  <c r="L265" i="18"/>
  <c r="K265" i="18"/>
  <c r="J265" i="18"/>
  <c r="I265" i="18"/>
  <c r="H265" i="18"/>
  <c r="G265" i="18"/>
  <c r="O264" i="18"/>
  <c r="N264" i="18"/>
  <c r="M264" i="18"/>
  <c r="L264" i="18"/>
  <c r="K264" i="18"/>
  <c r="J264" i="18"/>
  <c r="I264" i="18"/>
  <c r="H264" i="18"/>
  <c r="G264" i="18"/>
  <c r="O263" i="18"/>
  <c r="N263" i="18"/>
  <c r="M263" i="18"/>
  <c r="L263" i="18"/>
  <c r="K263" i="18"/>
  <c r="J263" i="18"/>
  <c r="I263" i="18"/>
  <c r="H263" i="18"/>
  <c r="G263" i="18"/>
  <c r="O262" i="18"/>
  <c r="N262" i="18"/>
  <c r="M262" i="18"/>
  <c r="L262" i="18"/>
  <c r="K262" i="18"/>
  <c r="J262" i="18"/>
  <c r="I262" i="18"/>
  <c r="H262" i="18"/>
  <c r="G262" i="18"/>
  <c r="O260" i="18"/>
  <c r="N260" i="18"/>
  <c r="M260" i="18"/>
  <c r="L260" i="18"/>
  <c r="K260" i="18"/>
  <c r="J260" i="18"/>
  <c r="I260" i="18"/>
  <c r="H260" i="18"/>
  <c r="G260" i="18"/>
  <c r="O259" i="18"/>
  <c r="N259" i="18"/>
  <c r="M259" i="18"/>
  <c r="L259" i="18"/>
  <c r="K259" i="18"/>
  <c r="J259" i="18"/>
  <c r="I259" i="18"/>
  <c r="H259" i="18"/>
  <c r="G259" i="18"/>
  <c r="O258" i="18"/>
  <c r="N258" i="18"/>
  <c r="M258" i="18"/>
  <c r="L258" i="18"/>
  <c r="K258" i="18"/>
  <c r="J258" i="18"/>
  <c r="I258" i="18"/>
  <c r="H258" i="18"/>
  <c r="G258" i="18"/>
  <c r="O257" i="18"/>
  <c r="N257" i="18"/>
  <c r="M257" i="18"/>
  <c r="L257" i="18"/>
  <c r="K257" i="18"/>
  <c r="J257" i="18"/>
  <c r="I257" i="18"/>
  <c r="H257" i="18"/>
  <c r="G257" i="18"/>
  <c r="O256" i="18"/>
  <c r="N256" i="18"/>
  <c r="M256" i="18"/>
  <c r="L256" i="18"/>
  <c r="K256" i="18"/>
  <c r="J256" i="18"/>
  <c r="I256" i="18"/>
  <c r="H256" i="18"/>
  <c r="G256" i="18"/>
  <c r="O255" i="18"/>
  <c r="N255" i="18"/>
  <c r="M255" i="18"/>
  <c r="L255" i="18"/>
  <c r="K255" i="18"/>
  <c r="J255" i="18"/>
  <c r="I255" i="18"/>
  <c r="H255" i="18"/>
  <c r="G255" i="18"/>
  <c r="O254" i="18"/>
  <c r="N254" i="18"/>
  <c r="M254" i="18"/>
  <c r="L254" i="18"/>
  <c r="K254" i="18"/>
  <c r="J254" i="18"/>
  <c r="I254" i="18"/>
  <c r="H254" i="18"/>
  <c r="G254" i="18"/>
  <c r="O252" i="18"/>
  <c r="N252" i="18"/>
  <c r="M252" i="18"/>
  <c r="L252" i="18"/>
  <c r="K252" i="18"/>
  <c r="J252" i="18"/>
  <c r="I252" i="18"/>
  <c r="H252" i="18"/>
  <c r="G252" i="18"/>
  <c r="O251" i="18"/>
  <c r="N251" i="18"/>
  <c r="M251" i="18"/>
  <c r="L251" i="18"/>
  <c r="K251" i="18"/>
  <c r="J251" i="18"/>
  <c r="I251" i="18"/>
  <c r="H251" i="18"/>
  <c r="G251" i="18"/>
  <c r="O250" i="18"/>
  <c r="N250" i="18"/>
  <c r="M250" i="18"/>
  <c r="L250" i="18"/>
  <c r="K250" i="18"/>
  <c r="J250" i="18"/>
  <c r="I250" i="18"/>
  <c r="H250" i="18"/>
  <c r="G250" i="18"/>
  <c r="O249" i="18"/>
  <c r="N249" i="18"/>
  <c r="M249" i="18"/>
  <c r="L249" i="18"/>
  <c r="K249" i="18"/>
  <c r="J249" i="18"/>
  <c r="I249" i="18"/>
  <c r="H249" i="18"/>
  <c r="G249" i="18"/>
  <c r="O248" i="18"/>
  <c r="N248" i="18"/>
  <c r="M248" i="18"/>
  <c r="L248" i="18"/>
  <c r="K248" i="18"/>
  <c r="J248" i="18"/>
  <c r="I248" i="18"/>
  <c r="H248" i="18"/>
  <c r="G248" i="18"/>
  <c r="O247" i="18"/>
  <c r="N247" i="18"/>
  <c r="M247" i="18"/>
  <c r="L247" i="18"/>
  <c r="K247" i="18"/>
  <c r="J247" i="18"/>
  <c r="I247" i="18"/>
  <c r="H247" i="18"/>
  <c r="G247" i="18"/>
  <c r="O246" i="18"/>
  <c r="N246" i="18"/>
  <c r="M246" i="18"/>
  <c r="L246" i="18"/>
  <c r="K246" i="18"/>
  <c r="J246" i="18"/>
  <c r="I246" i="18"/>
  <c r="H246" i="18"/>
  <c r="G246" i="18"/>
  <c r="O245" i="18"/>
  <c r="N245" i="18"/>
  <c r="M245" i="18"/>
  <c r="L245" i="18"/>
  <c r="K245" i="18"/>
  <c r="J245" i="18"/>
  <c r="I245" i="18"/>
  <c r="H245" i="18"/>
  <c r="G245" i="18"/>
  <c r="O244" i="18"/>
  <c r="N244" i="18"/>
  <c r="M244" i="18"/>
  <c r="L244" i="18"/>
  <c r="K244" i="18"/>
  <c r="J244" i="18"/>
  <c r="I244" i="18"/>
  <c r="H244" i="18"/>
  <c r="G244" i="18"/>
  <c r="O243" i="18"/>
  <c r="N243" i="18"/>
  <c r="M243" i="18"/>
  <c r="L243" i="18"/>
  <c r="K243" i="18"/>
  <c r="J243" i="18"/>
  <c r="I243" i="18"/>
  <c r="H243" i="18"/>
  <c r="G243" i="18"/>
  <c r="O242" i="18"/>
  <c r="N242" i="18"/>
  <c r="M242" i="18"/>
  <c r="L242" i="18"/>
  <c r="K242" i="18"/>
  <c r="J242" i="18"/>
  <c r="I242" i="18"/>
  <c r="H242" i="18"/>
  <c r="G242" i="18"/>
  <c r="O241" i="18"/>
  <c r="N241" i="18"/>
  <c r="M241" i="18"/>
  <c r="L241" i="18"/>
  <c r="K241" i="18"/>
  <c r="J241" i="18"/>
  <c r="I241" i="18"/>
  <c r="H241" i="18"/>
  <c r="G241" i="18"/>
  <c r="O240" i="18"/>
  <c r="N240" i="18"/>
  <c r="M240" i="18"/>
  <c r="L240" i="18"/>
  <c r="K240" i="18"/>
  <c r="J240" i="18"/>
  <c r="I240" i="18"/>
  <c r="H240" i="18"/>
  <c r="G240" i="18"/>
  <c r="O79" i="18"/>
  <c r="N79" i="18"/>
  <c r="M79" i="18"/>
  <c r="L79" i="18"/>
  <c r="K79" i="18"/>
  <c r="J79" i="18"/>
  <c r="I79" i="18"/>
  <c r="H79" i="18"/>
  <c r="G79" i="18"/>
  <c r="O78" i="18"/>
  <c r="N78" i="18"/>
  <c r="M78" i="18"/>
  <c r="L78" i="18"/>
  <c r="K78" i="18"/>
  <c r="J78" i="18"/>
  <c r="I78" i="18"/>
  <c r="H78" i="18"/>
  <c r="G78" i="18"/>
  <c r="O77" i="18"/>
  <c r="N77" i="18"/>
  <c r="M77" i="18"/>
  <c r="L77" i="18"/>
  <c r="K77" i="18"/>
  <c r="J77" i="18"/>
  <c r="I77" i="18"/>
  <c r="H77" i="18"/>
  <c r="G77" i="18"/>
  <c r="O76" i="18"/>
  <c r="N76" i="18"/>
  <c r="M76" i="18"/>
  <c r="L76" i="18"/>
  <c r="K76" i="18"/>
  <c r="J76" i="18"/>
  <c r="I76" i="18"/>
  <c r="H76" i="18"/>
  <c r="G76" i="18"/>
  <c r="O75" i="18"/>
  <c r="N75" i="18"/>
  <c r="M75" i="18"/>
  <c r="L75" i="18"/>
  <c r="K75" i="18"/>
  <c r="J75" i="18"/>
  <c r="I75" i="18"/>
  <c r="H75" i="18"/>
  <c r="G75" i="18"/>
  <c r="O74" i="18"/>
  <c r="N74" i="18"/>
  <c r="M74" i="18"/>
  <c r="L74" i="18"/>
  <c r="K74" i="18"/>
  <c r="J74" i="18"/>
  <c r="I74" i="18"/>
  <c r="H74" i="18"/>
  <c r="G74" i="18"/>
  <c r="O72" i="18"/>
  <c r="N72" i="18"/>
  <c r="M72" i="18"/>
  <c r="L72" i="18"/>
  <c r="K72" i="18"/>
  <c r="J72" i="18"/>
  <c r="I72" i="18"/>
  <c r="H72" i="18"/>
  <c r="G72" i="18"/>
  <c r="O71" i="18"/>
  <c r="N71" i="18"/>
  <c r="M71" i="18"/>
  <c r="L71" i="18"/>
  <c r="K71" i="18"/>
  <c r="J71" i="18"/>
  <c r="I71" i="18"/>
  <c r="H71" i="18"/>
  <c r="G71" i="18"/>
  <c r="O70" i="18"/>
  <c r="N70" i="18"/>
  <c r="M70" i="18"/>
  <c r="L70" i="18"/>
  <c r="K70" i="18"/>
  <c r="J70" i="18"/>
  <c r="I70" i="18"/>
  <c r="H70" i="18"/>
  <c r="G70" i="18"/>
  <c r="O68" i="18"/>
  <c r="N68" i="18"/>
  <c r="M68" i="18"/>
  <c r="L68" i="18"/>
  <c r="K68" i="18"/>
  <c r="J68" i="18"/>
  <c r="I68" i="18"/>
  <c r="H68" i="18"/>
  <c r="G68" i="18"/>
  <c r="O67" i="18"/>
  <c r="N67" i="18"/>
  <c r="M67" i="18"/>
  <c r="L67" i="18"/>
  <c r="K67" i="18"/>
  <c r="J67" i="18"/>
  <c r="I67" i="18"/>
  <c r="H67" i="18"/>
  <c r="G67" i="18"/>
  <c r="E253" i="18" l="1"/>
  <c r="E289" i="18"/>
  <c r="E282" i="18" l="1"/>
  <c r="E76" i="18"/>
  <c r="E88" i="18"/>
  <c r="E241" i="18"/>
  <c r="E131" i="18"/>
  <c r="E89" i="18"/>
  <c r="E280" i="18"/>
  <c r="E445" i="18" l="1"/>
  <c r="E446" i="18"/>
  <c r="E444" i="18"/>
  <c r="E443" i="18"/>
  <c r="E442" i="18"/>
  <c r="E441" i="18"/>
  <c r="E440" i="18"/>
  <c r="E439" i="18"/>
  <c r="E438" i="18"/>
  <c r="E437" i="18"/>
  <c r="E436" i="18"/>
  <c r="E435" i="18"/>
  <c r="E434" i="18"/>
  <c r="E433" i="18"/>
  <c r="E66" i="18"/>
  <c r="E65" i="18"/>
  <c r="E64" i="18"/>
  <c r="E63" i="18"/>
  <c r="E62" i="18"/>
  <c r="E61" i="18"/>
  <c r="E60" i="18"/>
  <c r="E59" i="18"/>
  <c r="E58" i="18"/>
  <c r="E294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61" i="18"/>
  <c r="E24" i="18"/>
  <c r="E23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8" i="18"/>
  <c r="E7" i="18"/>
  <c r="E6" i="18"/>
  <c r="E5" i="18"/>
  <c r="E4" i="18"/>
  <c r="E3" i="18"/>
  <c r="E2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19" i="18"/>
  <c r="E418" i="18"/>
  <c r="E417" i="18"/>
  <c r="E416" i="18"/>
  <c r="E415" i="18"/>
  <c r="E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3" i="18"/>
  <c r="E392" i="18"/>
  <c r="E391" i="18"/>
  <c r="E390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E365" i="18"/>
  <c r="E364" i="18"/>
  <c r="E363" i="18"/>
  <c r="E362" i="18"/>
  <c r="E361" i="18"/>
  <c r="E394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39" i="18"/>
  <c r="E238" i="18"/>
  <c r="E237" i="18"/>
  <c r="E236" i="18"/>
  <c r="E235" i="18"/>
  <c r="E234" i="18"/>
  <c r="E232" i="18"/>
  <c r="E231" i="18"/>
  <c r="E230" i="18"/>
  <c r="E229" i="18"/>
  <c r="E228" i="18"/>
  <c r="E227" i="18"/>
  <c r="E226" i="18"/>
  <c r="E225" i="18"/>
  <c r="E224" i="18"/>
  <c r="E223" i="18"/>
  <c r="E188" i="18"/>
  <c r="E222" i="18"/>
  <c r="E221" i="18"/>
  <c r="E90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E197" i="18"/>
  <c r="E196" i="18"/>
  <c r="E195" i="18"/>
  <c r="E194" i="18"/>
  <c r="E192" i="18"/>
  <c r="E191" i="18"/>
  <c r="E190" i="18"/>
  <c r="E189" i="18"/>
  <c r="E187" i="18"/>
  <c r="E186" i="18"/>
  <c r="E185" i="18"/>
  <c r="E184" i="18"/>
  <c r="E182" i="18"/>
  <c r="E181" i="18"/>
  <c r="E180" i="18"/>
  <c r="E179" i="18"/>
  <c r="E178" i="18"/>
  <c r="E177" i="18"/>
  <c r="E176" i="18"/>
  <c r="E175" i="18"/>
  <c r="E174" i="18"/>
  <c r="E173" i="18"/>
  <c r="E172" i="18"/>
  <c r="E171" i="18"/>
  <c r="E170" i="18"/>
  <c r="E169" i="18"/>
  <c r="E168" i="18"/>
  <c r="E167" i="18"/>
  <c r="E166" i="18"/>
  <c r="E165" i="18"/>
  <c r="E164" i="18"/>
  <c r="E163" i="18"/>
  <c r="E389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0" i="18"/>
  <c r="E129" i="18"/>
  <c r="E128" i="18"/>
  <c r="E127" i="18"/>
  <c r="E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22" i="18"/>
  <c r="E106" i="18"/>
  <c r="E105" i="18"/>
  <c r="E104" i="18"/>
  <c r="E103" i="18"/>
  <c r="E102" i="18"/>
  <c r="E101" i="18"/>
  <c r="E100" i="18"/>
  <c r="E99" i="18"/>
  <c r="E98" i="18"/>
  <c r="E97" i="18"/>
  <c r="E96" i="18"/>
  <c r="E95" i="18"/>
  <c r="E233" i="18"/>
  <c r="E193" i="18"/>
  <c r="E94" i="18"/>
  <c r="E93" i="18"/>
  <c r="E92" i="18"/>
  <c r="E91" i="18"/>
  <c r="E87" i="18"/>
  <c r="E86" i="18"/>
  <c r="E85" i="18"/>
  <c r="E183" i="18"/>
  <c r="E84" i="18"/>
  <c r="E83" i="18"/>
  <c r="E82" i="18"/>
  <c r="E81" i="18"/>
  <c r="E80" i="18"/>
  <c r="E299" i="18"/>
  <c r="E298" i="18"/>
  <c r="E297" i="18"/>
  <c r="E296" i="18"/>
  <c r="E295" i="18"/>
  <c r="E293" i="18"/>
  <c r="E292" i="18"/>
  <c r="E291" i="18"/>
  <c r="E290" i="18"/>
  <c r="E288" i="18"/>
  <c r="E287" i="18"/>
  <c r="E286" i="18"/>
  <c r="E285" i="18"/>
  <c r="E284" i="18"/>
  <c r="E283" i="18"/>
  <c r="E281" i="18"/>
  <c r="E279" i="18"/>
  <c r="E278" i="18"/>
  <c r="E277" i="18"/>
  <c r="E276" i="18"/>
  <c r="E275" i="18"/>
  <c r="E274" i="18"/>
  <c r="E273" i="18"/>
  <c r="E272" i="18"/>
  <c r="E271" i="18"/>
  <c r="E270" i="18"/>
  <c r="E269" i="18"/>
  <c r="E268" i="18"/>
  <c r="E267" i="18"/>
  <c r="E266" i="18"/>
  <c r="E265" i="18"/>
  <c r="E264" i="18"/>
  <c r="E263" i="18"/>
  <c r="E262" i="18"/>
  <c r="E260" i="18"/>
  <c r="E259" i="18"/>
  <c r="E258" i="18"/>
  <c r="E257" i="18"/>
  <c r="E256" i="18"/>
  <c r="E255" i="18"/>
  <c r="E254" i="18"/>
  <c r="E252" i="18"/>
  <c r="E251" i="18"/>
  <c r="E250" i="18"/>
  <c r="E249" i="18"/>
  <c r="E248" i="18"/>
  <c r="E247" i="18"/>
  <c r="E246" i="18"/>
  <c r="E245" i="18"/>
  <c r="E244" i="18"/>
  <c r="E243" i="18"/>
  <c r="E242" i="18"/>
  <c r="E240" i="18"/>
  <c r="E79" i="18"/>
  <c r="E78" i="18"/>
  <c r="E77" i="18"/>
  <c r="E75" i="18"/>
  <c r="E74" i="18"/>
  <c r="E72" i="18"/>
  <c r="E71" i="18"/>
  <c r="E70" i="18"/>
  <c r="E68" i="18"/>
  <c r="E67" i="18"/>
  <c r="K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4" i="17"/>
  <c r="L4" i="17"/>
  <c r="M3" i="17"/>
  <c r="L3" i="17"/>
  <c r="M2" i="17"/>
  <c r="L2" i="17"/>
  <c r="N2" i="17" s="1"/>
  <c r="C15" i="16"/>
  <c r="C13" i="16"/>
  <c r="C12" i="16"/>
  <c r="C11" i="16"/>
  <c r="C10" i="16"/>
  <c r="C9" i="16"/>
  <c r="C8" i="16"/>
  <c r="C7" i="16"/>
  <c r="C6" i="16"/>
  <c r="C5" i="16"/>
  <c r="C4" i="16"/>
  <c r="C3" i="16"/>
  <c r="C2" i="16"/>
  <c r="N3" i="17" l="1"/>
  <c r="C16" i="16"/>
  <c r="O3" i="17"/>
  <c r="M16" i="17"/>
  <c r="N10" i="17"/>
  <c r="N14" i="17"/>
  <c r="O14" i="17"/>
  <c r="O10" i="17"/>
  <c r="L16" i="17"/>
  <c r="N5" i="17"/>
  <c r="O5" i="17"/>
  <c r="O2" i="17"/>
  <c r="J2" i="17" s="1"/>
  <c r="J10" i="17" l="1"/>
  <c r="J5" i="17"/>
  <c r="J14" i="17"/>
  <c r="J3" i="17"/>
  <c r="O16" i="17"/>
  <c r="N16" i="17"/>
  <c r="J16" i="17" l="1"/>
</calcChain>
</file>

<file path=xl/sharedStrings.xml><?xml version="1.0" encoding="utf-8"?>
<sst xmlns="http://schemas.openxmlformats.org/spreadsheetml/2006/main" count="15847" uniqueCount="4530">
  <si>
    <t>KUR/PPB/FO-002</t>
  </si>
  <si>
    <t>DAFTAR HADIR SISWA</t>
  </si>
  <si>
    <t>( CATATAN HARIAN GURU DAN DAFTAR NILAI )</t>
  </si>
  <si>
    <t>SMK MUHAMMADIYAH 1 BANTUL</t>
  </si>
  <si>
    <t>KELAS : X TAV / TE</t>
  </si>
  <si>
    <t>MATA PELAJARAN              :..................................................</t>
  </si>
  <si>
    <t>SEMESTER                   :..................</t>
  </si>
  <si>
    <t>GURU MATA PELAJARAN  :..................................................</t>
  </si>
  <si>
    <t>WALI AMANAH</t>
  </si>
  <si>
    <t>NOMOR</t>
  </si>
  <si>
    <t>NAMA</t>
  </si>
  <si>
    <t xml:space="preserve">BULAN : </t>
  </si>
  <si>
    <t>JUMLAH</t>
  </si>
  <si>
    <t>Nilai Tugas Harian</t>
  </si>
  <si>
    <t>Nilai KD</t>
  </si>
  <si>
    <t>URUT</t>
  </si>
  <si>
    <t>INDUK</t>
  </si>
  <si>
    <t>S</t>
  </si>
  <si>
    <t>I</t>
  </si>
  <si>
    <t>A</t>
  </si>
  <si>
    <t>CATATAN HARIAN GURU</t>
  </si>
  <si>
    <t>Deskripsi Penilaian</t>
  </si>
  <si>
    <t>NO</t>
  </si>
  <si>
    <t>Tanggal</t>
  </si>
  <si>
    <t>Kegiatan Pembelajaran</t>
  </si>
  <si>
    <t>Materi Pembelajaran</t>
  </si>
  <si>
    <t>Menerangkan/Diskusi/Tugas/Ujian*)</t>
  </si>
  <si>
    <t>Keterangan :</t>
  </si>
  <si>
    <t>Bantul,……………………………………….</t>
  </si>
  <si>
    <t>Penilaian diisikan setiap kali melakukan penilaian harian berupa tugas, tes tertulis, tes lisan, tes unjuk kerja atau portopolio ( Validasi setiap Bulan )</t>
  </si>
  <si>
    <t>Guru Bidang Studi</t>
  </si>
  <si>
    <t>*) Pada kolom kegiatan pembelajaran coret yang tidak dilakukan, kegiatan pembelajaran bisa lebih dari satu kegiatan</t>
  </si>
  <si>
    <t>…………………………………………….</t>
  </si>
  <si>
    <t>NBM…………………………………….</t>
  </si>
  <si>
    <t>KELAS : X TPM 1 / TM 1</t>
  </si>
  <si>
    <t>KELAS : X TPM 2 / TM 2</t>
  </si>
  <si>
    <t>KELAS : X RPL 1 / PPLG 1</t>
  </si>
  <si>
    <t>KELAS : X RPL 2 / PPLG 2</t>
  </si>
  <si>
    <t>KELAS</t>
  </si>
  <si>
    <t>X TAV / TE</t>
  </si>
  <si>
    <t>X TPM 1 / TM 1</t>
  </si>
  <si>
    <t xml:space="preserve">NIS TERAKHIR : </t>
  </si>
  <si>
    <t>X TPM 2 / TM 2</t>
  </si>
  <si>
    <t>X RPL 1 / PPLG 1</t>
  </si>
  <si>
    <t>X RPL 2 / PPLG 2</t>
  </si>
  <si>
    <t>TOTAL</t>
  </si>
  <si>
    <t>NIS</t>
  </si>
  <si>
    <t>NAMA SISWA</t>
  </si>
  <si>
    <t>KELAS 2</t>
  </si>
  <si>
    <t>KET</t>
  </si>
  <si>
    <t>JURUSAN</t>
  </si>
  <si>
    <t>JUMLAH AWAL</t>
  </si>
  <si>
    <t>ROMBEL</t>
  </si>
  <si>
    <t>AKTIF</t>
  </si>
  <si>
    <t>KELUAR</t>
  </si>
  <si>
    <t>TOTAL AKTIF</t>
  </si>
  <si>
    <t>TOTAL KELUAR</t>
  </si>
  <si>
    <t>10 TE</t>
  </si>
  <si>
    <t>TE / TAV</t>
  </si>
  <si>
    <t>TM / TPM</t>
  </si>
  <si>
    <t>TO / TKRO</t>
  </si>
  <si>
    <t>TO / TBSM</t>
  </si>
  <si>
    <t>PPLG / RPL</t>
  </si>
  <si>
    <t>10 TM 1</t>
  </si>
  <si>
    <t>10 TM 2</t>
  </si>
  <si>
    <t>10 TO 1</t>
  </si>
  <si>
    <t>10 TO 2</t>
  </si>
  <si>
    <t>10 TO 3</t>
  </si>
  <si>
    <t>10 TO 4</t>
  </si>
  <si>
    <t>10 TO 5</t>
  </si>
  <si>
    <t>10 TO 6</t>
  </si>
  <si>
    <t>10 TO 7</t>
  </si>
  <si>
    <t>10 TO 8</t>
  </si>
  <si>
    <t>10 TO 9</t>
  </si>
  <si>
    <t>10 PPLG 1</t>
  </si>
  <si>
    <t>10 PPLG 2</t>
  </si>
  <si>
    <t>NO DAFTAR</t>
  </si>
  <si>
    <t>HP 1</t>
  </si>
  <si>
    <t>HP 2</t>
  </si>
  <si>
    <t>DUSUN</t>
  </si>
  <si>
    <t>RT</t>
  </si>
  <si>
    <t>DESA</t>
  </si>
  <si>
    <t>KECAMATAN</t>
  </si>
  <si>
    <t>ORANG TUA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</si>
  <si>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</si>
  <si>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</si>
  <si>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</si>
  <si>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</si>
  <si>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</si>
  <si>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</si>
  <si>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</si>
  <si>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</si>
  <si>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</si>
  <si>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</si>
  <si>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</si>
  <si>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</si>
  <si>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</si>
  <si>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</si>
  <si>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</si>
  <si>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</si>
  <si>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</si>
  <si>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</si>
  <si>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</si>
  <si>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</si>
  <si>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</si>
  <si>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</si>
  <si>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</si>
  <si>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</si>
  <si>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</si>
  <si>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</si>
  <si>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</si>
  <si>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</si>
  <si>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</si>
  <si>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</si>
  <si>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</si>
  <si>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</si>
  <si>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</si>
  <si>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</si>
  <si>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</si>
  <si>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</si>
  <si>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</si>
  <si>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</si>
  <si>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</si>
  <si>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</si>
  <si>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</si>
  <si>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</si>
  <si>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</si>
  <si>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</si>
  <si>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</si>
  <si>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</si>
  <si>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</si>
  <si>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</si>
  <si>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</si>
  <si>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</si>
  <si>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</si>
  <si>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</si>
  <si>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</si>
  <si>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</si>
  <si>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</si>
  <si>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</si>
  <si>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</si>
  <si>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</si>
  <si>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</si>
  <si>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</si>
  <si>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</si>
  <si>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</si>
  <si>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</si>
  <si>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</si>
  <si>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</si>
  <si>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</si>
  <si>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</si>
  <si>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</si>
  <si>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</si>
  <si>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</si>
  <si>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</si>
  <si>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</si>
  <si>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</si>
  <si>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</si>
  <si>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</si>
  <si>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</si>
  <si>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</si>
  <si>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</si>
  <si>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</si>
  <si>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</si>
  <si>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</si>
  <si>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</si>
  <si>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</si>
  <si>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</si>
  <si>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</si>
  <si>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</si>
  <si>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</si>
  <si>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</si>
  <si>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</si>
  <si>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</si>
  <si>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</si>
  <si>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</si>
  <si>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</si>
  <si>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</si>
  <si>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</si>
  <si>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</si>
  <si>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</si>
  <si>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</si>
  <si>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</si>
  <si>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</si>
  <si>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</si>
  <si>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</si>
  <si>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</si>
  <si>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</si>
  <si>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</si>
  <si>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</si>
  <si>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</si>
  <si>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</si>
  <si>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</si>
  <si>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</si>
  <si>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</si>
  <si>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</si>
  <si>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</si>
  <si>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</si>
  <si>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</si>
  <si>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</si>
  <si>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</si>
  <si>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</si>
  <si>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</si>
  <si>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</si>
  <si>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</si>
  <si>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</si>
  <si>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</si>
  <si>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</si>
  <si>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</si>
  <si>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</si>
  <si>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</si>
  <si>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</si>
  <si>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</si>
  <si>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</si>
  <si>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</si>
  <si>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</si>
  <si>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</si>
  <si>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</si>
  <si>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</si>
  <si>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</si>
  <si>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</si>
  <si>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</si>
  <si>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</si>
  <si>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</si>
  <si>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</si>
  <si>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</si>
  <si>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</si>
  <si>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</si>
  <si>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</si>
  <si>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</si>
  <si>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</si>
  <si>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</si>
  <si>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</si>
  <si>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</si>
  <si>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</si>
  <si>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</si>
  <si>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</si>
  <si>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</si>
  <si>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</si>
  <si>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</si>
  <si>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</si>
  <si>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</si>
  <si>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</si>
  <si>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</si>
  <si>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</si>
  <si>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</si>
  <si>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</si>
  <si>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</si>
  <si>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</si>
  <si>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</si>
  <si>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</si>
  <si>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</si>
  <si>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</si>
  <si>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</si>
  <si>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</si>
  <si>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</si>
  <si>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</si>
  <si>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</si>
  <si>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</si>
  <si>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</si>
  <si>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</si>
  <si>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</si>
  <si>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</si>
  <si>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</si>
  <si>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</si>
  <si>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</si>
  <si>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</si>
  <si>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</si>
  <si>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</si>
  <si>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</si>
  <si>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</si>
  <si>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</si>
  <si>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</si>
  <si>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</si>
  <si>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</si>
  <si>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</si>
  <si>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</si>
  <si>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</si>
  <si>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</si>
  <si>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</si>
  <si>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</si>
  <si>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</si>
  <si>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</si>
  <si>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</si>
  <si>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</si>
  <si>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</si>
  <si>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</si>
  <si>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</si>
  <si>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</si>
  <si>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</si>
  <si>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</si>
  <si>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</si>
  <si>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</si>
  <si>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</si>
  <si>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</si>
  <si>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</si>
  <si>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</si>
  <si>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</si>
  <si>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</si>
  <si>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</si>
  <si>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</si>
  <si>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</si>
  <si>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</si>
  <si>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</si>
  <si>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</si>
  <si>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</si>
  <si>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</si>
  <si>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</si>
  <si>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</si>
  <si>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</si>
  <si>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</si>
  <si>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</si>
  <si>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</si>
  <si>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</si>
  <si>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</si>
  <si>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</si>
  <si>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</si>
  <si>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</si>
  <si>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</si>
  <si>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</si>
  <si>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</si>
  <si>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</si>
  <si>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</si>
  <si>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</si>
  <si>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</si>
  <si>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</si>
  <si>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</si>
  <si>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</si>
  <si>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</si>
  <si>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</si>
  <si>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</si>
  <si>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</si>
  <si>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</si>
  <si>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</si>
  <si>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</si>
  <si>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</si>
  <si>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</si>
  <si>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</si>
  <si>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</si>
  <si>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</si>
  <si>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</si>
  <si>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</si>
  <si>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</si>
  <si>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</si>
  <si>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</si>
  <si>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</si>
  <si>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</si>
  <si>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</si>
  <si>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</si>
  <si>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</si>
  <si>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</si>
  <si>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</si>
  <si>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</si>
  <si>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</si>
  <si>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</si>
  <si>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</si>
  <si>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</si>
  <si>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</si>
  <si>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</si>
  <si>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</si>
  <si>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</si>
  <si>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</si>
  <si>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</si>
  <si>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</si>
  <si>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</si>
  <si>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</si>
  <si>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</si>
  <si>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</si>
  <si>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</si>
  <si>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</si>
  <si>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</si>
  <si>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</si>
  <si>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</si>
  <si>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</si>
  <si>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</si>
  <si>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</si>
  <si>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</si>
  <si>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</si>
  <si>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</si>
  <si>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</si>
  <si>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</si>
  <si>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</si>
  <si>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</si>
  <si>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</si>
  <si>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</si>
  <si>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</si>
  <si>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</si>
  <si>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</si>
  <si>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</si>
  <si>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</si>
  <si>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</si>
  <si>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</si>
  <si>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</si>
  <si>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</si>
  <si>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</si>
  <si>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</si>
  <si>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</si>
  <si>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</si>
  <si>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</si>
  <si>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</si>
  <si>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</si>
  <si>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</si>
  <si>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</si>
  <si>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</si>
  <si>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</si>
  <si>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</si>
  <si>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</si>
  <si>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</si>
  <si>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</si>
  <si>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</si>
  <si>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</si>
  <si>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</si>
  <si>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</si>
  <si>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</si>
  <si>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</si>
  <si>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</si>
  <si>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</si>
  <si>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</si>
  <si>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</si>
  <si>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</si>
  <si>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</si>
  <si>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</si>
  <si>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</si>
  <si>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</si>
  <si>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</si>
  <si>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</si>
  <si>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</si>
  <si>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</si>
  <si>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</si>
  <si>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</si>
  <si>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</si>
  <si>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</si>
  <si>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</si>
  <si>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</si>
  <si>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</si>
  <si>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</si>
  <si>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</si>
  <si>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</si>
  <si>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</si>
  <si>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</si>
  <si>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</si>
  <si>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</si>
  <si>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</si>
  <si>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</si>
  <si>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</si>
  <si>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</si>
  <si>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</si>
  <si>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</si>
  <si>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</si>
  <si>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</si>
  <si>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</si>
  <si>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</si>
  <si>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</si>
  <si>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</si>
  <si>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</si>
  <si>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</si>
  <si>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</si>
  <si>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</si>
  <si>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</si>
  <si>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</si>
  <si>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</si>
  <si>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</si>
  <si>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</si>
  <si>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</si>
  <si>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</si>
  <si>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</si>
  <si>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</si>
  <si>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</si>
  <si>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</si>
  <si>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</si>
  <si>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</si>
  <si>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</si>
  <si>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</si>
  <si>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</si>
  <si>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</si>
  <si>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</si>
  <si>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</si>
  <si>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</si>
  <si>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</si>
  <si>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</si>
  <si>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</si>
  <si>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</si>
  <si>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</si>
  <si>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</si>
  <si>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</si>
  <si>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</si>
  <si>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</si>
  <si>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</si>
  <si>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</si>
  <si>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</si>
  <si>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</si>
  <si>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</si>
  <si>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</si>
  <si>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</si>
  <si>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</si>
  <si>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</si>
  <si>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</si>
  <si>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</si>
  <si>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</si>
  <si>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</si>
  <si>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</si>
  <si>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</si>
  <si>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</si>
  <si>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</si>
  <si>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</si>
  <si>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</si>
  <si>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</si>
  <si>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</si>
  <si>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</si>
  <si>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</si>
  <si>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</si>
  <si>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</si>
  <si>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</si>
  <si>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</si>
  <si>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</si>
  <si>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</si>
  <si>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</si>
  <si>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</si>
  <si>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</si>
  <si>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</si>
  <si>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</si>
  <si>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</si>
  <si>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</si>
  <si>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</si>
  <si>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</si>
  <si>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</si>
  <si>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</si>
  <si>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</si>
  <si>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</si>
  <si>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</si>
  <si>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</si>
  <si>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</si>
  <si>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</si>
  <si>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</si>
  <si>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</si>
  <si>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</si>
  <si>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</si>
  <si>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</si>
  <si>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</si>
  <si>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</si>
  <si>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</si>
  <si>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</si>
  <si>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</si>
  <si>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</si>
  <si>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</si>
  <si>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</si>
  <si>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</si>
  <si>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</si>
  <si>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</si>
  <si>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</si>
  <si>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</si>
  <si>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</si>
  <si>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</si>
  <si>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</si>
  <si>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</si>
  <si>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</si>
  <si>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</si>
  <si>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</si>
  <si>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</si>
  <si>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</si>
  <si>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</si>
  <si>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</si>
  <si>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</si>
  <si>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</si>
  <si>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</si>
  <si>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</si>
  <si>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</si>
  <si>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</si>
  <si>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</si>
  <si>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</si>
  <si>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</si>
  <si>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</si>
  <si>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</si>
  <si>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</si>
  <si>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</si>
  <si>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</si>
  <si>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</si>
  <si>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</si>
  <si>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</si>
  <si>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</si>
  <si>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</si>
  <si>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</si>
  <si>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</si>
  <si>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</si>
  <si>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</si>
  <si>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</si>
  <si>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</si>
  <si>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</si>
  <si>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</si>
  <si>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SMP/MTs</t>
  </si>
  <si>
    <t>Tgl Lahir</t>
  </si>
  <si>
    <t>10 TAV</t>
  </si>
  <si>
    <t>10 TPM 1</t>
  </si>
  <si>
    <t>10 TPM 2</t>
  </si>
  <si>
    <t>10 RPL 1</t>
  </si>
  <si>
    <t>10 RPL 2</t>
  </si>
  <si>
    <t>TAHUN PELAJARAN    : 2025/2026</t>
  </si>
  <si>
    <t>No</t>
  </si>
  <si>
    <t>Nomor Pendaftaran</t>
  </si>
  <si>
    <t>Nama Lengkap</t>
  </si>
  <si>
    <t>Tempat Lahir</t>
  </si>
  <si>
    <t>Tangal Lahir Siswa</t>
  </si>
  <si>
    <t>JeKel</t>
  </si>
  <si>
    <t>Nama Ortu</t>
  </si>
  <si>
    <t>Pekerjaan Ortu</t>
  </si>
  <si>
    <t>Dusun</t>
  </si>
  <si>
    <t>RW</t>
  </si>
  <si>
    <t>Kelurahan</t>
  </si>
  <si>
    <t>Kecamatan</t>
  </si>
  <si>
    <t>Kabupaten</t>
  </si>
  <si>
    <t>Prov</t>
  </si>
  <si>
    <t>Asal Sekolah</t>
  </si>
  <si>
    <t>No Siswa</t>
  </si>
  <si>
    <t>No Ortu</t>
  </si>
  <si>
    <t>Pil 1</t>
  </si>
  <si>
    <t>MSB25-00-001</t>
  </si>
  <si>
    <t>FERISCHO RICKY SAPUTRA</t>
  </si>
  <si>
    <t>BANTUL</t>
  </si>
  <si>
    <t>7-03-2010</t>
  </si>
  <si>
    <t>L</t>
  </si>
  <si>
    <t>RUDIYANTO</t>
  </si>
  <si>
    <t>KARYAWAN SWASTA</t>
  </si>
  <si>
    <t>KEPUH</t>
  </si>
  <si>
    <t>0</t>
  </si>
  <si>
    <t>MULYODADI</t>
  </si>
  <si>
    <t>BAMBANGLIPURO</t>
  </si>
  <si>
    <t>DIY</t>
  </si>
  <si>
    <t>SMP MUHAMMADIYAH 1 BAMBANGLIPURO</t>
  </si>
  <si>
    <t>083113003554</t>
  </si>
  <si>
    <t>TBSM</t>
  </si>
  <si>
    <t>MSB25-00-002</t>
  </si>
  <si>
    <t>AFGA DWI CAHYO</t>
  </si>
  <si>
    <t>28-08-2010</t>
  </si>
  <si>
    <t>SUGIWIYANA</t>
  </si>
  <si>
    <t>PETANI</t>
  </si>
  <si>
    <t>PALIHAN</t>
  </si>
  <si>
    <t>SIDOMULYO</t>
  </si>
  <si>
    <t>SMP N 1 BAMBANGLIPURO</t>
  </si>
  <si>
    <t>087804842540</t>
  </si>
  <si>
    <t>MSB25-00-003</t>
  </si>
  <si>
    <t>20-03-2010</t>
  </si>
  <si>
    <t>MUDAKIR</t>
  </si>
  <si>
    <t>buruh</t>
  </si>
  <si>
    <t>PELEMSEWU</t>
  </si>
  <si>
    <t>PANGGUNGHARJO</t>
  </si>
  <si>
    <t>SEWON</t>
  </si>
  <si>
    <t>SMP MUHAMMADIYAH SEWON</t>
  </si>
  <si>
    <t>08972189566</t>
  </si>
  <si>
    <t>TKR</t>
  </si>
  <si>
    <t>MSB25-00-004</t>
  </si>
  <si>
    <t>ARFIYAN RIZKY KURNIAWAN</t>
  </si>
  <si>
    <t>20-11-2009</t>
  </si>
  <si>
    <t>ARIYONO</t>
  </si>
  <si>
    <t>BURUH</t>
  </si>
  <si>
    <t>BOLON</t>
  </si>
  <si>
    <t>PALBAPANG</t>
  </si>
  <si>
    <t>SMP N 3 BANTUL</t>
  </si>
  <si>
    <t>085713331085</t>
  </si>
  <si>
    <t>MSB25-00-005</t>
  </si>
  <si>
    <t>RIFQI ILHAM PRATAMA</t>
  </si>
  <si>
    <t>13-03-2010</t>
  </si>
  <si>
    <t>RINTOKO</t>
  </si>
  <si>
    <t>MONGGANG</t>
  </si>
  <si>
    <t>SRIHARDONO</t>
  </si>
  <si>
    <t>PUNDONG</t>
  </si>
  <si>
    <t>SMP N 1 PUNDONG</t>
  </si>
  <si>
    <t>085759121667</t>
  </si>
  <si>
    <t>MSB25-00-006</t>
  </si>
  <si>
    <t>FAHRIZAL TEGAR DWI SANTOSO</t>
  </si>
  <si>
    <t>9-03-2010</t>
  </si>
  <si>
    <t>PURWADI SANTOSO</t>
  </si>
  <si>
    <t>KADIBESO</t>
  </si>
  <si>
    <t>SABDODADI</t>
  </si>
  <si>
    <t>087839467341</t>
  </si>
  <si>
    <t>MSB25-00-007</t>
  </si>
  <si>
    <t>BAHRUL ULUM NAFI</t>
  </si>
  <si>
    <t>11-01-2010</t>
  </si>
  <si>
    <t>SUGIONO</t>
  </si>
  <si>
    <t>JUALAN</t>
  </si>
  <si>
    <t>PEPE</t>
  </si>
  <si>
    <t>TRIRENGGO</t>
  </si>
  <si>
    <t>SMP PANCASILA KRIAN</t>
  </si>
  <si>
    <t>085732030340</t>
  </si>
  <si>
    <t>MSB25-00-008</t>
  </si>
  <si>
    <t>RAKA DWI ANDIKA</t>
  </si>
  <si>
    <t>4-06-2009</t>
  </si>
  <si>
    <t>NURYADI</t>
  </si>
  <si>
    <t>KRAPYAK KULON</t>
  </si>
  <si>
    <t>SMP N 4 SEWON</t>
  </si>
  <si>
    <t>081359510458</t>
  </si>
  <si>
    <t>MSB25-00-009</t>
  </si>
  <si>
    <t>DIMAS PUTRA PRATAMA</t>
  </si>
  <si>
    <t>8-07-2009</t>
  </si>
  <si>
    <t>SLAMET</t>
  </si>
  <si>
    <t>PANJANG</t>
  </si>
  <si>
    <t>PANJANGREJO</t>
  </si>
  <si>
    <t>08995080974</t>
  </si>
  <si>
    <t>MSB25-00-010</t>
  </si>
  <si>
    <t>MUHAMMAD ALIF ERFANURDIANSYAH</t>
  </si>
  <si>
    <t>21-09-2009</t>
  </si>
  <si>
    <t>KUN FAYADI</t>
  </si>
  <si>
    <t>CEPOR KIDUL</t>
  </si>
  <si>
    <t>SMP MUHAMMADIYAH 2 BAMBANGLIPURO</t>
  </si>
  <si>
    <t>085727740015</t>
  </si>
  <si>
    <t>MSB25-00-011</t>
  </si>
  <si>
    <t>GALANG FIRMAN SAPUTRA</t>
  </si>
  <si>
    <t>7-01-2010</t>
  </si>
  <si>
    <t>GUNARDI</t>
  </si>
  <si>
    <t>087838738900</t>
  </si>
  <si>
    <t>MSB25-00-012</t>
  </si>
  <si>
    <t>BIMO FAJAR KUSUMA</t>
  </si>
  <si>
    <t>31-03-2010</t>
  </si>
  <si>
    <t>TUKIJAN</t>
  </si>
  <si>
    <t>MANDING</t>
  </si>
  <si>
    <t>SMP MUHAMMADIYAH BANTUL</t>
  </si>
  <si>
    <t>0895325667873</t>
  </si>
  <si>
    <t>MSB25-00-013</t>
  </si>
  <si>
    <t>AGUS DWI RIYANTO</t>
  </si>
  <si>
    <t>15-08-2008</t>
  </si>
  <si>
    <t>MURDIMAN</t>
  </si>
  <si>
    <t>GANDEKAN</t>
  </si>
  <si>
    <t>SMP ISLAM PRESTASI</t>
  </si>
  <si>
    <t>089504591520</t>
  </si>
  <si>
    <t>MSB25-00-014</t>
  </si>
  <si>
    <t>SATRIA RAKA ADE PRASETYO</t>
  </si>
  <si>
    <t>24-01-2010</t>
  </si>
  <si>
    <t>KIRWANTO</t>
  </si>
  <si>
    <t>DAGEN</t>
  </si>
  <si>
    <t>RINGIN HARJO</t>
  </si>
  <si>
    <t>083846731305</t>
  </si>
  <si>
    <t>TPM</t>
  </si>
  <si>
    <t>MSB25-00-015</t>
  </si>
  <si>
    <t>KANE SAVERO RIDHO YULIANTO</t>
  </si>
  <si>
    <t>13-10-2009</t>
  </si>
  <si>
    <t>AGUS YULIANTO</t>
  </si>
  <si>
    <t>WIRASWASTA</t>
  </si>
  <si>
    <t>KARASAN</t>
  </si>
  <si>
    <t>082223236576</t>
  </si>
  <si>
    <t>MSB25-00-016</t>
  </si>
  <si>
    <t>HURIN NA'IMAH</t>
  </si>
  <si>
    <t>P</t>
  </si>
  <si>
    <t>ABDUL HAMID</t>
  </si>
  <si>
    <t>JODOG</t>
  </si>
  <si>
    <t>GILANGHARJO</t>
  </si>
  <si>
    <t>PANDAK</t>
  </si>
  <si>
    <t>SMP N 3 PANDAK</t>
  </si>
  <si>
    <t>085712643658</t>
  </si>
  <si>
    <t>MSB25-00-017</t>
  </si>
  <si>
    <t>MUHAMMAD ABBAD ADZ DZAKA</t>
  </si>
  <si>
    <t>GRESIK</t>
  </si>
  <si>
    <t>3-01-2010</t>
  </si>
  <si>
    <t>SUTARDI</t>
  </si>
  <si>
    <t>KLEMBON</t>
  </si>
  <si>
    <t>MTs N 4 BANTUL</t>
  </si>
  <si>
    <t>087846631667</t>
  </si>
  <si>
    <t>MSB25-00-018</t>
  </si>
  <si>
    <t>FAUZ EGA RAMADHAN</t>
  </si>
  <si>
    <t>12-09-2009</t>
  </si>
  <si>
    <t>PONIDI</t>
  </si>
  <si>
    <t>SOKA</t>
  </si>
  <si>
    <t>SELOHARJO</t>
  </si>
  <si>
    <t>085640939299</t>
  </si>
  <si>
    <t>MSB25-00-019</t>
  </si>
  <si>
    <t>RAFAEL RIVIANSYAH</t>
  </si>
  <si>
    <t>26-07-2009</t>
  </si>
  <si>
    <t>RISYANTO</t>
  </si>
  <si>
    <t>MASAHAN</t>
  </si>
  <si>
    <t>085700549872</t>
  </si>
  <si>
    <t>MSB25-00-020</t>
  </si>
  <si>
    <t>SALVIN SYUKUR NUR HIDAYAT</t>
  </si>
  <si>
    <t>13-12-2008</t>
  </si>
  <si>
    <t>SUKABDI</t>
  </si>
  <si>
    <t>BANYUDONO</t>
  </si>
  <si>
    <t>083102525087</t>
  </si>
  <si>
    <t>MSB25-00-021</t>
  </si>
  <si>
    <t>IRFAN FADHIL IKHSANTAKA</t>
  </si>
  <si>
    <t>7-07-2009</t>
  </si>
  <si>
    <t>IKHSAN</t>
  </si>
  <si>
    <t>CAGUNAN</t>
  </si>
  <si>
    <t>TRIMURTI</t>
  </si>
  <si>
    <t>SRANDAKAN</t>
  </si>
  <si>
    <t>SMP N 1 SRANDAKAN</t>
  </si>
  <si>
    <t>0895401667344</t>
  </si>
  <si>
    <t>MSB25-00-022</t>
  </si>
  <si>
    <t>ABDUL FATIH KHOIRUDDIN</t>
  </si>
  <si>
    <t>20-06-2009</t>
  </si>
  <si>
    <t>SUTIKNO</t>
  </si>
  <si>
    <t>085229550068</t>
  </si>
  <si>
    <t>MSB25-00-023</t>
  </si>
  <si>
    <t>ALIAZA RASID</t>
  </si>
  <si>
    <t>15-05-2009</t>
  </si>
  <si>
    <t>SUPARDI</t>
  </si>
  <si>
    <t>SRUNGGO II</t>
  </si>
  <si>
    <t>SELOPAMIORO</t>
  </si>
  <si>
    <t>IMOGIRI</t>
  </si>
  <si>
    <t>SMP N 2 IMOGIRI</t>
  </si>
  <si>
    <t>085643837838</t>
  </si>
  <si>
    <t>MSB25-00-024</t>
  </si>
  <si>
    <t>IRVAN WAFIQ</t>
  </si>
  <si>
    <t>19-07-2010</t>
  </si>
  <si>
    <t>PARYONO</t>
  </si>
  <si>
    <t>SMP MUHAMMADIYAH PANGGANG</t>
  </si>
  <si>
    <t>08170411151</t>
  </si>
  <si>
    <t>MSB25-00-025</t>
  </si>
  <si>
    <t>RIZKI AHMAD KURNIAWAN</t>
  </si>
  <si>
    <t>MAGELANG</t>
  </si>
  <si>
    <t>4-07-2009</t>
  </si>
  <si>
    <t>RIYANTO</t>
  </si>
  <si>
    <t>NGABEAN</t>
  </si>
  <si>
    <t>TRIHARJO</t>
  </si>
  <si>
    <t>SMP N 4 PANDAK</t>
  </si>
  <si>
    <t>087812713913</t>
  </si>
  <si>
    <t>MSB25-00-026</t>
  </si>
  <si>
    <t>MUHAMMAD FAUZI NUR IKHSAN</t>
  </si>
  <si>
    <t>7-06-2009</t>
  </si>
  <si>
    <t>DARMANI</t>
  </si>
  <si>
    <t>BURUHAN</t>
  </si>
  <si>
    <t>TIRTOSARI</t>
  </si>
  <si>
    <t>KRETEK</t>
  </si>
  <si>
    <t>SMP N 1 KRETEK</t>
  </si>
  <si>
    <t>082225279093</t>
  </si>
  <si>
    <t>MSB25-00-027</t>
  </si>
  <si>
    <t>FAIQ FADHLUL AZIZ</t>
  </si>
  <si>
    <t>26-01-2010</t>
  </si>
  <si>
    <t>TUMIJO</t>
  </si>
  <si>
    <t>083103779037</t>
  </si>
  <si>
    <t>MSB25-00-028</t>
  </si>
  <si>
    <t>MUHAMMAD EZZA REZKY PRANOWO</t>
  </si>
  <si>
    <t>SLEMAN</t>
  </si>
  <si>
    <t>24-10-2009</t>
  </si>
  <si>
    <t>IBNU JATI PRANOWO</t>
  </si>
  <si>
    <t>SATPAM</t>
  </si>
  <si>
    <t>RW..</t>
  </si>
  <si>
    <t>089657744903</t>
  </si>
  <si>
    <t>MSB25-00-029</t>
  </si>
  <si>
    <t>ARTAMA RAHMAT FAUSTA</t>
  </si>
  <si>
    <t>14-04-2009</t>
  </si>
  <si>
    <t>ARI WIBOWO</t>
  </si>
  <si>
    <t>SALAM</t>
  </si>
  <si>
    <t>PATALAN</t>
  </si>
  <si>
    <t>JETIS</t>
  </si>
  <si>
    <t>SMP N 3 JETIS</t>
  </si>
  <si>
    <t>085767420151</t>
  </si>
  <si>
    <t>MSB25-00-030</t>
  </si>
  <si>
    <t>ANJAR RIZKI SAPUTRO</t>
  </si>
  <si>
    <t>27-04-2010</t>
  </si>
  <si>
    <t>ARIYANTO</t>
  </si>
  <si>
    <t>SRAGAN</t>
  </si>
  <si>
    <t>082134220040</t>
  </si>
  <si>
    <t>MSB25-00-031</t>
  </si>
  <si>
    <t>MUHAMMAD AKBAR PUTRA PRASETYO</t>
  </si>
  <si>
    <t>15-11-2009</t>
  </si>
  <si>
    <t>SUSILO</t>
  </si>
  <si>
    <t>NYEMENGAN</t>
  </si>
  <si>
    <t>TIRTONIRMOLO</t>
  </si>
  <si>
    <t>KASIHAN</t>
  </si>
  <si>
    <t>083849615744</t>
  </si>
  <si>
    <t>MSB25-00-032</t>
  </si>
  <si>
    <t>FAUZI MUHAMAD IRVAN</t>
  </si>
  <si>
    <t>1-11-2009</t>
  </si>
  <si>
    <t>LASIMAN</t>
  </si>
  <si>
    <t>KORIPAN</t>
  </si>
  <si>
    <t>PONCOSARI</t>
  </si>
  <si>
    <t>087744492490</t>
  </si>
  <si>
    <t>MSB25-00-033</t>
  </si>
  <si>
    <t>RIFA AHMAD MUSTAMAR</t>
  </si>
  <si>
    <t>26-06-2009</t>
  </si>
  <si>
    <t>EKO CAHYONO</t>
  </si>
  <si>
    <t>KARANGASEM</t>
  </si>
  <si>
    <t>0882008129216</t>
  </si>
  <si>
    <t>MSB25-00-034</t>
  </si>
  <si>
    <t>ABYAN MAHMUD ANSHORI</t>
  </si>
  <si>
    <t>24-09-2009</t>
  </si>
  <si>
    <t>BILAL</t>
  </si>
  <si>
    <t>SERAYU</t>
  </si>
  <si>
    <t>SMP IP AL MUBTADI-IEN</t>
  </si>
  <si>
    <t>083104738593</t>
  </si>
  <si>
    <t>MSB25-00-035</t>
  </si>
  <si>
    <t>KEVIN ALVIYANDANI</t>
  </si>
  <si>
    <t>27-09-2009</t>
  </si>
  <si>
    <t>APRI WIDIYANTO</t>
  </si>
  <si>
    <t>PIRING</t>
  </si>
  <si>
    <t>0895393585107</t>
  </si>
  <si>
    <t>MSB25-00-036</t>
  </si>
  <si>
    <t>NAUVAL PRADISTHA ILHAM</t>
  </si>
  <si>
    <t>GUNUNGKIDUL</t>
  </si>
  <si>
    <t>2-08-2009</t>
  </si>
  <si>
    <t>HERMANU</t>
  </si>
  <si>
    <t>IRT</t>
  </si>
  <si>
    <t>SOKOKEREP</t>
  </si>
  <si>
    <t>SEMANU</t>
  </si>
  <si>
    <t>SMP N 2 PAJANGAN</t>
  </si>
  <si>
    <t>087705478581</t>
  </si>
  <si>
    <t>RPL</t>
  </si>
  <si>
    <t>MSB25-00-037</t>
  </si>
  <si>
    <t>ARGA PRADISA PUTRA RAMADHANI</t>
  </si>
  <si>
    <t>PARJIANTO</t>
  </si>
  <si>
    <t>NOGOSARI I</t>
  </si>
  <si>
    <t>WUKIRSARI</t>
  </si>
  <si>
    <t>SMP MUHAMMADIYAH IMOGIRI</t>
  </si>
  <si>
    <t>085150738695</t>
  </si>
  <si>
    <t>MSB25-00-038</t>
  </si>
  <si>
    <t>RAFLI RAHMAT RAMDANI</t>
  </si>
  <si>
    <t>14-09-2009</t>
  </si>
  <si>
    <t>MARYANTA</t>
  </si>
  <si>
    <t>CIREN</t>
  </si>
  <si>
    <t>SMP N 2 PANDAK</t>
  </si>
  <si>
    <t>087892411631</t>
  </si>
  <si>
    <t>MSB25-00-039</t>
  </si>
  <si>
    <t>RAFIF OKSI FITA PRATAMA</t>
  </si>
  <si>
    <t>11-10-2009</t>
  </si>
  <si>
    <t>SUPRIYANTO</t>
  </si>
  <si>
    <t>KEMBANGGEDE</t>
  </si>
  <si>
    <t>GUWOSARI</t>
  </si>
  <si>
    <t>PAJANGAN</t>
  </si>
  <si>
    <t>SMP N 1 PAJANGAN</t>
  </si>
  <si>
    <t>0895402627339</t>
  </si>
  <si>
    <t>MSB25-00-040</t>
  </si>
  <si>
    <t>FAYAN NUR MUNTOHA</t>
  </si>
  <si>
    <t>16-03-2009</t>
  </si>
  <si>
    <t>HERU PURNOMO</t>
  </si>
  <si>
    <t>NGENTAK</t>
  </si>
  <si>
    <t>081903131352</t>
  </si>
  <si>
    <t>MSB25-00-041</t>
  </si>
  <si>
    <t>KINAN ADRI NOVANDO</t>
  </si>
  <si>
    <t>29-11-2009</t>
  </si>
  <si>
    <t>EKO HARJUNI</t>
  </si>
  <si>
    <t>MRISI</t>
  </si>
  <si>
    <t>03</t>
  </si>
  <si>
    <t>SMP MUHAMMADIYAH KASIHAN</t>
  </si>
  <si>
    <t>085802724914</t>
  </si>
  <si>
    <t>MSB25-00-042</t>
  </si>
  <si>
    <t>FARID NUR PRASETYO</t>
  </si>
  <si>
    <t>13-07-2010</t>
  </si>
  <si>
    <t>DONI PRASETYO</t>
  </si>
  <si>
    <t>BAKULAN</t>
  </si>
  <si>
    <t>085155471102</t>
  </si>
  <si>
    <t>MSB25-00-043</t>
  </si>
  <si>
    <t>CHASTELANO BARA PUTRA ADRIYAN</t>
  </si>
  <si>
    <t>11-04-2009</t>
  </si>
  <si>
    <t>TARNO</t>
  </si>
  <si>
    <t>NOGOSARI, KREKAH</t>
  </si>
  <si>
    <t>08975923676</t>
  </si>
  <si>
    <t>MSB25-00-044</t>
  </si>
  <si>
    <t>RAFKA ANDARA PRADANA</t>
  </si>
  <si>
    <t>SRI SUTRISNI</t>
  </si>
  <si>
    <t>087738504843</t>
  </si>
  <si>
    <t>MSB25-00-045</t>
  </si>
  <si>
    <t>AJI SAKA PRATAMA</t>
  </si>
  <si>
    <t>SEKAMPUNG</t>
  </si>
  <si>
    <t>IRHAN</t>
  </si>
  <si>
    <t>DEPOK</t>
  </si>
  <si>
    <t>SMP N 32 OGAN KOMERING ULU</t>
  </si>
  <si>
    <t>085664315830</t>
  </si>
  <si>
    <t>MSB25-00-046</t>
  </si>
  <si>
    <t>ADRIAN REZKY SAPUTRA</t>
  </si>
  <si>
    <t>HARWADI</t>
  </si>
  <si>
    <t>GEDONGAN</t>
  </si>
  <si>
    <t>BANGUNJIWO</t>
  </si>
  <si>
    <t>0895359379580</t>
  </si>
  <si>
    <t>MSB25-00-047</t>
  </si>
  <si>
    <t>ARDELL MAHENDRA YOVAN PRAMUDITA</t>
  </si>
  <si>
    <t>YOGYAKARTA</t>
  </si>
  <si>
    <t>WAWAN PRAMUDI</t>
  </si>
  <si>
    <t>PERCETAKAN</t>
  </si>
  <si>
    <t>SEMAIL</t>
  </si>
  <si>
    <t>BANGUNHARJO</t>
  </si>
  <si>
    <t>SMP MUHAMMADIYAH 9 YOGYAKARTA</t>
  </si>
  <si>
    <t>0882005445523</t>
  </si>
  <si>
    <t>MSB25-00-048</t>
  </si>
  <si>
    <t>AHMAD HAFIZ MAULANA</t>
  </si>
  <si>
    <t>9-10-2009</t>
  </si>
  <si>
    <t>SUNARTA</t>
  </si>
  <si>
    <t>PASUTAN</t>
  </si>
  <si>
    <t>SMP N 2 BANTUL</t>
  </si>
  <si>
    <t>082220545206</t>
  </si>
  <si>
    <t>MSB25-00-049</t>
  </si>
  <si>
    <t>RAFLI ADRIANSYAH</t>
  </si>
  <si>
    <t>11-06-2009</t>
  </si>
  <si>
    <t>AGUNG BUDI SANTOSO</t>
  </si>
  <si>
    <t>SOMPOK</t>
  </si>
  <si>
    <t>SRIHARJO</t>
  </si>
  <si>
    <t>SMP N 3 IMOGIRI</t>
  </si>
  <si>
    <t>083104813503</t>
  </si>
  <si>
    <t>MSB25-00-050</t>
  </si>
  <si>
    <t>MUHAMMAD NAFI' NASYWAN</t>
  </si>
  <si>
    <t>21-07-2009</t>
  </si>
  <si>
    <t>ESTO WIDARMONO</t>
  </si>
  <si>
    <t>BOGORAN</t>
  </si>
  <si>
    <t>081910782108</t>
  </si>
  <si>
    <t>MSB25-00-051</t>
  </si>
  <si>
    <t>RAFFA ADITYA</t>
  </si>
  <si>
    <t>28-10-2009</t>
  </si>
  <si>
    <t>ASTONI</t>
  </si>
  <si>
    <t>JUWONO</t>
  </si>
  <si>
    <t>089656453813 / 087839465005</t>
  </si>
  <si>
    <t>MSB25-00-052</t>
  </si>
  <si>
    <t>RIZKI NUR FAHRIZAL</t>
  </si>
  <si>
    <t>20-05-2010</t>
  </si>
  <si>
    <t>IMAM SYAFI'I</t>
  </si>
  <si>
    <t>TEGALSEMPU</t>
  </si>
  <si>
    <t>CATURHARJO</t>
  </si>
  <si>
    <t>0895392686027</t>
  </si>
  <si>
    <t>MSB25-00-053</t>
  </si>
  <si>
    <t>MUHAMMAD NUFAIL AL MUFADHDHOL WIBOWO</t>
  </si>
  <si>
    <t>21-08-2009</t>
  </si>
  <si>
    <t>AGUS ARI WIBOWO</t>
  </si>
  <si>
    <t>PADOKAN LOR</t>
  </si>
  <si>
    <t>Pondok Pesantren Al-Manar Pengasih</t>
  </si>
  <si>
    <t>089536303659</t>
  </si>
  <si>
    <t>MSB25-00-054</t>
  </si>
  <si>
    <t>NUR ADITIYA</t>
  </si>
  <si>
    <t>30-08-2009</t>
  </si>
  <si>
    <t>KARIM</t>
  </si>
  <si>
    <t>BUNGSING</t>
  </si>
  <si>
    <t>MTs AL-FURQON SANDEN</t>
  </si>
  <si>
    <t>083129247822</t>
  </si>
  <si>
    <t>MSB25-00-055</t>
  </si>
  <si>
    <t>RISKI AJI PRATAMA</t>
  </si>
  <si>
    <t>8-07-2010</t>
  </si>
  <si>
    <t>PARJIYONO</t>
  </si>
  <si>
    <t>SUMURAN</t>
  </si>
  <si>
    <t>085800724288</t>
  </si>
  <si>
    <t>MSB25-00-056</t>
  </si>
  <si>
    <t>MUHAMMAD RIDWAN</t>
  </si>
  <si>
    <t>11-05-2009</t>
  </si>
  <si>
    <t>PARJIYANTO</t>
  </si>
  <si>
    <t>WIDORO</t>
  </si>
  <si>
    <t>SMP N 1 SEWON</t>
  </si>
  <si>
    <t>0895622718028</t>
  </si>
  <si>
    <t>MSB25-00-057</t>
  </si>
  <si>
    <t>RIZKI SINGGIH WIJAYA</t>
  </si>
  <si>
    <t>1-09-2009</t>
  </si>
  <si>
    <t>RUSWINARTA</t>
  </si>
  <si>
    <t>BODO WALUH</t>
  </si>
  <si>
    <t>087822109510</t>
  </si>
  <si>
    <t>MSB25-00-058</t>
  </si>
  <si>
    <t>RAKA DIAN PRATAMA</t>
  </si>
  <si>
    <t>16-02-2009</t>
  </si>
  <si>
    <t>AGUS SETIAWAN</t>
  </si>
  <si>
    <t>SORONANGGAN</t>
  </si>
  <si>
    <t>089504158383</t>
  </si>
  <si>
    <t>MSB25-00-059</t>
  </si>
  <si>
    <t>RAIHAN PUTRA ANBARI</t>
  </si>
  <si>
    <t>14-07-2009</t>
  </si>
  <si>
    <t>SLAMET SUBARI</t>
  </si>
  <si>
    <t>DUKUH MJ 1/1267</t>
  </si>
  <si>
    <t>GEDONGKIWO</t>
  </si>
  <si>
    <t>MANTRIJERON</t>
  </si>
  <si>
    <t>KOTA YOGYAKARTA</t>
  </si>
  <si>
    <t>MTs MUHAMMADIYAH KASIHAN</t>
  </si>
  <si>
    <t>081227258000</t>
  </si>
  <si>
    <t>MSB25-00-060</t>
  </si>
  <si>
    <t>MUHAMAD FADLI WICAKSANA</t>
  </si>
  <si>
    <t>8-02-2010</t>
  </si>
  <si>
    <t>AGUNG WICAKSONO</t>
  </si>
  <si>
    <t>SMP PATRIA BANTUL</t>
  </si>
  <si>
    <t>0895806688710</t>
  </si>
  <si>
    <t>MSB25-00-061</t>
  </si>
  <si>
    <t>EKO ALFIANTO</t>
  </si>
  <si>
    <t>5-05-2009</t>
  </si>
  <si>
    <t>SARJIYO</t>
  </si>
  <si>
    <t>GRUJUGAN</t>
  </si>
  <si>
    <t>085927484716</t>
  </si>
  <si>
    <t>MSB25-00-062</t>
  </si>
  <si>
    <t>GHAZALI KARANG VITRAN BAIHAQI</t>
  </si>
  <si>
    <t>2-01-2009</t>
  </si>
  <si>
    <t>SUWANTO</t>
  </si>
  <si>
    <t>BEJI KULON</t>
  </si>
  <si>
    <t>SENDANGSARI</t>
  </si>
  <si>
    <t>MTS Diponegoro Salaman</t>
  </si>
  <si>
    <t>08112956424</t>
  </si>
  <si>
    <t>MSB25-00-063</t>
  </si>
  <si>
    <t>FALDHAN ARDIANSYAH</t>
  </si>
  <si>
    <t>4-09-2009</t>
  </si>
  <si>
    <t>ARMI OKTAVIYANTI</t>
  </si>
  <si>
    <t>087839523082</t>
  </si>
  <si>
    <t>MSB25-00-064</t>
  </si>
  <si>
    <t>MUHAMMAD MORENO ARDHIANSYAH</t>
  </si>
  <si>
    <t>1-04-2010</t>
  </si>
  <si>
    <t>MUJIONO</t>
  </si>
  <si>
    <t>NOGOSARI</t>
  </si>
  <si>
    <t>SMP MA'ARIF IMOGIRI</t>
  </si>
  <si>
    <t>081804092783</t>
  </si>
  <si>
    <t>MSB25-00-065</t>
  </si>
  <si>
    <t>DAFA EZAR MUNARWAN SAPUTRA</t>
  </si>
  <si>
    <t>3-08-2009</t>
  </si>
  <si>
    <t>MUNARWAN</t>
  </si>
  <si>
    <t>SEMBUNGAN</t>
  </si>
  <si>
    <t>083830884221</t>
  </si>
  <si>
    <t>MSB25-00-066</t>
  </si>
  <si>
    <t>NOVA EKA PUNTOWIJAYA</t>
  </si>
  <si>
    <t>9-11-2009</t>
  </si>
  <si>
    <t>OKTAVI IKA CANDRAYANI</t>
  </si>
  <si>
    <t>JARANAN</t>
  </si>
  <si>
    <t>089619472518</t>
  </si>
  <si>
    <t>MSB25-00-067</t>
  </si>
  <si>
    <t>ADHITYA PRATAMA</t>
  </si>
  <si>
    <t>3-02-2009</t>
  </si>
  <si>
    <t>Suryanta</t>
  </si>
  <si>
    <t>KADISORO</t>
  </si>
  <si>
    <t>04</t>
  </si>
  <si>
    <t>00</t>
  </si>
  <si>
    <t>dIY</t>
  </si>
  <si>
    <t>083149680849</t>
  </si>
  <si>
    <t>089699569061</t>
  </si>
  <si>
    <t>MSB25-00-068</t>
  </si>
  <si>
    <t>MUHAMMAD IRFAN RABBANI ISKHAK</t>
  </si>
  <si>
    <t>ZAINURRACHMAT</t>
  </si>
  <si>
    <t>HONORER BALAI DESA</t>
  </si>
  <si>
    <t>DALEMAN</t>
  </si>
  <si>
    <t>02</t>
  </si>
  <si>
    <t>GADINGHARJO</t>
  </si>
  <si>
    <t>SANDEN</t>
  </si>
  <si>
    <t>SMP N 2 SANDEN</t>
  </si>
  <si>
    <t>082137372466</t>
  </si>
  <si>
    <t>081227392047</t>
  </si>
  <si>
    <t>MSB25-00-070</t>
  </si>
  <si>
    <t>IHSAN NUR RIDWAN</t>
  </si>
  <si>
    <t>7-08-2009</t>
  </si>
  <si>
    <t>PARJIYANA</t>
  </si>
  <si>
    <t>CENGKIRAN</t>
  </si>
  <si>
    <t>07</t>
  </si>
  <si>
    <t>-</t>
  </si>
  <si>
    <t>081905305001</t>
  </si>
  <si>
    <t>081225878611</t>
  </si>
  <si>
    <t>MSB25-00-071</t>
  </si>
  <si>
    <t>MUHAMMAD FAHRIZAL ARFANI</t>
  </si>
  <si>
    <t>12-10-2009</t>
  </si>
  <si>
    <t>ACHMAD FAUZI</t>
  </si>
  <si>
    <t>MTS N 5 BANTUL</t>
  </si>
  <si>
    <t>085934821345</t>
  </si>
  <si>
    <t>MSB25-00-072</t>
  </si>
  <si>
    <t>ARDARAJA MUKTI PUTRA</t>
  </si>
  <si>
    <t>13-04-2009</t>
  </si>
  <si>
    <t>Ary Setyowulan</t>
  </si>
  <si>
    <t>SMP N 1 PANDAK</t>
  </si>
  <si>
    <t>083104513625</t>
  </si>
  <si>
    <t>085868581030</t>
  </si>
  <si>
    <t>MSB25-00-073</t>
  </si>
  <si>
    <t>ANAN HERLAMBANG</t>
  </si>
  <si>
    <t>30-06-2009</t>
  </si>
  <si>
    <t>MISRI</t>
  </si>
  <si>
    <t>085727300148</t>
  </si>
  <si>
    <t>085643820675</t>
  </si>
  <si>
    <t>MSB25-00-074</t>
  </si>
  <si>
    <t>FADLI SYAIFUDIN ILHAM</t>
  </si>
  <si>
    <t>30-09-2009</t>
  </si>
  <si>
    <t>KIRMAJI</t>
  </si>
  <si>
    <t>KWEDEN</t>
  </si>
  <si>
    <t>089508053351</t>
  </si>
  <si>
    <t>089671718685</t>
  </si>
  <si>
    <t>MSB25-00-075</t>
  </si>
  <si>
    <t>KRISNA PUTRA CAHYA NUGRAHA</t>
  </si>
  <si>
    <t>16-12-2009</t>
  </si>
  <si>
    <t>RISTIYANTI</t>
  </si>
  <si>
    <t>PEDAGANG</t>
  </si>
  <si>
    <t>GUMUK</t>
  </si>
  <si>
    <t>RINGINHARJO</t>
  </si>
  <si>
    <t>0895422404700</t>
  </si>
  <si>
    <t>089506581673</t>
  </si>
  <si>
    <t>MSB25-00-076</t>
  </si>
  <si>
    <t>MUHAMMAD FAIQ ADABY</t>
  </si>
  <si>
    <t>26-03-2009</t>
  </si>
  <si>
    <t>WIDAYATI</t>
  </si>
  <si>
    <t>DAGEN GUMUK</t>
  </si>
  <si>
    <t>089526014422</t>
  </si>
  <si>
    <t>0895327601798</t>
  </si>
  <si>
    <t>MSB25-00-077</t>
  </si>
  <si>
    <t>FAREL ADITYA PRATAMA</t>
  </si>
  <si>
    <t>CIAMIS</t>
  </si>
  <si>
    <t>16-03-2010</t>
  </si>
  <si>
    <t>NURDIYONO</t>
  </si>
  <si>
    <t>MAYUNGAN I</t>
  </si>
  <si>
    <t>MURTIGADING</t>
  </si>
  <si>
    <t>088226932071</t>
  </si>
  <si>
    <t>MSB25-00-078</t>
  </si>
  <si>
    <t>SATRIA TUNGGAL PUTRA PERDANA</t>
  </si>
  <si>
    <t>YUANA</t>
  </si>
  <si>
    <t>0895339930524</t>
  </si>
  <si>
    <t>0895418929230</t>
  </si>
  <si>
    <t>MSB25-00-079</t>
  </si>
  <si>
    <t>SENDY MAULANA PUTRA</t>
  </si>
  <si>
    <t>6-05-2010</t>
  </si>
  <si>
    <t>Suripto</t>
  </si>
  <si>
    <t>PAGUNG</t>
  </si>
  <si>
    <t>TIRTOMULYO</t>
  </si>
  <si>
    <t>SMP MUHAMMADIYAH KRETEK</t>
  </si>
  <si>
    <t>083840067252</t>
  </si>
  <si>
    <t>0882007350594</t>
  </si>
  <si>
    <t>MSB25-00-080</t>
  </si>
  <si>
    <t>ALPIN CANDRA BAGASKARA</t>
  </si>
  <si>
    <t>25-02-2010</t>
  </si>
  <si>
    <t>ARYANTA</t>
  </si>
  <si>
    <t>PULUHAN KIDUL</t>
  </si>
  <si>
    <t>081809699898</t>
  </si>
  <si>
    <t>089653507563</t>
  </si>
  <si>
    <t>MSB25-00-081</t>
  </si>
  <si>
    <t>RAIHAN SIGIT PURNAMA</t>
  </si>
  <si>
    <t>31-12-2009</t>
  </si>
  <si>
    <t>AGUS ARI PURWANTO</t>
  </si>
  <si>
    <t>DERESAN</t>
  </si>
  <si>
    <t>085842337308</t>
  </si>
  <si>
    <t>MSB25-00-082</t>
  </si>
  <si>
    <t>RAFFA ADILLA PRADITA</t>
  </si>
  <si>
    <t>8-09-2009</t>
  </si>
  <si>
    <t>LANNY PRABERTI SARI</t>
  </si>
  <si>
    <t>TEGAL SEMPU</t>
  </si>
  <si>
    <t>081904004042</t>
  </si>
  <si>
    <t>081326112480</t>
  </si>
  <si>
    <t>MSB25-00-083</t>
  </si>
  <si>
    <t>NAUFAL MURTADHA</t>
  </si>
  <si>
    <t>24-04-2009</t>
  </si>
  <si>
    <t>BRANTI MURINI</t>
  </si>
  <si>
    <t>SRIGADING</t>
  </si>
  <si>
    <t>081931186867</t>
  </si>
  <si>
    <t>MSB25-00-084</t>
  </si>
  <si>
    <t>OCTAVIANO RIZKY TRI SAPUTRA</t>
  </si>
  <si>
    <t>MARYADI</t>
  </si>
  <si>
    <t>JAGAN</t>
  </si>
  <si>
    <t>CANDEN</t>
  </si>
  <si>
    <t>085729799971</t>
  </si>
  <si>
    <t>MSB25-00-085</t>
  </si>
  <si>
    <t>RAHMAT ANDREW SAPUTRA</t>
  </si>
  <si>
    <t>3-09-2009</t>
  </si>
  <si>
    <t>AGUS NUR kHOLIQ</t>
  </si>
  <si>
    <t>dERMOJURANG</t>
  </si>
  <si>
    <t>01</t>
  </si>
  <si>
    <t>SMP N 2 PUNDONG</t>
  </si>
  <si>
    <t>085725732985</t>
  </si>
  <si>
    <t>088226318266</t>
  </si>
  <si>
    <t>MSB25-00-086</t>
  </si>
  <si>
    <t>OKTAZA DWI UTAMA</t>
  </si>
  <si>
    <t>10-10-2010</t>
  </si>
  <si>
    <t>SANI</t>
  </si>
  <si>
    <t>089668429130</t>
  </si>
  <si>
    <t>MSB25-00-087</t>
  </si>
  <si>
    <t>RIZAL FADHIL DZAKWAN</t>
  </si>
  <si>
    <t>4-03-2010</t>
  </si>
  <si>
    <t>SARNYOTO</t>
  </si>
  <si>
    <t>PLUMUTAN</t>
  </si>
  <si>
    <t>083176496094</t>
  </si>
  <si>
    <t>0882007610680</t>
  </si>
  <si>
    <t>MSB25-00-088</t>
  </si>
  <si>
    <t>DIMAS WAHYUGA</t>
  </si>
  <si>
    <t>3-06-2010</t>
  </si>
  <si>
    <t>nOVI</t>
  </si>
  <si>
    <t>087739447622</t>
  </si>
  <si>
    <t>083813731414</t>
  </si>
  <si>
    <t>MSB25-00-089</t>
  </si>
  <si>
    <t>MIKHAILL PRINOTA</t>
  </si>
  <si>
    <t>17-09-2009</t>
  </si>
  <si>
    <t>NOVITA DAMAYANTI</t>
  </si>
  <si>
    <t>088806060618</t>
  </si>
  <si>
    <t>MSB25-00-090</t>
  </si>
  <si>
    <t>DAFIN JUWIANANTA</t>
  </si>
  <si>
    <t>30-06-2010</t>
  </si>
  <si>
    <t>JUMAKIR</t>
  </si>
  <si>
    <t>MSB25-00-091</t>
  </si>
  <si>
    <t>AHMAD FARID PRASETYO</t>
  </si>
  <si>
    <t>SUPARJIAYANTO</t>
  </si>
  <si>
    <t>WATU</t>
  </si>
  <si>
    <t>081225973514</t>
  </si>
  <si>
    <t>082328026645</t>
  </si>
  <si>
    <t>MSB25-00-092</t>
  </si>
  <si>
    <t>JANU SURYA PUTRA ERISHA</t>
  </si>
  <si>
    <t>RIYANTI</t>
  </si>
  <si>
    <t>KARANGGAYAM</t>
  </si>
  <si>
    <t>MTS N 4 BANTUL</t>
  </si>
  <si>
    <t>085520943877</t>
  </si>
  <si>
    <t>0882005884048</t>
  </si>
  <si>
    <t>TAV</t>
  </si>
  <si>
    <t>MSB25-00-093</t>
  </si>
  <si>
    <t>GARDA LABHA WIBOWO</t>
  </si>
  <si>
    <t>GENTO WIBOWO</t>
  </si>
  <si>
    <t>PENSIUNAN PNS</t>
  </si>
  <si>
    <t>BANTUL KARANG</t>
  </si>
  <si>
    <t>087739136658</t>
  </si>
  <si>
    <t>085171595466</t>
  </si>
  <si>
    <t>MSB25-00-094</t>
  </si>
  <si>
    <t>FAIQUNA RIZQI</t>
  </si>
  <si>
    <t>27-01-2010</t>
  </si>
  <si>
    <t>Maryatno</t>
  </si>
  <si>
    <t>PERANGKAT DESA</t>
  </si>
  <si>
    <t>KARANGMOJO</t>
  </si>
  <si>
    <t>SMP Islam Prestasi Al Mubtadi-ien</t>
  </si>
  <si>
    <t>085274121614</t>
  </si>
  <si>
    <t>MSB25-00-095</t>
  </si>
  <si>
    <t>AULIA MEIKA PUTRI ARSYA</t>
  </si>
  <si>
    <t>KULONPROGO</t>
  </si>
  <si>
    <t>9-05-2010</t>
  </si>
  <si>
    <t>ARI KURNIAWATI</t>
  </si>
  <si>
    <t>IBU RUMAH TANGGA</t>
  </si>
  <si>
    <t>GUPIT</t>
  </si>
  <si>
    <t>KARANG SEWU</t>
  </si>
  <si>
    <t>GALUR</t>
  </si>
  <si>
    <t>KULON PROGO</t>
  </si>
  <si>
    <t>SMP MUHAMMADIYAH 1 LENDAH</t>
  </si>
  <si>
    <t>081392282258</t>
  </si>
  <si>
    <t>MSB25-00-096</t>
  </si>
  <si>
    <t>WAKHID AVATURRAHMAN</t>
  </si>
  <si>
    <t>19-05-2009</t>
  </si>
  <si>
    <t>akit nugroho</t>
  </si>
  <si>
    <t>GEDONGSARI</t>
  </si>
  <si>
    <t>05</t>
  </si>
  <si>
    <t>WIJIREJO</t>
  </si>
  <si>
    <t>082225612033</t>
  </si>
  <si>
    <t>082223190090</t>
  </si>
  <si>
    <t>MSB25-00-097</t>
  </si>
  <si>
    <t>LOTICK YUDHA SAPUTRA</t>
  </si>
  <si>
    <t>24-12-2009</t>
  </si>
  <si>
    <t>yudi wasito</t>
  </si>
  <si>
    <t>BEBEKAN</t>
  </si>
  <si>
    <t>0895339943236</t>
  </si>
  <si>
    <t>088983818694</t>
  </si>
  <si>
    <t>MSB25-00-098</t>
  </si>
  <si>
    <t>ZULANO FARIS HABIBI PUTRA</t>
  </si>
  <si>
    <t>NUR APRI WULANDARI</t>
  </si>
  <si>
    <t>ASN</t>
  </si>
  <si>
    <t>SRUWUH</t>
  </si>
  <si>
    <t>DONOTIRTO</t>
  </si>
  <si>
    <t>087889252025</t>
  </si>
  <si>
    <t>085803519772</t>
  </si>
  <si>
    <t>MSB25-00-099</t>
  </si>
  <si>
    <t>OKTO NURMAWAN</t>
  </si>
  <si>
    <t>27-10-2009</t>
  </si>
  <si>
    <t>SLAMET MULYADI</t>
  </si>
  <si>
    <t>MANGIR LOR</t>
  </si>
  <si>
    <t>08998405176</t>
  </si>
  <si>
    <t>MSB25-00-100</t>
  </si>
  <si>
    <t>ANDIKA BAYU NUR ALIF</t>
  </si>
  <si>
    <t>26-11-2008</t>
  </si>
  <si>
    <t>DINI SUSANTI</t>
  </si>
  <si>
    <t>GABUG</t>
  </si>
  <si>
    <t>GIRICAHYO</t>
  </si>
  <si>
    <t>PURWOSARI</t>
  </si>
  <si>
    <t>SMP N 2 PURWOSARI</t>
  </si>
  <si>
    <t>081259674658</t>
  </si>
  <si>
    <t>0882003284441</t>
  </si>
  <si>
    <t>MSB25-00-101</t>
  </si>
  <si>
    <t>RAZIN AFIF PRASETYO</t>
  </si>
  <si>
    <t>1-08-2010</t>
  </si>
  <si>
    <t>EKO PRASTYO</t>
  </si>
  <si>
    <t>HONORER</t>
  </si>
  <si>
    <t>081393044040</t>
  </si>
  <si>
    <t>083150030944</t>
  </si>
  <si>
    <t>MSB25-00-102</t>
  </si>
  <si>
    <t>MOHAMMAD FABIAN WAHYU MUKTI</t>
  </si>
  <si>
    <t>28-11-2009</t>
  </si>
  <si>
    <t>MUHTIJAN</t>
  </si>
  <si>
    <t>CELEP</t>
  </si>
  <si>
    <t>MTS MUHAMMADIYAH SANDEN</t>
  </si>
  <si>
    <t>0895422305204</t>
  </si>
  <si>
    <t>089646887020</t>
  </si>
  <si>
    <t>MSB25-00-103</t>
  </si>
  <si>
    <t>UTSMAN</t>
  </si>
  <si>
    <t>Ridwan Sutrisno / Sarah Adibah</t>
  </si>
  <si>
    <t>BRAJAN</t>
  </si>
  <si>
    <t>TAMANTIRTO</t>
  </si>
  <si>
    <t>Ponpes Riyadhul Qur'an Pajangan</t>
  </si>
  <si>
    <t>081391646454</t>
  </si>
  <si>
    <t>08139164654</t>
  </si>
  <si>
    <t>MSB25-00-104</t>
  </si>
  <si>
    <t>ALFIAN RAMADHAN HERLAMBANG</t>
  </si>
  <si>
    <t>22-08-2009</t>
  </si>
  <si>
    <t>DARA WIDYA PALUPI</t>
  </si>
  <si>
    <t>SMP SMP BILINGUAL TERPADU</t>
  </si>
  <si>
    <t>085624056664</t>
  </si>
  <si>
    <t>081931662504</t>
  </si>
  <si>
    <t>MSB25-00-105</t>
  </si>
  <si>
    <t>RENO AL FALAQ</t>
  </si>
  <si>
    <t>12-06-2009</t>
  </si>
  <si>
    <t>BUDI LESTARI</t>
  </si>
  <si>
    <t>PKBM BINA SEKAR MELATI</t>
  </si>
  <si>
    <t>0895405053272</t>
  </si>
  <si>
    <t>MSB25-00-106</t>
  </si>
  <si>
    <t>AGUSTYAN PUTRA YUASTINO</t>
  </si>
  <si>
    <t>14-08-2009</t>
  </si>
  <si>
    <t>YURIYADI</t>
  </si>
  <si>
    <t>DADAPAN</t>
  </si>
  <si>
    <t>TIMBULHARJO</t>
  </si>
  <si>
    <t>MTS N 2 BANTUL</t>
  </si>
  <si>
    <t>081228663969</t>
  </si>
  <si>
    <t>088232500570</t>
  </si>
  <si>
    <t>MSB25-00-108</t>
  </si>
  <si>
    <t>DHENIA DEWA PRASETYA</t>
  </si>
  <si>
    <t>29-09-2009</t>
  </si>
  <si>
    <t>DEDHY DEWA PRASETYA</t>
  </si>
  <si>
    <t>SMP MATARAM KASIHAN</t>
  </si>
  <si>
    <t>085643204648</t>
  </si>
  <si>
    <t>085728034036</t>
  </si>
  <si>
    <t>MSB25-00-110</t>
  </si>
  <si>
    <t>AFRIANSYAH ALIF'FA SYAPUTRA</t>
  </si>
  <si>
    <t>24-04-2010</t>
  </si>
  <si>
    <t>WASIS GIANTO</t>
  </si>
  <si>
    <t>BONGSREN</t>
  </si>
  <si>
    <t>007</t>
  </si>
  <si>
    <t>000</t>
  </si>
  <si>
    <t>0817615638</t>
  </si>
  <si>
    <t>0816235938</t>
  </si>
  <si>
    <t>MSB25-00-111</t>
  </si>
  <si>
    <t>VANO MARTHA GUSTAMA</t>
  </si>
  <si>
    <t>19-08-2009</t>
  </si>
  <si>
    <t>MARWANTO</t>
  </si>
  <si>
    <t>MAYUNGAN II</t>
  </si>
  <si>
    <t>082135442511</t>
  </si>
  <si>
    <t>085692349969</t>
  </si>
  <si>
    <t>MSB25-00-112</t>
  </si>
  <si>
    <t>ALFIN ARUL DEKKA MAHENDRA</t>
  </si>
  <si>
    <t>18-06-2010</t>
  </si>
  <si>
    <t>DARONI</t>
  </si>
  <si>
    <t>NGAGLIK</t>
  </si>
  <si>
    <t>PENDOWOHARJO</t>
  </si>
  <si>
    <t>089623040020</t>
  </si>
  <si>
    <t>089526419955</t>
  </si>
  <si>
    <t>MSB25-01-114</t>
  </si>
  <si>
    <t>NAZORA FIRDAUS ALFARIZI</t>
  </si>
  <si>
    <t>22-12-2009</t>
  </si>
  <si>
    <t>ISWANTO</t>
  </si>
  <si>
    <t>KARANGGEDE</t>
  </si>
  <si>
    <t>088216099876</t>
  </si>
  <si>
    <t>MSB25-01-115</t>
  </si>
  <si>
    <t>DESTA PUTRA PRATAMA</t>
  </si>
  <si>
    <t>10-12-2009</t>
  </si>
  <si>
    <t>BUDI PRIYANTA</t>
  </si>
  <si>
    <t>085725950180</t>
  </si>
  <si>
    <t>08818751743</t>
  </si>
  <si>
    <t>MSB25-01-116</t>
  </si>
  <si>
    <t>MUHAMMAD AZHARU RAYHAN</t>
  </si>
  <si>
    <t>10-05-2010</t>
  </si>
  <si>
    <t>Panca Prasetyo</t>
  </si>
  <si>
    <t>085643879390</t>
  </si>
  <si>
    <t>085878259898</t>
  </si>
  <si>
    <t>MSB25-01-117</t>
  </si>
  <si>
    <t>MUHAMMAD IKHSAN NUGROHO</t>
  </si>
  <si>
    <t>19-04-2009</t>
  </si>
  <si>
    <t>SUDIYONO</t>
  </si>
  <si>
    <t>085865703546</t>
  </si>
  <si>
    <t>MSB25-01-118</t>
  </si>
  <si>
    <t>DICKY FAHREIZY</t>
  </si>
  <si>
    <t>18-04-2009</t>
  </si>
  <si>
    <t>Priyogo rusdi asmono</t>
  </si>
  <si>
    <t>JATI</t>
  </si>
  <si>
    <t>BANARAN</t>
  </si>
  <si>
    <t>MTs Darul Ulum Muhammadiyah Galur</t>
  </si>
  <si>
    <t>082372506455</t>
  </si>
  <si>
    <t>MSB25-01-119</t>
  </si>
  <si>
    <t>SYAHFIRUN KENTHA ANGGORA</t>
  </si>
  <si>
    <t>SRIYANTO</t>
  </si>
  <si>
    <t>083148590980</t>
  </si>
  <si>
    <t>MSB25-01-120</t>
  </si>
  <si>
    <t>19-01-2009</t>
  </si>
  <si>
    <t>ARIF SLAMET RIYADI</t>
  </si>
  <si>
    <t>MTS MUHAMMADIYAH KASIHAN</t>
  </si>
  <si>
    <t>0882003778503</t>
  </si>
  <si>
    <t>MSB25-01-121</t>
  </si>
  <si>
    <t>YOGI ADI RAHARJA</t>
  </si>
  <si>
    <t>10-07-2009</t>
  </si>
  <si>
    <t>MUJI HARJO</t>
  </si>
  <si>
    <t>KEDUNG</t>
  </si>
  <si>
    <t>MTs AL MA'HAD AN NUR</t>
  </si>
  <si>
    <t>085729609230</t>
  </si>
  <si>
    <t>MSB25-01-122</t>
  </si>
  <si>
    <t>ARDI YULI KURNIAWAN</t>
  </si>
  <si>
    <t>11-07-2008</t>
  </si>
  <si>
    <t>YUDI PURNOMO</t>
  </si>
  <si>
    <t>BODOWALUH</t>
  </si>
  <si>
    <t>083149507983</t>
  </si>
  <si>
    <t>08388607690</t>
  </si>
  <si>
    <t>MSB25-01-123</t>
  </si>
  <si>
    <t>RAHMA ADJIE SETYA PRADANA</t>
  </si>
  <si>
    <t>TANJUNG KENCONO</t>
  </si>
  <si>
    <t>26-04-2010</t>
  </si>
  <si>
    <t>PURWANTO</t>
  </si>
  <si>
    <t>SMP SABILILLAH MARGA BARU</t>
  </si>
  <si>
    <t>085766932322 / 085382742287</t>
  </si>
  <si>
    <t>085768036618</t>
  </si>
  <si>
    <t>MSB25-01-124</t>
  </si>
  <si>
    <t>AHMAD IKHSAN</t>
  </si>
  <si>
    <t>9-12-2009</t>
  </si>
  <si>
    <t>rUKIYATO</t>
  </si>
  <si>
    <t>TLOGO</t>
  </si>
  <si>
    <t>KEBONAGUNG</t>
  </si>
  <si>
    <t>08816714757</t>
  </si>
  <si>
    <t>083172034179</t>
  </si>
  <si>
    <t>MSB25-01-127</t>
  </si>
  <si>
    <t>MUHAMMAD ZAFRI PUTRA PRATAMA</t>
  </si>
  <si>
    <t>27-08-2008</t>
  </si>
  <si>
    <t>Rahadi widodo / Rista fitriani</t>
  </si>
  <si>
    <t>NENGAHAN</t>
  </si>
  <si>
    <t>MTS AL-FURQON SANDEN</t>
  </si>
  <si>
    <t>089648577715</t>
  </si>
  <si>
    <t>MSB25-01-128</t>
  </si>
  <si>
    <t>DIMAS RAKA</t>
  </si>
  <si>
    <t>TUGIMIN</t>
  </si>
  <si>
    <t>JALAKAN</t>
  </si>
  <si>
    <t>087889314044</t>
  </si>
  <si>
    <t>088902968320</t>
  </si>
  <si>
    <t>MSB25-01-129</t>
  </si>
  <si>
    <t>KAVINDRA FATURRAHMAN</t>
  </si>
  <si>
    <t>25-03-2010</t>
  </si>
  <si>
    <t>WINTOLO</t>
  </si>
  <si>
    <t>BANDUNG</t>
  </si>
  <si>
    <t>081215153533</t>
  </si>
  <si>
    <t>089614445000</t>
  </si>
  <si>
    <t>MSB25-01-130</t>
  </si>
  <si>
    <t>AFDZALURRAHMAN DAFFA ANDRIANSYAH</t>
  </si>
  <si>
    <t>TANGERANG</t>
  </si>
  <si>
    <t>ANDRI WAHYUDI</t>
  </si>
  <si>
    <t>08161629001</t>
  </si>
  <si>
    <t>085786880080</t>
  </si>
  <si>
    <t>MSB25-01-131</t>
  </si>
  <si>
    <t>ZULFIKAR FADHIL ADYATAMA</t>
  </si>
  <si>
    <t>RULIANI</t>
  </si>
  <si>
    <t>KADIROJO</t>
  </si>
  <si>
    <t>085729547825</t>
  </si>
  <si>
    <t>MSB25-01-132</t>
  </si>
  <si>
    <t>GANANG RAGIL SANTOSA</t>
  </si>
  <si>
    <t>JAKARTA</t>
  </si>
  <si>
    <t>5-10-2009</t>
  </si>
  <si>
    <t>SARBINAH</t>
  </si>
  <si>
    <t>WATUGAJAH</t>
  </si>
  <si>
    <t>GIRIJATI</t>
  </si>
  <si>
    <t>082324477753</t>
  </si>
  <si>
    <t>082328199158</t>
  </si>
  <si>
    <t>MSB25-01-133</t>
  </si>
  <si>
    <t>MUHAMMAD HABIB NUR RASIF</t>
  </si>
  <si>
    <t>16-04-2009</t>
  </si>
  <si>
    <t>RISWANTO</t>
  </si>
  <si>
    <t>CODE</t>
  </si>
  <si>
    <t>083840526677</t>
  </si>
  <si>
    <t>089504689203</t>
  </si>
  <si>
    <t>MSB25-01-134</t>
  </si>
  <si>
    <t>GERRY WIJAYANTO</t>
  </si>
  <si>
    <t>22-03-2010</t>
  </si>
  <si>
    <t>SARYADI</t>
  </si>
  <si>
    <t>PATRAN</t>
  </si>
  <si>
    <t>SMP N 2 JETIS</t>
  </si>
  <si>
    <t>081229381583</t>
  </si>
  <si>
    <t>0895601466668</t>
  </si>
  <si>
    <t>MSB25-01-135</t>
  </si>
  <si>
    <t>RAFI ANDRIANTO</t>
  </si>
  <si>
    <t>7-02-2010</t>
  </si>
  <si>
    <t>SIAM MARTINAH</t>
  </si>
  <si>
    <t>088226877201</t>
  </si>
  <si>
    <t>MSB25-01-136</t>
  </si>
  <si>
    <t>MUHAMMAD EKO NUGROHO</t>
  </si>
  <si>
    <t>6-12-2009</t>
  </si>
  <si>
    <t>JOMARI</t>
  </si>
  <si>
    <t>TAMBALAN</t>
  </si>
  <si>
    <t>085801126187</t>
  </si>
  <si>
    <t>085641573291</t>
  </si>
  <si>
    <t>MSB25-01-137</t>
  </si>
  <si>
    <t>ANDIKA HENDRI HANSYAH</t>
  </si>
  <si>
    <t>BANYUWANGI</t>
  </si>
  <si>
    <t>16-08-2009</t>
  </si>
  <si>
    <t>PARDIYANA</t>
  </si>
  <si>
    <t>SAWIT</t>
  </si>
  <si>
    <t>088216622314</t>
  </si>
  <si>
    <t>MSB25-01-138</t>
  </si>
  <si>
    <t>GURUH BAYU NUGRAHA</t>
  </si>
  <si>
    <t>20-02-2009</t>
  </si>
  <si>
    <t>NGADINA</t>
  </si>
  <si>
    <t>MRIYAN</t>
  </si>
  <si>
    <t>081215818261</t>
  </si>
  <si>
    <t>083123959756</t>
  </si>
  <si>
    <t>MSB25-01-139</t>
  </si>
  <si>
    <t>MUHAMMAD RIZKY INDARTO</t>
  </si>
  <si>
    <t>26-05-2010</t>
  </si>
  <si>
    <t>JOKO WINDARTO SISWO PUTRO</t>
  </si>
  <si>
    <t>082331493185</t>
  </si>
  <si>
    <t>MSB25-01-140</t>
  </si>
  <si>
    <t>JORDAN ALFITO FREDIKA</t>
  </si>
  <si>
    <t>22-04-2010</t>
  </si>
  <si>
    <t>MUSTOFA</t>
  </si>
  <si>
    <t>083131489432</t>
  </si>
  <si>
    <t>083836184012</t>
  </si>
  <si>
    <t>MSB25-01-141</t>
  </si>
  <si>
    <t>ZIDAN MARVINO</t>
  </si>
  <si>
    <t>10-10-2009</t>
  </si>
  <si>
    <t>AMIN SODIKIN</t>
  </si>
  <si>
    <t>089671720766</t>
  </si>
  <si>
    <t>MSB25-01-142</t>
  </si>
  <si>
    <t>DHIA ATHA RAMADHAN</t>
  </si>
  <si>
    <t>DJEDI PRASTOWO</t>
  </si>
  <si>
    <t>BELUKAN</t>
  </si>
  <si>
    <t>085727745367</t>
  </si>
  <si>
    <t>085740011755</t>
  </si>
  <si>
    <t>MSB25-01-143</t>
  </si>
  <si>
    <t>ROBBY GUNTUR SATRIAWAN</t>
  </si>
  <si>
    <t>18-02-2010</t>
  </si>
  <si>
    <t>NINIK PURWANTI</t>
  </si>
  <si>
    <t>081227042749</t>
  </si>
  <si>
    <t>082135310169</t>
  </si>
  <si>
    <t>MSB25-01-144</t>
  </si>
  <si>
    <t>TRI DUWI ISMANTO</t>
  </si>
  <si>
    <t>9/09/2009</t>
  </si>
  <si>
    <t>DRINGO</t>
  </si>
  <si>
    <t>0881326696152</t>
  </si>
  <si>
    <t>MSB25-01-145</t>
  </si>
  <si>
    <t>DIMAS BAGUS TRISULA</t>
  </si>
  <si>
    <t>LAMONGAN</t>
  </si>
  <si>
    <t>3-03-2010</t>
  </si>
  <si>
    <t>Agus Susilo</t>
  </si>
  <si>
    <t>SELO</t>
  </si>
  <si>
    <t>001</t>
  </si>
  <si>
    <t>081393887883</t>
  </si>
  <si>
    <t>085700849596</t>
  </si>
  <si>
    <t>MSB25-01-149</t>
  </si>
  <si>
    <t>MAYLA YUFANNIDA RAHMAWATI</t>
  </si>
  <si>
    <t>14-05-2010</t>
  </si>
  <si>
    <t>Yulianti</t>
  </si>
  <si>
    <t>NGAJARAN</t>
  </si>
  <si>
    <t>081804295818</t>
  </si>
  <si>
    <t>081521776380</t>
  </si>
  <si>
    <t>MSB25-01-150</t>
  </si>
  <si>
    <t>WAKHID SEPTIANWAR ROMADHAN</t>
  </si>
  <si>
    <t>SUWARNO</t>
  </si>
  <si>
    <t>085100331805</t>
  </si>
  <si>
    <t>087762398387</t>
  </si>
  <si>
    <t>MSB25-01-158</t>
  </si>
  <si>
    <t>VIONA PUTRI SULISTYO</t>
  </si>
  <si>
    <t>22-07-2009</t>
  </si>
  <si>
    <t>Muhammad Sulistyo</t>
  </si>
  <si>
    <t>IROYUDAN</t>
  </si>
  <si>
    <t>003</t>
  </si>
  <si>
    <t>SMP N 3 PAJANGAN</t>
  </si>
  <si>
    <t>081578754050</t>
  </si>
  <si>
    <t>0895336747393</t>
  </si>
  <si>
    <t>MSB25-01-159</t>
  </si>
  <si>
    <t>NANDITO RAFIF FEBIAN DILANO</t>
  </si>
  <si>
    <t>27-02-2010</t>
  </si>
  <si>
    <t>SULASTRI</t>
  </si>
  <si>
    <t>TEGALLAYANG 10</t>
  </si>
  <si>
    <t>0818167904</t>
  </si>
  <si>
    <t>085725680742</t>
  </si>
  <si>
    <t>MSB25-01-161</t>
  </si>
  <si>
    <t>ADE IKHSAN MAHENDRA</t>
  </si>
  <si>
    <t>18-01-2010</t>
  </si>
  <si>
    <t>HARIYANTO</t>
  </si>
  <si>
    <t>JATIREJO</t>
  </si>
  <si>
    <t>SMP N 1 IMOGIRI</t>
  </si>
  <si>
    <t>085646619878</t>
  </si>
  <si>
    <t>MSB25-01-162</t>
  </si>
  <si>
    <t>REHAN ARYANTO</t>
  </si>
  <si>
    <t>14-12-2009</t>
  </si>
  <si>
    <t>PARYANTA</t>
  </si>
  <si>
    <t>SMP N 3 SEWON</t>
  </si>
  <si>
    <t>085728923252</t>
  </si>
  <si>
    <t>083154889969</t>
  </si>
  <si>
    <t>MSB25-01-165</t>
  </si>
  <si>
    <t>MUHAMMAD IQBAL RAMADHAN</t>
  </si>
  <si>
    <t>13-09-2009</t>
  </si>
  <si>
    <t>RATNA YULISTIANTI</t>
  </si>
  <si>
    <t>GESIK</t>
  </si>
  <si>
    <t>089670121146</t>
  </si>
  <si>
    <t>MSB25-01-166</t>
  </si>
  <si>
    <t>BINTANG RADITHYA JAVAS NARARYA</t>
  </si>
  <si>
    <t>23-02-2010</t>
  </si>
  <si>
    <t>MURTIANI</t>
  </si>
  <si>
    <t>MANGIR KIDUL</t>
  </si>
  <si>
    <t>081542632553</t>
  </si>
  <si>
    <t>MSB25-01-167</t>
  </si>
  <si>
    <t>BEKASI</t>
  </si>
  <si>
    <t>WIDODO</t>
  </si>
  <si>
    <t>MTs Minhajut Tholabah</t>
  </si>
  <si>
    <t>085212160306</t>
  </si>
  <si>
    <t>085819225453</t>
  </si>
  <si>
    <t>MSB25-01-168</t>
  </si>
  <si>
    <t>FERRY ANDRIANSYAH</t>
  </si>
  <si>
    <t>20-12-2009</t>
  </si>
  <si>
    <t>SUPRIYADI</t>
  </si>
  <si>
    <t>KEMBANG</t>
  </si>
  <si>
    <t>089606777039</t>
  </si>
  <si>
    <t>0895403149292</t>
  </si>
  <si>
    <t>MSB25-01-169</t>
  </si>
  <si>
    <t>ASSEGAF AMANAH SLAMET RAHARJO</t>
  </si>
  <si>
    <t>KLATEN</t>
  </si>
  <si>
    <t>9-02-2010</t>
  </si>
  <si>
    <t>Sulistia Pratiwi</t>
  </si>
  <si>
    <t>GEBLAG</t>
  </si>
  <si>
    <t>002</t>
  </si>
  <si>
    <t>089680499884</t>
  </si>
  <si>
    <t>MSB25-01-173</t>
  </si>
  <si>
    <t>BANJAR</t>
  </si>
  <si>
    <t>13-08-2008</t>
  </si>
  <si>
    <t>LILIS</t>
  </si>
  <si>
    <t>MREDO</t>
  </si>
  <si>
    <t>081392301201</t>
  </si>
  <si>
    <t>MSB25-01-175</t>
  </si>
  <si>
    <t>28-09-2009</t>
  </si>
  <si>
    <t>HENDI SETIANDI</t>
  </si>
  <si>
    <t>CEPIT</t>
  </si>
  <si>
    <t>088233528024</t>
  </si>
  <si>
    <t>089506943143</t>
  </si>
  <si>
    <t>MSB25-01-177</t>
  </si>
  <si>
    <t>DZAKIY RAHADYAN PRAMONO</t>
  </si>
  <si>
    <t>AGUNG PRAMONO</t>
  </si>
  <si>
    <t>085642426665</t>
  </si>
  <si>
    <t>0895392790623</t>
  </si>
  <si>
    <t>MSB25-01-181</t>
  </si>
  <si>
    <t>GHAZI BINTANG RAMADHAN</t>
  </si>
  <si>
    <t>2-09-2009</t>
  </si>
  <si>
    <t>JONI SLAMET RIYADI</t>
  </si>
  <si>
    <t>085643311769</t>
  </si>
  <si>
    <t>088216622919</t>
  </si>
  <si>
    <t>MSB25-01-183</t>
  </si>
  <si>
    <t>NUR FAUZAN</t>
  </si>
  <si>
    <t>9-04-2010</t>
  </si>
  <si>
    <t>SUYATMI</t>
  </si>
  <si>
    <t>SENTANAN</t>
  </si>
  <si>
    <t>MTS AL-HADI II</t>
  </si>
  <si>
    <t>082324602279</t>
  </si>
  <si>
    <t>MSB25-01-187</t>
  </si>
  <si>
    <t>RIEFKA ADITYA</t>
  </si>
  <si>
    <t>30-04-2010</t>
  </si>
  <si>
    <t>ALBANI</t>
  </si>
  <si>
    <t>089501523614</t>
  </si>
  <si>
    <t>089692709050</t>
  </si>
  <si>
    <t>MSB25-01-188</t>
  </si>
  <si>
    <t>ARETHA FATHAN PRATAMA</t>
  </si>
  <si>
    <t>19-01-2010</t>
  </si>
  <si>
    <t>ADNAN BUDIYARTA / SUATMI</t>
  </si>
  <si>
    <t>KLEGEN</t>
  </si>
  <si>
    <t>081904099049/ 087839815454</t>
  </si>
  <si>
    <t>089613598964</t>
  </si>
  <si>
    <t>MSB25-01-191</t>
  </si>
  <si>
    <t>HARUN NUR ROSYID</t>
  </si>
  <si>
    <t>TARUBAN</t>
  </si>
  <si>
    <t>085930142282</t>
  </si>
  <si>
    <t>083145370620</t>
  </si>
  <si>
    <t>MSB25-01-192</t>
  </si>
  <si>
    <t>ABIMANYU WAHYUDI</t>
  </si>
  <si>
    <t>Andri wahyudi</t>
  </si>
  <si>
    <t>0818261950</t>
  </si>
  <si>
    <t>089527547796</t>
  </si>
  <si>
    <t>MSB25-01-193</t>
  </si>
  <si>
    <t>MUHAMMAD IQBAL NURCAHYADI</t>
  </si>
  <si>
    <t>17-03-2009</t>
  </si>
  <si>
    <t>NGADIYONO</t>
  </si>
  <si>
    <t>SMP N 1 PURWOSARI</t>
  </si>
  <si>
    <t>088215392377</t>
  </si>
  <si>
    <t>0882003768466</t>
  </si>
  <si>
    <t>MSB25-01-194</t>
  </si>
  <si>
    <t>AHMAT YASIR AL GHIFARI</t>
  </si>
  <si>
    <t>4-11-2009</t>
  </si>
  <si>
    <t>Suyanto</t>
  </si>
  <si>
    <t>0882008654581</t>
  </si>
  <si>
    <t>0882008667745</t>
  </si>
  <si>
    <t>MSB25-01-197</t>
  </si>
  <si>
    <t>SETYAWAN EKO NURCAHYO</t>
  </si>
  <si>
    <t>SUBAGIYO</t>
  </si>
  <si>
    <t>GRUDO</t>
  </si>
  <si>
    <t>081226772426</t>
  </si>
  <si>
    <t>0882006531969</t>
  </si>
  <si>
    <t>MSB25-01-198</t>
  </si>
  <si>
    <t>FADHIL FATIHUSSANAH</t>
  </si>
  <si>
    <t>1-01-2010</t>
  </si>
  <si>
    <t>SURYADI</t>
  </si>
  <si>
    <t>KRAPYAK WETAN</t>
  </si>
  <si>
    <t>MTS N 1 BANTUL</t>
  </si>
  <si>
    <t>081328732433</t>
  </si>
  <si>
    <t>0895402620666</t>
  </si>
  <si>
    <t>MSB25-01-199</t>
  </si>
  <si>
    <t>AZKA CHIRZA SAIFANI CHASAN</t>
  </si>
  <si>
    <t>1-10-2008</t>
  </si>
  <si>
    <t>USWATUN KHASANAH</t>
  </si>
  <si>
    <t>083151644270</t>
  </si>
  <si>
    <t>083109150538</t>
  </si>
  <si>
    <t>MSB25-01-200</t>
  </si>
  <si>
    <t>IVANDANI PUTRA PRADANA</t>
  </si>
  <si>
    <t>30-10-2009</t>
  </si>
  <si>
    <t>DIANA EKA PRATIWI</t>
  </si>
  <si>
    <t>081904280200</t>
  </si>
  <si>
    <t>085727668275</t>
  </si>
  <si>
    <t>MSB25-02-201</t>
  </si>
  <si>
    <t>AFDHALUL IKHSAN RASHIF</t>
  </si>
  <si>
    <t>21-06-2009</t>
  </si>
  <si>
    <t>SUHARYANTA</t>
  </si>
  <si>
    <t>DENGOKAN</t>
  </si>
  <si>
    <t>087737493149</t>
  </si>
  <si>
    <t>087737493140</t>
  </si>
  <si>
    <t>MSB25-02-202</t>
  </si>
  <si>
    <t>FAKHRI ZAIDAN ADHYAKSA</t>
  </si>
  <si>
    <t>23-10-2009</t>
  </si>
  <si>
    <t>ADITYA WIKANADI</t>
  </si>
  <si>
    <t>PUNDUNG PANDEAN</t>
  </si>
  <si>
    <t>0811203220</t>
  </si>
  <si>
    <t>087881889111</t>
  </si>
  <si>
    <t>MSB25-02-204</t>
  </si>
  <si>
    <t>AHMAD AFIQ MAULANA</t>
  </si>
  <si>
    <t>MARYATI</t>
  </si>
  <si>
    <t>SRUMBUNG</t>
  </si>
  <si>
    <t>SEGOROYOSO</t>
  </si>
  <si>
    <t>PLERET</t>
  </si>
  <si>
    <t>MTs N 6 BANTUL</t>
  </si>
  <si>
    <t>085643096870</t>
  </si>
  <si>
    <t>08895316281</t>
  </si>
  <si>
    <t>MSB25-02-205</t>
  </si>
  <si>
    <t>RADITKA DESTAMA PUTRA</t>
  </si>
  <si>
    <t>7-12-2009</t>
  </si>
  <si>
    <t>NUR KOMARIAH</t>
  </si>
  <si>
    <t>08813811337</t>
  </si>
  <si>
    <t>089506885044</t>
  </si>
  <si>
    <t>MSB25-02-206</t>
  </si>
  <si>
    <t>IKHSAL WIBOWO</t>
  </si>
  <si>
    <t>CIANJUR</t>
  </si>
  <si>
    <t>11-06-2008</t>
  </si>
  <si>
    <t>ANI</t>
  </si>
  <si>
    <t>083153282012</t>
  </si>
  <si>
    <t>0881012383808</t>
  </si>
  <si>
    <t>MSB25-02-207</t>
  </si>
  <si>
    <t>BIRLIANZA GAHZY ARVEL ARISQI</t>
  </si>
  <si>
    <t>SUKOHARJO</t>
  </si>
  <si>
    <t>12-10-2008</t>
  </si>
  <si>
    <t>Aris Novianto</t>
  </si>
  <si>
    <t>Tukang las</t>
  </si>
  <si>
    <t>KEDATON WETAN</t>
  </si>
  <si>
    <t>SMP N 2 PLERET</t>
  </si>
  <si>
    <t>0895392628537</t>
  </si>
  <si>
    <t>088220298631</t>
  </si>
  <si>
    <t>MSB25-02-208</t>
  </si>
  <si>
    <t>NAZRIL CAHYA PRATAMA</t>
  </si>
  <si>
    <t>1-02-2009</t>
  </si>
  <si>
    <t>Nurul Romli</t>
  </si>
  <si>
    <t>MALANGJIWAN</t>
  </si>
  <si>
    <t>MTS HARAPAN AR RISALAH BANTUL</t>
  </si>
  <si>
    <t>087839104577</t>
  </si>
  <si>
    <t>+62 897-8045-15</t>
  </si>
  <si>
    <t>MSB25-02-209</t>
  </si>
  <si>
    <t>REIZKY RAMADHAN SAPUTRA</t>
  </si>
  <si>
    <t>RAHAYU UTAMI</t>
  </si>
  <si>
    <t>083162908786</t>
  </si>
  <si>
    <t>083140485516</t>
  </si>
  <si>
    <t>MSB25-02-210</t>
  </si>
  <si>
    <t>ARTIKA WULAN NDARI</t>
  </si>
  <si>
    <t>26/04/2009</t>
  </si>
  <si>
    <t>SISWANTO</t>
  </si>
  <si>
    <t>BUSURAN</t>
  </si>
  <si>
    <t>0895375011500</t>
  </si>
  <si>
    <t>0882003781994</t>
  </si>
  <si>
    <t>MSB25-02-211</t>
  </si>
  <si>
    <t>BETTRANS PANGESTU</t>
  </si>
  <si>
    <t>BATANG HARI</t>
  </si>
  <si>
    <t>SRI WIRAWATI</t>
  </si>
  <si>
    <t>PATEN</t>
  </si>
  <si>
    <t>085896127800</t>
  </si>
  <si>
    <t>081327772661</t>
  </si>
  <si>
    <t>MSB25-02-212</t>
  </si>
  <si>
    <t>FAHREZI ISNAN KURNIAWAN</t>
  </si>
  <si>
    <t>18-06-2009</t>
  </si>
  <si>
    <t>Aris Kurniawan</t>
  </si>
  <si>
    <t>PRANCAK</t>
  </si>
  <si>
    <t>089618608289</t>
  </si>
  <si>
    <t>089529381653</t>
  </si>
  <si>
    <t>MSB25-02-213</t>
  </si>
  <si>
    <t>MUHAMMAD DIGMAL RAHMATULLAH</t>
  </si>
  <si>
    <t>6-01-2010</t>
  </si>
  <si>
    <t>Yuliadi / suparmi</t>
  </si>
  <si>
    <t>GESIKAN IV</t>
  </si>
  <si>
    <t>083194782788</t>
  </si>
  <si>
    <t>089677337314</t>
  </si>
  <si>
    <t>MSB25-02-215</t>
  </si>
  <si>
    <t>BAGUS ARYA MANUNGGAL</t>
  </si>
  <si>
    <t>4-01-2010</t>
  </si>
  <si>
    <t>SUPARNO</t>
  </si>
  <si>
    <t>085713325463</t>
  </si>
  <si>
    <t>MSB25-02-216</t>
  </si>
  <si>
    <t>11-11-2009</t>
  </si>
  <si>
    <t>Hajar Nur Fitriani</t>
  </si>
  <si>
    <t>SMP MUHAMMADIYAH 3 YOGYAKARTA</t>
  </si>
  <si>
    <t>08122764188</t>
  </si>
  <si>
    <t>O8122764188</t>
  </si>
  <si>
    <t>MSB25-02-217</t>
  </si>
  <si>
    <t>AJI MANGGALA NEGARA</t>
  </si>
  <si>
    <t>25-06-2009</t>
  </si>
  <si>
    <t>SUJIYONO</t>
  </si>
  <si>
    <t>PENSIUNAN TNI</t>
  </si>
  <si>
    <t>PKBM GERBANG MANDIRI</t>
  </si>
  <si>
    <t>085723334567</t>
  </si>
  <si>
    <t>085877140671</t>
  </si>
  <si>
    <t>MSB25-02-218</t>
  </si>
  <si>
    <t>RIDWAN MAULANA</t>
  </si>
  <si>
    <t>29-06-2009</t>
  </si>
  <si>
    <t>ERWANTO</t>
  </si>
  <si>
    <t>MANDING SERUT</t>
  </si>
  <si>
    <t>089506584565</t>
  </si>
  <si>
    <t>MSB25-02-219</t>
  </si>
  <si>
    <t>LUTVI MUHIBBA UL HUSNA RAMADHAN</t>
  </si>
  <si>
    <t>SUMARJA</t>
  </si>
  <si>
    <t>TIRTO</t>
  </si>
  <si>
    <t>083104456648</t>
  </si>
  <si>
    <t>088225441730</t>
  </si>
  <si>
    <t>MSB25-02-220</t>
  </si>
  <si>
    <t>ABDUL MUHYI RIZZAH</t>
  </si>
  <si>
    <t>NANIK ISWANTI</t>
  </si>
  <si>
    <t>DENGKENG</t>
  </si>
  <si>
    <t>082118449419</t>
  </si>
  <si>
    <t>081326617148</t>
  </si>
  <si>
    <t>MSB25-02-221</t>
  </si>
  <si>
    <t>HAFIDZ ISANKA YAHYA</t>
  </si>
  <si>
    <t>17-01-2010</t>
  </si>
  <si>
    <t>SLAMET SANTOSO</t>
  </si>
  <si>
    <t>082254663618</t>
  </si>
  <si>
    <t>082328021237</t>
  </si>
  <si>
    <t>MSB25-02-222</t>
  </si>
  <si>
    <t>HIROSY VINNO PRATAMA</t>
  </si>
  <si>
    <t>31-01-2010</t>
  </si>
  <si>
    <t>BREGAN</t>
  </si>
  <si>
    <t>087739713337</t>
  </si>
  <si>
    <t>MSB25-02-223</t>
  </si>
  <si>
    <t>RENDI ALQIANO</t>
  </si>
  <si>
    <t>ARIS SUSANTO</t>
  </si>
  <si>
    <t>SMP N 1 BANTUL</t>
  </si>
  <si>
    <t>083875520602</t>
  </si>
  <si>
    <t>083193146754</t>
  </si>
  <si>
    <t>MSB25-02-225</t>
  </si>
  <si>
    <t>ALFIAN ANDRI ANSYAH</t>
  </si>
  <si>
    <t>4-03-2009</t>
  </si>
  <si>
    <t>SURAJI</t>
  </si>
  <si>
    <t>0895806686728</t>
  </si>
  <si>
    <t>0895322072765</t>
  </si>
  <si>
    <t>MSB25-02-226</t>
  </si>
  <si>
    <t>DIKA PUTRA PRATAMA</t>
  </si>
  <si>
    <t>PACITAN</t>
  </si>
  <si>
    <t>12-03-2010</t>
  </si>
  <si>
    <t>ANUGRAH TRI LESTARI</t>
  </si>
  <si>
    <t>0895345286335</t>
  </si>
  <si>
    <t>MSB25-02-227</t>
  </si>
  <si>
    <t>MUHAMMAD RIZKI</t>
  </si>
  <si>
    <t>30-07-2009</t>
  </si>
  <si>
    <t>DARMAWAN</t>
  </si>
  <si>
    <t>BLUNYAHAN</t>
  </si>
  <si>
    <t>08975391730</t>
  </si>
  <si>
    <t>MSB25-02-228</t>
  </si>
  <si>
    <t>MARCHEL KURNIAWAN</t>
  </si>
  <si>
    <t>27-02-2009</t>
  </si>
  <si>
    <t>PARDIMAN</t>
  </si>
  <si>
    <t>SMP N 2 SEWON</t>
  </si>
  <si>
    <t>089504377885</t>
  </si>
  <si>
    <t>MSB25-02-229</t>
  </si>
  <si>
    <t>RIZA HADI SASMITA</t>
  </si>
  <si>
    <t>ZAINI</t>
  </si>
  <si>
    <t>BIBIS</t>
  </si>
  <si>
    <t>081389020565</t>
  </si>
  <si>
    <t>082124521842</t>
  </si>
  <si>
    <t>MSB25-02-230</t>
  </si>
  <si>
    <t>HERI WIBOWO</t>
  </si>
  <si>
    <t>1-02-2010</t>
  </si>
  <si>
    <t>SURYANI</t>
  </si>
  <si>
    <t>SENDEN DK. KAUMAN</t>
  </si>
  <si>
    <t>085938512336</t>
  </si>
  <si>
    <t>0882003872380</t>
  </si>
  <si>
    <t>MSB25-02-231</t>
  </si>
  <si>
    <t>9-06-2010</t>
  </si>
  <si>
    <t>Muh Akmal Isnin Ishom</t>
  </si>
  <si>
    <t>PNS</t>
  </si>
  <si>
    <t>PAJIMATAN</t>
  </si>
  <si>
    <t>GIRIREJO</t>
  </si>
  <si>
    <t>MTS N 3 BANTUL</t>
  </si>
  <si>
    <t>0895344516301</t>
  </si>
  <si>
    <t>MSB25-02-232</t>
  </si>
  <si>
    <t>AHMAD ROSSID</t>
  </si>
  <si>
    <t>19-06-2009</t>
  </si>
  <si>
    <t>RINI LESTARI</t>
  </si>
  <si>
    <t>GANJURAN</t>
  </si>
  <si>
    <t>083840581910</t>
  </si>
  <si>
    <t>089649491057</t>
  </si>
  <si>
    <t>MSB25-02-233</t>
  </si>
  <si>
    <t>ORLANDO RACHEL PRATAMA</t>
  </si>
  <si>
    <t>17-12-2009</t>
  </si>
  <si>
    <t>RUS PURYONO</t>
  </si>
  <si>
    <t>KEDATON</t>
  </si>
  <si>
    <t>081236429064</t>
  </si>
  <si>
    <t>089619791862</t>
  </si>
  <si>
    <t>MSB25-02-235</t>
  </si>
  <si>
    <t>NARENDRA RAMADHANI</t>
  </si>
  <si>
    <t>27-08-2009</t>
  </si>
  <si>
    <t>SMP N 2 SUMBEREJO</t>
  </si>
  <si>
    <t>082180663310</t>
  </si>
  <si>
    <t>085783667283</t>
  </si>
  <si>
    <t>MSB25-02-236</t>
  </si>
  <si>
    <t>NANDA FATHUR ROHMAN</t>
  </si>
  <si>
    <t>20-03-2009</t>
  </si>
  <si>
    <t>MARDIYO</t>
  </si>
  <si>
    <t>087839620515</t>
  </si>
  <si>
    <t>081329281393</t>
  </si>
  <si>
    <t>MSB25-02-237</t>
  </si>
  <si>
    <t>FAIZ JALU NURYAWAN</t>
  </si>
  <si>
    <t>18-03-2009</t>
  </si>
  <si>
    <t>Azis nurwanto</t>
  </si>
  <si>
    <t>089673857333</t>
  </si>
  <si>
    <t>089612623053</t>
  </si>
  <si>
    <t>MSB25-02-238</t>
  </si>
  <si>
    <t>SYALLOM DARMASATYA WIDYO PRICELLO</t>
  </si>
  <si>
    <t>19-03-2010</t>
  </si>
  <si>
    <t>JATU ASTRI PRADISTA</t>
  </si>
  <si>
    <t>GEDANGAN</t>
  </si>
  <si>
    <t>082135479445</t>
  </si>
  <si>
    <t>MSB25-02-240</t>
  </si>
  <si>
    <t>DZAKY ARRAHMAN</t>
  </si>
  <si>
    <t>PURWOREJO</t>
  </si>
  <si>
    <t>26-11-2009</t>
  </si>
  <si>
    <t>SARDJIMAN</t>
  </si>
  <si>
    <t>081224722212</t>
  </si>
  <si>
    <t>088227288627</t>
  </si>
  <si>
    <t>MSB25-02-244</t>
  </si>
  <si>
    <t>AGASTA GHERY SAPUTRA</t>
  </si>
  <si>
    <t>Sugeng Sriyanta</t>
  </si>
  <si>
    <t>KARET</t>
  </si>
  <si>
    <t>SMP N 3 PLERET</t>
  </si>
  <si>
    <t>08994563248</t>
  </si>
  <si>
    <t>0895386259041</t>
  </si>
  <si>
    <t>MSB25-02-245</t>
  </si>
  <si>
    <t>AHMAD FASHIHULISAN</t>
  </si>
  <si>
    <t>23-12-2009</t>
  </si>
  <si>
    <t>JUMADI</t>
  </si>
  <si>
    <t>DUKUH</t>
  </si>
  <si>
    <t>089649584888</t>
  </si>
  <si>
    <t>MSB25-02-246</t>
  </si>
  <si>
    <t>SATRIA PUTRA PRATAMA</t>
  </si>
  <si>
    <t>13-12-2009</t>
  </si>
  <si>
    <t>RAHARJONO</t>
  </si>
  <si>
    <t>SMP N 2 SRANDAKAN</t>
  </si>
  <si>
    <t>0895363353927</t>
  </si>
  <si>
    <t>08817667149</t>
  </si>
  <si>
    <t>MSB25-02-247</t>
  </si>
  <si>
    <t>DZAKI CHESTA ADABI</t>
  </si>
  <si>
    <t>19-10-2009</t>
  </si>
  <si>
    <t>PARTINEM</t>
  </si>
  <si>
    <t>NDABLE</t>
  </si>
  <si>
    <t>MTS N 9 BANTUL</t>
  </si>
  <si>
    <t>08195562225</t>
  </si>
  <si>
    <t>085700586660</t>
  </si>
  <si>
    <t>MSB25-02-248</t>
  </si>
  <si>
    <t>YHOVA DWI MUZAKI</t>
  </si>
  <si>
    <t>15-08-2009</t>
  </si>
  <si>
    <t>TRI HARTADI</t>
  </si>
  <si>
    <t>SINDET</t>
  </si>
  <si>
    <t>085870784998</t>
  </si>
  <si>
    <t>081325130362</t>
  </si>
  <si>
    <t>MSB25-02-249</t>
  </si>
  <si>
    <t>ALFINO STEVAN ALSTEFANI RAMATULLAH</t>
  </si>
  <si>
    <t>21-05-2009</t>
  </si>
  <si>
    <t>SRIYONO</t>
  </si>
  <si>
    <t>TINGGEN</t>
  </si>
  <si>
    <t>083149604443</t>
  </si>
  <si>
    <t>MSB25-02-250</t>
  </si>
  <si>
    <t>YUSUF ANNAS BAHTIAR</t>
  </si>
  <si>
    <t>21-01-2009</t>
  </si>
  <si>
    <t>Paryanti</t>
  </si>
  <si>
    <t>SOROPATEN</t>
  </si>
  <si>
    <t>081229440907</t>
  </si>
  <si>
    <t>0895421827300</t>
  </si>
  <si>
    <t>MSB25-02-251</t>
  </si>
  <si>
    <t>OLVIN BAGUS WIDYA PUTRA</t>
  </si>
  <si>
    <t>widadi</t>
  </si>
  <si>
    <t>MANCINGAN XI</t>
  </si>
  <si>
    <t>PARANGTRITIS</t>
  </si>
  <si>
    <t>SMP N 2 KRETEK</t>
  </si>
  <si>
    <t>0881-3955-647 / 082329105947</t>
  </si>
  <si>
    <t>082329105947</t>
  </si>
  <si>
    <t>MSB25-02-254</t>
  </si>
  <si>
    <t>AQIELA ZAKI NANDANA HAWASIA</t>
  </si>
  <si>
    <t>SITI NUR HIDAYAH</t>
  </si>
  <si>
    <t>KWENI</t>
  </si>
  <si>
    <t>006</t>
  </si>
  <si>
    <t>089602527222</t>
  </si>
  <si>
    <t>089686186262</t>
  </si>
  <si>
    <t>MSB25-02-255</t>
  </si>
  <si>
    <t>MUHAMMAD AKBAR</t>
  </si>
  <si>
    <t>MUARA ENIM</t>
  </si>
  <si>
    <t>20-01-2010</t>
  </si>
  <si>
    <t>SITI FATIMAH</t>
  </si>
  <si>
    <t>JL. PERMAI 6</t>
  </si>
  <si>
    <t>PASAR II</t>
  </si>
  <si>
    <t>SUMATRA SELATAN</t>
  </si>
  <si>
    <t>MTS N 1 MUARA ENIM</t>
  </si>
  <si>
    <t>083186036584/082133258731</t>
  </si>
  <si>
    <t>083164501818</t>
  </si>
  <si>
    <t>MSB25-03-256</t>
  </si>
  <si>
    <t>MAHARDIKA ANGGA SYAHPUTRA</t>
  </si>
  <si>
    <t>17-08-2009</t>
  </si>
  <si>
    <t>SIGIT PURNOMO</t>
  </si>
  <si>
    <t>06</t>
  </si>
  <si>
    <t>087738388852</t>
  </si>
  <si>
    <t>085800725010</t>
  </si>
  <si>
    <t>MSB25-03-257</t>
  </si>
  <si>
    <t>MUHAMMAD IKHSAN</t>
  </si>
  <si>
    <t>17-10-2009</t>
  </si>
  <si>
    <t>Hanafi Noor Syamsu Hidayat/Ina kartini</t>
  </si>
  <si>
    <t>TANUBAYAN</t>
  </si>
  <si>
    <t>0895320305352</t>
  </si>
  <si>
    <t>MSB25-03-258</t>
  </si>
  <si>
    <t>KHANSA PRAMUDITA UTAMI</t>
  </si>
  <si>
    <t>4-05-2009</t>
  </si>
  <si>
    <t>TEGUH NOVIADI</t>
  </si>
  <si>
    <t>081548663901</t>
  </si>
  <si>
    <t>083863539034</t>
  </si>
  <si>
    <t>MSB25-03-259</t>
  </si>
  <si>
    <t>DAVA MUHAMAD CHARLY</t>
  </si>
  <si>
    <t>SUTONO</t>
  </si>
  <si>
    <t>083867410626</t>
  </si>
  <si>
    <t>083841783584</t>
  </si>
  <si>
    <t>MSB25-03-260</t>
  </si>
  <si>
    <t>GHALIB AFFANDI</t>
  </si>
  <si>
    <t>9-06-2009</t>
  </si>
  <si>
    <t>Yunanik</t>
  </si>
  <si>
    <t>SROYO</t>
  </si>
  <si>
    <t>08986385911</t>
  </si>
  <si>
    <t>0895-1531-1500</t>
  </si>
  <si>
    <t>MSB25-03-261</t>
  </si>
  <si>
    <t>DEFFAN AUGUSTALIANO HERDEANPUTRA</t>
  </si>
  <si>
    <t>Heru Sutanto</t>
  </si>
  <si>
    <t>0895403454400</t>
  </si>
  <si>
    <t>0895403144123</t>
  </si>
  <si>
    <t>MSB25-03-263</t>
  </si>
  <si>
    <t>ARYA BIMA SAPUTRA</t>
  </si>
  <si>
    <t>TUGIRAN</t>
  </si>
  <si>
    <t>081337675862</t>
  </si>
  <si>
    <t>082134836807</t>
  </si>
  <si>
    <t>MSB25-03-264</t>
  </si>
  <si>
    <t>SINTA NANDYA SAFITRI</t>
  </si>
  <si>
    <t>1-10-2009</t>
  </si>
  <si>
    <t>Wartini</t>
  </si>
  <si>
    <t>SAYANGAN</t>
  </si>
  <si>
    <t>JAGALAN</t>
  </si>
  <si>
    <t>BANGUNTAPAN</t>
  </si>
  <si>
    <t>SMP N 2 KARANGMOJO</t>
  </si>
  <si>
    <t>08985552924</t>
  </si>
  <si>
    <t>08895335710</t>
  </si>
  <si>
    <t>MSB25-03-265</t>
  </si>
  <si>
    <t>RAFKA HUDI NUR ROHMAN</t>
  </si>
  <si>
    <t>28-07-2010</t>
  </si>
  <si>
    <t>SUSIANTI</t>
  </si>
  <si>
    <t>087839891029</t>
  </si>
  <si>
    <t>0895359661256</t>
  </si>
  <si>
    <t>MSB25-03-268</t>
  </si>
  <si>
    <t>HUSEIN SYA'ID ABDULLAH</t>
  </si>
  <si>
    <t>13-06-2009</t>
  </si>
  <si>
    <t>Ngatino Abdull Rohim</t>
  </si>
  <si>
    <t>081904132932</t>
  </si>
  <si>
    <t>MSB25-03-269</t>
  </si>
  <si>
    <t>HAFIDZ JALALUDIN AS SHOFFAN</t>
  </si>
  <si>
    <t>TANJUNG ANOM</t>
  </si>
  <si>
    <t>23-08-2009</t>
  </si>
  <si>
    <t>Mugiono</t>
  </si>
  <si>
    <t>KALIRANDU</t>
  </si>
  <si>
    <t>UPT SMP N 1 AMBARAWA</t>
  </si>
  <si>
    <t>087888300448</t>
  </si>
  <si>
    <t>087730769497</t>
  </si>
  <si>
    <t>MSB25-03-275</t>
  </si>
  <si>
    <t>RAFI MUHENDAR</t>
  </si>
  <si>
    <t>PASURUAN</t>
  </si>
  <si>
    <t>24-07-2009</t>
  </si>
  <si>
    <t>SIH ENDAR JUWITO</t>
  </si>
  <si>
    <t>BALONG</t>
  </si>
  <si>
    <t>MTS N 1 LAMPUNG SELATAN</t>
  </si>
  <si>
    <t>08127958017</t>
  </si>
  <si>
    <t>0895410050208</t>
  </si>
  <si>
    <t>MSB25-03-278</t>
  </si>
  <si>
    <t>TYAS DWI RAHAYU</t>
  </si>
  <si>
    <t>Suroto</t>
  </si>
  <si>
    <t>BUNGKUS</t>
  </si>
  <si>
    <t>083104516626</t>
  </si>
  <si>
    <t>082314979717</t>
  </si>
  <si>
    <t>MSB25-03-279</t>
  </si>
  <si>
    <t>RIZKY ARYA SAPUTRA</t>
  </si>
  <si>
    <t>EKO PRAYOGO/JUMIARTI</t>
  </si>
  <si>
    <t>PUTON</t>
  </si>
  <si>
    <t>TRIMULYO</t>
  </si>
  <si>
    <t>SMP MUHAMADIYAH IMOGIRI</t>
  </si>
  <si>
    <t>083104810116</t>
  </si>
  <si>
    <t>081578860211</t>
  </si>
  <si>
    <t>MSB25-03-280</t>
  </si>
  <si>
    <t>M.FADIL AL-RAZZAQ</t>
  </si>
  <si>
    <t>KOTA JAMBI</t>
  </si>
  <si>
    <t>25-04-2010</t>
  </si>
  <si>
    <t>NOVLIRAHMANIA</t>
  </si>
  <si>
    <t>JL AMANGKURAT TANJUN</t>
  </si>
  <si>
    <t>032</t>
  </si>
  <si>
    <t>TANJUNGPINANG</t>
  </si>
  <si>
    <t>JAMBI TIMUR</t>
  </si>
  <si>
    <t>JAMBI</t>
  </si>
  <si>
    <t>SMP N 10 KOTA JAMBI</t>
  </si>
  <si>
    <t>083897353294</t>
  </si>
  <si>
    <t>MSB25-03-281</t>
  </si>
  <si>
    <t>RAFIF SYAUQI RASENDRIYA DINFA</t>
  </si>
  <si>
    <t>KARANGANYAR</t>
  </si>
  <si>
    <t>10-02-2010</t>
  </si>
  <si>
    <t>ADIN SAFARI</t>
  </si>
  <si>
    <t>SUDIMORO</t>
  </si>
  <si>
    <t>089621599107</t>
  </si>
  <si>
    <t>085855509356</t>
  </si>
  <si>
    <t>MSB25-03-283</t>
  </si>
  <si>
    <t>EZRA ARVA ARKANANTA</t>
  </si>
  <si>
    <t>EKO NURCAHYO</t>
  </si>
  <si>
    <t>089619176778</t>
  </si>
  <si>
    <t>0895429958800</t>
  </si>
  <si>
    <t>MSB25-03-284</t>
  </si>
  <si>
    <t>ATHAR AL FATIH IBROHIM</t>
  </si>
  <si>
    <t>Wahyudin</t>
  </si>
  <si>
    <t>KANGGOTAN</t>
  </si>
  <si>
    <t>SMP N 1 PLERET</t>
  </si>
  <si>
    <t>0895806687640</t>
  </si>
  <si>
    <t>MSB25-03-285</t>
  </si>
  <si>
    <t>FATIHUL IHSAN PUTRA SETIAWAN</t>
  </si>
  <si>
    <t>14-03-2009</t>
  </si>
  <si>
    <t>Aris Setiawan</t>
  </si>
  <si>
    <t>087774777776</t>
  </si>
  <si>
    <t>081390592350</t>
  </si>
  <si>
    <t>MSB25-03-286</t>
  </si>
  <si>
    <t>ZUHDA MUSAHILA</t>
  </si>
  <si>
    <t>29-07-2009</t>
  </si>
  <si>
    <t>SARJIYANA</t>
  </si>
  <si>
    <t>GERSIK</t>
  </si>
  <si>
    <t>SUMBERMULYO</t>
  </si>
  <si>
    <t>087739722717</t>
  </si>
  <si>
    <t>087752281618</t>
  </si>
  <si>
    <t>MSB25-03-287</t>
  </si>
  <si>
    <t>AKBAR PUTRA QURNIAWAN</t>
  </si>
  <si>
    <t>18-10-2009</t>
  </si>
  <si>
    <t>RIBET ASIH</t>
  </si>
  <si>
    <t>TRUKAN</t>
  </si>
  <si>
    <t>SMP MUHAMMADIYAH PLERET</t>
  </si>
  <si>
    <t>082224321071</t>
  </si>
  <si>
    <t>0895328650584</t>
  </si>
  <si>
    <t>MSB25-03-288</t>
  </si>
  <si>
    <t>FITRATAMA ZULFANDI</t>
  </si>
  <si>
    <t>WINARTO/HARTANTI</t>
  </si>
  <si>
    <t>085643335977 / 085866553414</t>
  </si>
  <si>
    <t>MSB25-03-289</t>
  </si>
  <si>
    <t>AAN ADITYA JAYAMURTI</t>
  </si>
  <si>
    <t>29-04-2008</t>
  </si>
  <si>
    <t>NGLARANG</t>
  </si>
  <si>
    <t>081239901099</t>
  </si>
  <si>
    <t>08895055511</t>
  </si>
  <si>
    <t>MSB25-03-290</t>
  </si>
  <si>
    <t>AZKA ALIYAN HAKMANI</t>
  </si>
  <si>
    <t>7-11-2009</t>
  </si>
  <si>
    <t>BONIDI</t>
  </si>
  <si>
    <t>PIJENAN</t>
  </si>
  <si>
    <t>085877234764 / 085194544827</t>
  </si>
  <si>
    <t>MSB25-03-291</t>
  </si>
  <si>
    <t>DENI PRASTYO</t>
  </si>
  <si>
    <t>PEKALONGAN</t>
  </si>
  <si>
    <t>RONO YEPTIANUS</t>
  </si>
  <si>
    <t>SMP N 1 SIWALAN</t>
  </si>
  <si>
    <t>085850210223</t>
  </si>
  <si>
    <t>082133590133</t>
  </si>
  <si>
    <t>MSB25-03-292</t>
  </si>
  <si>
    <t>MUHAMMAD LUTHFI ASRORI</t>
  </si>
  <si>
    <t>SUNU WIDODO</t>
  </si>
  <si>
    <t>WONOROTO</t>
  </si>
  <si>
    <t>GADINGSARI</t>
  </si>
  <si>
    <t>085326854766</t>
  </si>
  <si>
    <t>083801915964</t>
  </si>
  <si>
    <t>MSB25-03-293</t>
  </si>
  <si>
    <t>AL AFIQ</t>
  </si>
  <si>
    <t>KARYA MULYA</t>
  </si>
  <si>
    <t>31-07-2010</t>
  </si>
  <si>
    <t>ALI AZWAR</t>
  </si>
  <si>
    <t>DPRD MUKOMUKO</t>
  </si>
  <si>
    <t>DUSUN BARU V KOTO</t>
  </si>
  <si>
    <t>AIR DIKIT</t>
  </si>
  <si>
    <t>MUKOMUKO</t>
  </si>
  <si>
    <t>BENGKULU</t>
  </si>
  <si>
    <t>SMP N 03 MUKOMUKO</t>
  </si>
  <si>
    <t>085274674784</t>
  </si>
  <si>
    <t>082280287267</t>
  </si>
  <si>
    <t>MSB25-03-294</t>
  </si>
  <si>
    <t>PRIMADIKA SANTOSA</t>
  </si>
  <si>
    <t>JOKO YULIATMOKO</t>
  </si>
  <si>
    <t>BANTULAN</t>
  </si>
  <si>
    <t>087767361825</t>
  </si>
  <si>
    <t>MSB25-03-295</t>
  </si>
  <si>
    <t>ALAN KURNIAWAN SUBEKTY</t>
  </si>
  <si>
    <t>Supriyana</t>
  </si>
  <si>
    <t>081337259145</t>
  </si>
  <si>
    <t>MSB25-03-296</t>
  </si>
  <si>
    <t>ADLIG IRYA RAMADHAN</t>
  </si>
  <si>
    <t>BREBES</t>
  </si>
  <si>
    <t>7-09-2008</t>
  </si>
  <si>
    <t>LOKALNI</t>
  </si>
  <si>
    <t>CABEYAN</t>
  </si>
  <si>
    <t>MTS N 2 BREBES</t>
  </si>
  <si>
    <t>087818544963</t>
  </si>
  <si>
    <t>08979340806</t>
  </si>
  <si>
    <t>MSB25-03-297</t>
  </si>
  <si>
    <t>KAYSAN FARIS BUDIYANTO</t>
  </si>
  <si>
    <t>SARYANTA</t>
  </si>
  <si>
    <t>CANDRAN</t>
  </si>
  <si>
    <t>PKBM WIYATA MANDIRI</t>
  </si>
  <si>
    <t>082324582244</t>
  </si>
  <si>
    <t>MSB25-03-298</t>
  </si>
  <si>
    <t>WAHIDIN IRYANSYAH PUTRO</t>
  </si>
  <si>
    <t>9-04-2009</t>
  </si>
  <si>
    <t>Teguh suharyanto</t>
  </si>
  <si>
    <t>GLONDONG</t>
  </si>
  <si>
    <t>088806901971</t>
  </si>
  <si>
    <t>+62 857-0048-76</t>
  </si>
  <si>
    <t>MSB25-03-299</t>
  </si>
  <si>
    <t>SATRIA BIMA YANUGRAHA</t>
  </si>
  <si>
    <t>PALU</t>
  </si>
  <si>
    <t>12-04-2009</t>
  </si>
  <si>
    <t>RIA NITA UTAMI</t>
  </si>
  <si>
    <t>PANGGANG II</t>
  </si>
  <si>
    <t>GIRIHARJO</t>
  </si>
  <si>
    <t>PANGGANG</t>
  </si>
  <si>
    <t>SMP DHARMA UTAMA MUARA WAHAU</t>
  </si>
  <si>
    <t>085326433312</t>
  </si>
  <si>
    <t>082396336957</t>
  </si>
  <si>
    <t>MSB25-03-300</t>
  </si>
  <si>
    <t>FIRMAN ANTONI</t>
  </si>
  <si>
    <t>24-06-2009</t>
  </si>
  <si>
    <t>ARI PARYANTO</t>
  </si>
  <si>
    <t>KALIMANJUNG</t>
  </si>
  <si>
    <t>AMBARKETAWANG</t>
  </si>
  <si>
    <t>GAMPING</t>
  </si>
  <si>
    <t>SMP N 4 GAMPING</t>
  </si>
  <si>
    <t>088988550007</t>
  </si>
  <si>
    <t>MSB25-03-301</t>
  </si>
  <si>
    <t>SAPTONO NUR WIBOWO</t>
  </si>
  <si>
    <t>4-06-2010</t>
  </si>
  <si>
    <t>KUSNANTO</t>
  </si>
  <si>
    <t>KARANGPULE</t>
  </si>
  <si>
    <t>SMP MUHAMMADIYAH 8 YOGYAKARTA</t>
  </si>
  <si>
    <t>08122781899</t>
  </si>
  <si>
    <t>MSB25-03-302</t>
  </si>
  <si>
    <t>ANNAS GHANY ARROUF</t>
  </si>
  <si>
    <t>13-08-2009</t>
  </si>
  <si>
    <t>081325272674</t>
  </si>
  <si>
    <t>087785335873</t>
  </si>
  <si>
    <t>MSB25-03-303</t>
  </si>
  <si>
    <t>YUDA RADITIA ROMADHON</t>
  </si>
  <si>
    <t>21-09-2008</t>
  </si>
  <si>
    <t>PANGGUNG BASUKI</t>
  </si>
  <si>
    <t>KARANGTALUN</t>
  </si>
  <si>
    <t>081252357996</t>
  </si>
  <si>
    <t>085877233108</t>
  </si>
  <si>
    <t>MSB25-03-305</t>
  </si>
  <si>
    <t>RAZAQA ADITYA FAZA</t>
  </si>
  <si>
    <t>2-07-2010</t>
  </si>
  <si>
    <t>Ruli Febriyanto</t>
  </si>
  <si>
    <t>NGASEM</t>
  </si>
  <si>
    <t>Mts Nurul Ummah</t>
  </si>
  <si>
    <t>081373181758</t>
  </si>
  <si>
    <t>085216319559</t>
  </si>
  <si>
    <t>MSB25-03-306</t>
  </si>
  <si>
    <t>NAUFAL AZIZAN SOFYANDI</t>
  </si>
  <si>
    <t>INDRI ASTUTI</t>
  </si>
  <si>
    <t>DOBALAN</t>
  </si>
  <si>
    <t>0895614768866</t>
  </si>
  <si>
    <t>MSB25-03-309</t>
  </si>
  <si>
    <t>WISNU LINTANG SAPUTRA</t>
  </si>
  <si>
    <t>21-02-2009</t>
  </si>
  <si>
    <t>supriadi/nur ismiati</t>
  </si>
  <si>
    <t>KALIPUTIH</t>
  </si>
  <si>
    <t>042</t>
  </si>
  <si>
    <t>SMP N 2 SUGIO LAMONGAN</t>
  </si>
  <si>
    <t>085601181119</t>
  </si>
  <si>
    <t>085790541391</t>
  </si>
  <si>
    <t>MSB25-03-311</t>
  </si>
  <si>
    <t>BAGAS ARDHI PANGESTU</t>
  </si>
  <si>
    <t>ARIS YUNIARTO</t>
  </si>
  <si>
    <t>MTS MUHAMMADIYAH BANTUL</t>
  </si>
  <si>
    <t>081804323468</t>
  </si>
  <si>
    <t>0882003490646</t>
  </si>
  <si>
    <t>MSB25-03-312</t>
  </si>
  <si>
    <t>WILDAN MIFTAHUL ROYYAN</t>
  </si>
  <si>
    <t>30-12-2009</t>
  </si>
  <si>
    <t>Golkar Ery Mulyanto</t>
  </si>
  <si>
    <t>TEGALREJO</t>
  </si>
  <si>
    <t>BAWURAN</t>
  </si>
  <si>
    <t>SMP MUHAMMADIYAH BANGUNTAPAN</t>
  </si>
  <si>
    <t>0895363177755</t>
  </si>
  <si>
    <t>MSB25-03-313</t>
  </si>
  <si>
    <t>MUHAMMAD GALANG PERDAMAIAN</t>
  </si>
  <si>
    <t>1-03-2009</t>
  </si>
  <si>
    <t>DONGKELAN</t>
  </si>
  <si>
    <t>PKBM PERSADA</t>
  </si>
  <si>
    <t>089508078518</t>
  </si>
  <si>
    <t>0882006835007</t>
  </si>
  <si>
    <t>MSB25-03-314</t>
  </si>
  <si>
    <t>ANDINI REGINA ARDIYANTI</t>
  </si>
  <si>
    <t>SUMIJO</t>
  </si>
  <si>
    <t>DIRO</t>
  </si>
  <si>
    <t>082330859929</t>
  </si>
  <si>
    <t>0888902876331</t>
  </si>
  <si>
    <t>MSB25-03-315</t>
  </si>
  <si>
    <t>AKHMAD MALIK MUSTOFA</t>
  </si>
  <si>
    <t>23-07-2007</t>
  </si>
  <si>
    <t>EKO SUNARYO</t>
  </si>
  <si>
    <t>KARANGKULON</t>
  </si>
  <si>
    <t>MTS BINAUL UMMAH</t>
  </si>
  <si>
    <t>08822884827</t>
  </si>
  <si>
    <t>088227752987</t>
  </si>
  <si>
    <t>MSB25-03-316</t>
  </si>
  <si>
    <t>RAFKA SABIQ AUFA</t>
  </si>
  <si>
    <t>HERU SETIAWAN</t>
  </si>
  <si>
    <t>085716580040</t>
  </si>
  <si>
    <t>085832265653</t>
  </si>
  <si>
    <t>MSB25-03-317</t>
  </si>
  <si>
    <t>BAGUS SUDARMANTO</t>
  </si>
  <si>
    <t>WANDIANA</t>
  </si>
  <si>
    <t>0895365361865</t>
  </si>
  <si>
    <t>MSB25-03-318</t>
  </si>
  <si>
    <t>GABRIEL MAULANA PUTRA HADIF</t>
  </si>
  <si>
    <t>22-01-2010</t>
  </si>
  <si>
    <t>Dwi fajar ima delawati</t>
  </si>
  <si>
    <t>Mts Nurul jadid</t>
  </si>
  <si>
    <t>08233120323</t>
  </si>
  <si>
    <t>081216310426</t>
  </si>
  <si>
    <t>MSB25-03-319</t>
  </si>
  <si>
    <t>RADEVA INDRA MAULANA</t>
  </si>
  <si>
    <t>Swi Handayani</t>
  </si>
  <si>
    <t>SMP N 2 BAMBANGLIPURO</t>
  </si>
  <si>
    <t>085878948955</t>
  </si>
  <si>
    <t>0895393170117</t>
  </si>
  <si>
    <t>MSB25-03-320</t>
  </si>
  <si>
    <t>DWI NUR CAHYO</t>
  </si>
  <si>
    <t>23-01-2010</t>
  </si>
  <si>
    <t>SARJILAH</t>
  </si>
  <si>
    <t>082314472793</t>
  </si>
  <si>
    <t>085727439113</t>
  </si>
  <si>
    <t>MSB25-03-321</t>
  </si>
  <si>
    <t>MUHAMMAD FIRDAUS SOFYAN DAHLAN</t>
  </si>
  <si>
    <t>MUHAMMAD DAHLAN</t>
  </si>
  <si>
    <t>SENGGOTAN</t>
  </si>
  <si>
    <t>SMP MUHAMMADIYAH 5 YOGYAKARTA</t>
  </si>
  <si>
    <t>087739402664</t>
  </si>
  <si>
    <t>083862521349</t>
  </si>
  <si>
    <t>MSB25-03-322</t>
  </si>
  <si>
    <t>MUHAMMAD ZACKY FIRMAN RAMADHAN</t>
  </si>
  <si>
    <t>Poniman/mujirah</t>
  </si>
  <si>
    <t>KARANGSEMUT</t>
  </si>
  <si>
    <t>085712670558</t>
  </si>
  <si>
    <t>085740009140</t>
  </si>
  <si>
    <t>MSB25-03-323</t>
  </si>
  <si>
    <t>TAUFAN DIRA CAROTTAMA</t>
  </si>
  <si>
    <t>13-06-2010</t>
  </si>
  <si>
    <t>Sarbini / Happy Nuruma Sulamit</t>
  </si>
  <si>
    <t>PRIYAN</t>
  </si>
  <si>
    <t>083145682480</t>
  </si>
  <si>
    <t>083842579521</t>
  </si>
  <si>
    <t>MSB25-03-324</t>
  </si>
  <si>
    <t>ARFIAN RIZKY NUR RAMADHAN</t>
  </si>
  <si>
    <t>Agus fahnuri</t>
  </si>
  <si>
    <t>TERONG 11</t>
  </si>
  <si>
    <t>TERONG</t>
  </si>
  <si>
    <t>DLINGO</t>
  </si>
  <si>
    <t>SMP N 1 DLINGO</t>
  </si>
  <si>
    <t>082326209731</t>
  </si>
  <si>
    <t>MSB25-03-325</t>
  </si>
  <si>
    <t>REYHANZYAH BAGUS RAMADHAN</t>
  </si>
  <si>
    <t>31-08-2009</t>
  </si>
  <si>
    <t>SETYO PURWANTO</t>
  </si>
  <si>
    <t>085868218867</t>
  </si>
  <si>
    <t>085786974397</t>
  </si>
  <si>
    <t>MSB25-03-326</t>
  </si>
  <si>
    <t>DAFFA ARYA SADEWA</t>
  </si>
  <si>
    <t>5-03-2010</t>
  </si>
  <si>
    <t>MUJIMAN</t>
  </si>
  <si>
    <t>089508581523</t>
  </si>
  <si>
    <t>0895380199135</t>
  </si>
  <si>
    <t>MSB25-03-327</t>
  </si>
  <si>
    <t>HAFIIZH SODIK NURRAHMAN</t>
  </si>
  <si>
    <t>Nur Hayanto</t>
  </si>
  <si>
    <t>010</t>
  </si>
  <si>
    <t>081314673519</t>
  </si>
  <si>
    <t>089687140131</t>
  </si>
  <si>
    <t>MSB25-03-328</t>
  </si>
  <si>
    <t>LADANG NIRA MAHESWARA</t>
  </si>
  <si>
    <t>17-07-2009</t>
  </si>
  <si>
    <t>RIANA</t>
  </si>
  <si>
    <t>089648536651</t>
  </si>
  <si>
    <t>081215851830</t>
  </si>
  <si>
    <t>MSB25-03-329</t>
  </si>
  <si>
    <t>DEVASYHA AQUILA MAULANA</t>
  </si>
  <si>
    <t>26-09-2009</t>
  </si>
  <si>
    <t>TRI WAHYUNI</t>
  </si>
  <si>
    <t>MRANGGEN</t>
  </si>
  <si>
    <t>089618640044</t>
  </si>
  <si>
    <t>MSB25-03-331</t>
  </si>
  <si>
    <t>ELEN LAYLITA NOVANI</t>
  </si>
  <si>
    <t>wakidi</t>
  </si>
  <si>
    <t>SEROPAN 3</t>
  </si>
  <si>
    <t>MUNTUK</t>
  </si>
  <si>
    <t>SMP MUHAMMADIYAH KREATIF 2 DLINGO</t>
  </si>
  <si>
    <t>08895356349</t>
  </si>
  <si>
    <t>0882008675520</t>
  </si>
  <si>
    <t>MSB25-03-332</t>
  </si>
  <si>
    <t>MUHAMMAD FACHRI NURCAHYA</t>
  </si>
  <si>
    <t>NUR CHOLIS</t>
  </si>
  <si>
    <t>SOROWAJAN</t>
  </si>
  <si>
    <t>088216705883</t>
  </si>
  <si>
    <t>0881024717048</t>
  </si>
  <si>
    <t>MSB25-03-333</t>
  </si>
  <si>
    <t>ANANDA RIZKY PRASETYO WIDODO</t>
  </si>
  <si>
    <t>RUJIYANTO</t>
  </si>
  <si>
    <t>NGEBEL</t>
  </si>
  <si>
    <t>087839568142</t>
  </si>
  <si>
    <t>MSB25-03-334</t>
  </si>
  <si>
    <t>R. AKIRA EVANDO NAUFAL</t>
  </si>
  <si>
    <t>ARIF BIYANTO</t>
  </si>
  <si>
    <t>JOGOKARIYAN MJ.3/742</t>
  </si>
  <si>
    <t>MTS N 1 YOGYAKARTA</t>
  </si>
  <si>
    <t>087748001428</t>
  </si>
  <si>
    <t>081585389460</t>
  </si>
  <si>
    <t>MSB25-03-335</t>
  </si>
  <si>
    <t>ALFAREL FRIDZI NAUVALADI</t>
  </si>
  <si>
    <t>2-10-2011</t>
  </si>
  <si>
    <t>SIGIT PURWANTO</t>
  </si>
  <si>
    <t>TNI</t>
  </si>
  <si>
    <t>JAMBUMETE KALIPUCANG</t>
  </si>
  <si>
    <t>MITQ Jamilurrahman</t>
  </si>
  <si>
    <t>082226911616</t>
  </si>
  <si>
    <t>087888610556</t>
  </si>
  <si>
    <t>MSB25-03-336</t>
  </si>
  <si>
    <t>RAMZAN WILLY SETYO PAMBUDI</t>
  </si>
  <si>
    <t>SUKAMTO</t>
  </si>
  <si>
    <t>BOBOK</t>
  </si>
  <si>
    <t>085702514408</t>
  </si>
  <si>
    <t>MSB25-03-337</t>
  </si>
  <si>
    <t>RIZKI ADITYA NUGRAHA</t>
  </si>
  <si>
    <t>27-05-2010</t>
  </si>
  <si>
    <t>INDRIYAS SURANTI</t>
  </si>
  <si>
    <t>TEGALSARI</t>
  </si>
  <si>
    <t>SMP MUHAMMADIYAH 1 GAMPING</t>
  </si>
  <si>
    <t>082334010728</t>
  </si>
  <si>
    <t>085800345731</t>
  </si>
  <si>
    <t>MSB25-03-338</t>
  </si>
  <si>
    <t>MUHAMMAD DIMAS ADNAN PRABOWO</t>
  </si>
  <si>
    <t>22-11-2009</t>
  </si>
  <si>
    <t>SUGENG PRIYONO</t>
  </si>
  <si>
    <t>TEGAL DOWO</t>
  </si>
  <si>
    <t>089687602785</t>
  </si>
  <si>
    <t>089529627049</t>
  </si>
  <si>
    <t>MSB25-03-339</t>
  </si>
  <si>
    <t>PEDRO ALVARO</t>
  </si>
  <si>
    <t>5-03-2009</t>
  </si>
  <si>
    <t>ANTONY</t>
  </si>
  <si>
    <t>08562927470</t>
  </si>
  <si>
    <t>MSB25-03-340</t>
  </si>
  <si>
    <t>LUTFI ARDIAN MAULANA</t>
  </si>
  <si>
    <t>DWI NURYANTO</t>
  </si>
  <si>
    <t>BETON</t>
  </si>
  <si>
    <t>085801288117</t>
  </si>
  <si>
    <t>088216603907</t>
  </si>
  <si>
    <t>MSB25-03-341</t>
  </si>
  <si>
    <t>FAHDAN HAFIDZ IKHWANTORO</t>
  </si>
  <si>
    <t>BASUKI</t>
  </si>
  <si>
    <t>08973156020</t>
  </si>
  <si>
    <t>08973156010</t>
  </si>
  <si>
    <t>MSB25-03-342</t>
  </si>
  <si>
    <t>ARJUNA SAPUTRA</t>
  </si>
  <si>
    <t>29-08-2009</t>
  </si>
  <si>
    <t>Muhammad Saputra</t>
  </si>
  <si>
    <t>BEKELAN</t>
  </si>
  <si>
    <t>081390370505;081326312710</t>
  </si>
  <si>
    <t>088233701655</t>
  </si>
  <si>
    <t>MSB25-03-343</t>
  </si>
  <si>
    <t>FAJAR HERMAWAN</t>
  </si>
  <si>
    <t>Irwan Riswoto</t>
  </si>
  <si>
    <t>082242141030</t>
  </si>
  <si>
    <t>MSB25-03-344</t>
  </si>
  <si>
    <t>ALI NURFIANO</t>
  </si>
  <si>
    <t>1-07-2009</t>
  </si>
  <si>
    <t>WAGIMAN</t>
  </si>
  <si>
    <t>PELEM SEWU</t>
  </si>
  <si>
    <t>0882007515109</t>
  </si>
  <si>
    <t>085786141348</t>
  </si>
  <si>
    <t>MSB25-03-345</t>
  </si>
  <si>
    <t>ERDIO AURIZAL FAHREZY</t>
  </si>
  <si>
    <t>NANANG SUDIARTO</t>
  </si>
  <si>
    <t>085759566199</t>
  </si>
  <si>
    <t>085876345740</t>
  </si>
  <si>
    <t>MSB25-03-346</t>
  </si>
  <si>
    <t>MUHAMMAD LUTHFAN AZIZAN</t>
  </si>
  <si>
    <t>6-08-2009</t>
  </si>
  <si>
    <t>ZUNIANTO</t>
  </si>
  <si>
    <t>BABAKAN</t>
  </si>
  <si>
    <t>081318700083</t>
  </si>
  <si>
    <t>085890338403</t>
  </si>
  <si>
    <t>MSB25-03-347</t>
  </si>
  <si>
    <t>MUHAMMAD NURHANIF ARINANDA PUTRA</t>
  </si>
  <si>
    <t>Ariyadi</t>
  </si>
  <si>
    <t>085868259299</t>
  </si>
  <si>
    <t>087838176475</t>
  </si>
  <si>
    <t>MSB25-03-348</t>
  </si>
  <si>
    <t>AHMAD NUR KHOLIS</t>
  </si>
  <si>
    <t>6-02-2009</t>
  </si>
  <si>
    <t>SUKARNI</t>
  </si>
  <si>
    <t>IBU RUMAH TANGGA (TUNA RUNGU)</t>
  </si>
  <si>
    <t>KAUMAN</t>
  </si>
  <si>
    <t>082134428876</t>
  </si>
  <si>
    <t>081225115847</t>
  </si>
  <si>
    <t>MSB25-03-349</t>
  </si>
  <si>
    <t>ADITYA RAIHAN OKTAFIANTO</t>
  </si>
  <si>
    <t>Slamet Priyanto</t>
  </si>
  <si>
    <t>Tukang listrik</t>
  </si>
  <si>
    <t>BAKUNG</t>
  </si>
  <si>
    <t>MTS N 1 MAGELANG</t>
  </si>
  <si>
    <t>087782074998</t>
  </si>
  <si>
    <t>083138715683</t>
  </si>
  <si>
    <t>MSB25-03-350</t>
  </si>
  <si>
    <t>NAUFAL KHANIF</t>
  </si>
  <si>
    <t>4-05-2010</t>
  </si>
  <si>
    <t>ARIF SUPRIYADI</t>
  </si>
  <si>
    <t>081578411548</t>
  </si>
  <si>
    <t>0882003065476</t>
  </si>
  <si>
    <t>MSB25-03-351</t>
  </si>
  <si>
    <t>ALFIAN JULIAN PUTRA</t>
  </si>
  <si>
    <t>KOTA MAGELANG</t>
  </si>
  <si>
    <t>19-07-2009</t>
  </si>
  <si>
    <t>SURATINI</t>
  </si>
  <si>
    <t>BADEGAN</t>
  </si>
  <si>
    <t>081325503914</t>
  </si>
  <si>
    <t>0882006932193</t>
  </si>
  <si>
    <t>MSB25-03-352</t>
  </si>
  <si>
    <t>ARYA WEDHA NOER MUNIP</t>
  </si>
  <si>
    <t>BATAM</t>
  </si>
  <si>
    <t>6-07-2008</t>
  </si>
  <si>
    <t>ABDUL MUNIP</t>
  </si>
  <si>
    <t>NITIKAN UH 6/476</t>
  </si>
  <si>
    <t>SOROSUTAN</t>
  </si>
  <si>
    <t>UMBULHARJO</t>
  </si>
  <si>
    <t>081270222022</t>
  </si>
  <si>
    <t>081933616646</t>
  </si>
  <si>
    <t>MSB25-03-353</t>
  </si>
  <si>
    <t>AHMAD APRIYANTO</t>
  </si>
  <si>
    <t>23-04-2009</t>
  </si>
  <si>
    <t>MELIKAN LOR</t>
  </si>
  <si>
    <t>005</t>
  </si>
  <si>
    <t>089529103240</t>
  </si>
  <si>
    <t>MSB25-03-357</t>
  </si>
  <si>
    <t>HAIKAL GADING RAMADHAN</t>
  </si>
  <si>
    <t>Iswanto</t>
  </si>
  <si>
    <t>BAJANG</t>
  </si>
  <si>
    <t>+62 822-9167-7345/087810651215</t>
  </si>
  <si>
    <t>+62 878-1065-12</t>
  </si>
  <si>
    <t>MSB25-03-358</t>
  </si>
  <si>
    <t>TEMBILAHAN</t>
  </si>
  <si>
    <t>M. Rizal Wahyudi</t>
  </si>
  <si>
    <t>TEGAL KRAPYAK</t>
  </si>
  <si>
    <t>MTS N 2 INDRAGIRI HILIR</t>
  </si>
  <si>
    <t>08226098194</t>
  </si>
  <si>
    <t>083898671034</t>
  </si>
  <si>
    <t>MSB25-03-359</t>
  </si>
  <si>
    <t>FAZZA AVRIL PRATAMA</t>
  </si>
  <si>
    <t>7-04-2009</t>
  </si>
  <si>
    <t>SURANTO</t>
  </si>
  <si>
    <t>GONJEN</t>
  </si>
  <si>
    <t>089531070118</t>
  </si>
  <si>
    <t>085363496735</t>
  </si>
  <si>
    <t>MSB25-03-360</t>
  </si>
  <si>
    <t>GALUH FINSA LUTFIANA PUTRI</t>
  </si>
  <si>
    <t>27-01-2009</t>
  </si>
  <si>
    <t>TRIYANTO</t>
  </si>
  <si>
    <t>KARANGJATI</t>
  </si>
  <si>
    <t>SMP N 3 KASIHAN</t>
  </si>
  <si>
    <t>083159428957</t>
  </si>
  <si>
    <t>083867462892</t>
  </si>
  <si>
    <t>MSB25-03-361</t>
  </si>
  <si>
    <t>MUHAMMAD MORRIES NEEMO</t>
  </si>
  <si>
    <t>5-01-2010</t>
  </si>
  <si>
    <t>FELINA ASKRAENI</t>
  </si>
  <si>
    <t>TARUDAN WETAN</t>
  </si>
  <si>
    <t>SMP MUHAMMADIYAH 7 YOGYAKARTA</t>
  </si>
  <si>
    <t>088220283925</t>
  </si>
  <si>
    <t>083824393276</t>
  </si>
  <si>
    <t>MSB25-03-362</t>
  </si>
  <si>
    <t>PRAWIRA HIDAYATULLAH</t>
  </si>
  <si>
    <t>PALEMBANG</t>
  </si>
  <si>
    <t>27-07-2010</t>
  </si>
  <si>
    <t>TRI RAHMANTO</t>
  </si>
  <si>
    <t>MANDING GANDEKAN</t>
  </si>
  <si>
    <t>082181850381</t>
  </si>
  <si>
    <t>088272464289</t>
  </si>
  <si>
    <t>MSB25-03-363</t>
  </si>
  <si>
    <t>SURYA GUNTARA PUTRA</t>
  </si>
  <si>
    <t>11-01-2009</t>
  </si>
  <si>
    <t>MUJIRAN</t>
  </si>
  <si>
    <t>BURUH HARIAN LEPAS</t>
  </si>
  <si>
    <t>SRANDAKAN DK I</t>
  </si>
  <si>
    <t>085228623606</t>
  </si>
  <si>
    <t>088215613566</t>
  </si>
  <si>
    <t>MSB25-03-364</t>
  </si>
  <si>
    <t>ANGGA PRADIPA PUTRA</t>
  </si>
  <si>
    <t>KUAT RIYANTO</t>
  </si>
  <si>
    <t>088232581270</t>
  </si>
  <si>
    <t>08812730945</t>
  </si>
  <si>
    <t>MSB25-03-365</t>
  </si>
  <si>
    <t>NABIL NURYATAMA</t>
  </si>
  <si>
    <t>MTS MUHAMMADIYAH KARANGKAJEN</t>
  </si>
  <si>
    <t>081227388174</t>
  </si>
  <si>
    <t>089699139762</t>
  </si>
  <si>
    <t>MSB25-03-366</t>
  </si>
  <si>
    <t>GALIH ADITYA SAPUTRA</t>
  </si>
  <si>
    <t>2-07-2009</t>
  </si>
  <si>
    <t>YULI SUSANTO</t>
  </si>
  <si>
    <t>0895421044633</t>
  </si>
  <si>
    <t>0888983214533</t>
  </si>
  <si>
    <t>MSB25-03-367</t>
  </si>
  <si>
    <t>RIFA EGA RASYA SAPUTRA</t>
  </si>
  <si>
    <t>8-11-2008</t>
  </si>
  <si>
    <t>TRI ANTINI</t>
  </si>
  <si>
    <t>0882007957966</t>
  </si>
  <si>
    <t>083873608420</t>
  </si>
  <si>
    <t>MSB25-03-368</t>
  </si>
  <si>
    <t>VINO ANDIKHA PRATAMA</t>
  </si>
  <si>
    <t>28-06-2009</t>
  </si>
  <si>
    <t>TARI NOR ASTUTI</t>
  </si>
  <si>
    <t>KALINONGKO</t>
  </si>
  <si>
    <t>089650654080</t>
  </si>
  <si>
    <t>089650658080</t>
  </si>
  <si>
    <t>MSB25-03-370</t>
  </si>
  <si>
    <t>ANGGARA ALBYAN PRATAMA</t>
  </si>
  <si>
    <t>27-04-2009</t>
  </si>
  <si>
    <t>WELLY ISMOYO</t>
  </si>
  <si>
    <t>089517925627</t>
  </si>
  <si>
    <t>085725654722</t>
  </si>
  <si>
    <t>MSB25-03-372</t>
  </si>
  <si>
    <t>FEBIKA SILFA SALSABILA</t>
  </si>
  <si>
    <t>FATONAH</t>
  </si>
  <si>
    <t>LOPATI</t>
  </si>
  <si>
    <t>082325635409</t>
  </si>
  <si>
    <t>083821996975</t>
  </si>
  <si>
    <t>MSB25-03-373</t>
  </si>
  <si>
    <t>TOMMY VARELLA PANGESTU</t>
  </si>
  <si>
    <t>3-05-2009</t>
  </si>
  <si>
    <t>MURGIYONO</t>
  </si>
  <si>
    <t>KRANDOHAN</t>
  </si>
  <si>
    <t>08895417265376</t>
  </si>
  <si>
    <t>089510776391</t>
  </si>
  <si>
    <t>MSB25-03-374</t>
  </si>
  <si>
    <t>FACHREZA MUHAMMAD NAUFAL</t>
  </si>
  <si>
    <t>EDDY PRAYITNO</t>
  </si>
  <si>
    <t>SWASTA</t>
  </si>
  <si>
    <t>BENER tR.IV/205</t>
  </si>
  <si>
    <t>004</t>
  </si>
  <si>
    <t>BENER</t>
  </si>
  <si>
    <t>SMP MUHAMMADIYAH 1 YOGYAKARTA</t>
  </si>
  <si>
    <t>081578151532</t>
  </si>
  <si>
    <t>088985050873</t>
  </si>
  <si>
    <t>MSB25-03-375</t>
  </si>
  <si>
    <t>FAREL AGUSTIAN SAPUTRA</t>
  </si>
  <si>
    <t>11-08-2009</t>
  </si>
  <si>
    <t>Sutrisno</t>
  </si>
  <si>
    <t>NGIBIKAN</t>
  </si>
  <si>
    <t>081356348883</t>
  </si>
  <si>
    <t>085329638838</t>
  </si>
  <si>
    <t>MSB25-03-376</t>
  </si>
  <si>
    <t>VIONA MEGA YUANITA</t>
  </si>
  <si>
    <t>IMBANG YUANA</t>
  </si>
  <si>
    <t>PLURUGAN</t>
  </si>
  <si>
    <t>0895366134542</t>
  </si>
  <si>
    <t>082342643968</t>
  </si>
  <si>
    <t>MSB25-03-377</t>
  </si>
  <si>
    <t>JATMIKO DWI IRAWAN</t>
  </si>
  <si>
    <t>3-07-2008</t>
  </si>
  <si>
    <t>SITI</t>
  </si>
  <si>
    <t>MERSAN</t>
  </si>
  <si>
    <t>081802799574</t>
  </si>
  <si>
    <t>082233954428</t>
  </si>
  <si>
    <t>MSB25-03-378</t>
  </si>
  <si>
    <t>MUHAMMAD FAUZY RAMADHAN</t>
  </si>
  <si>
    <t>25-08-2009</t>
  </si>
  <si>
    <t>Sutriyono</t>
  </si>
  <si>
    <t>085878136762</t>
  </si>
  <si>
    <t>08994528881</t>
  </si>
  <si>
    <t>MSB25-03-379</t>
  </si>
  <si>
    <t>FAIZASYAH SETO PRASETIYO</t>
  </si>
  <si>
    <t>2-02-2010</t>
  </si>
  <si>
    <t>BLALI</t>
  </si>
  <si>
    <t>0882007959724</t>
  </si>
  <si>
    <t>08003180460</t>
  </si>
  <si>
    <t>MSB25-03-380</t>
  </si>
  <si>
    <t>ARDIAN NADHIF PUTRA</t>
  </si>
  <si>
    <t>22-02-2009</t>
  </si>
  <si>
    <t>SITI KHOMARIYAH</t>
  </si>
  <si>
    <t>JOMBORAN</t>
  </si>
  <si>
    <t>089508389477</t>
  </si>
  <si>
    <t>0831911646078</t>
  </si>
  <si>
    <t>MSB25-03-381</t>
  </si>
  <si>
    <t>NADA SHAFA SALSABILA AQRYA</t>
  </si>
  <si>
    <t>PARJIMAN</t>
  </si>
  <si>
    <t>BANJARDOWO</t>
  </si>
  <si>
    <t>SMP N 1 JETIS</t>
  </si>
  <si>
    <t>08179444707</t>
  </si>
  <si>
    <t>082324101329</t>
  </si>
  <si>
    <t>MSB25-03-382</t>
  </si>
  <si>
    <t>OKAN BAYO ANDIFATAMA</t>
  </si>
  <si>
    <t>R ANDRIAS NOVIARDI</t>
  </si>
  <si>
    <t>MANGGUNG</t>
  </si>
  <si>
    <t>082242073828</t>
  </si>
  <si>
    <t>0882007390278</t>
  </si>
  <si>
    <t>MSB25-03-383</t>
  </si>
  <si>
    <t>MUHAMMAD RAFFI DWI ANDHIKA</t>
  </si>
  <si>
    <t>6-04-2009</t>
  </si>
  <si>
    <t>SRI SUKARNI</t>
  </si>
  <si>
    <t>KEMBARAN</t>
  </si>
  <si>
    <t>089651465666</t>
  </si>
  <si>
    <t>089507185752</t>
  </si>
  <si>
    <t>MSB25-03-384</t>
  </si>
  <si>
    <t>ARDIAN FEBRIANTO</t>
  </si>
  <si>
    <t>23-02-2009</t>
  </si>
  <si>
    <t>Slamet sepbiyanto</t>
  </si>
  <si>
    <t>089620922926</t>
  </si>
  <si>
    <t>089612730896</t>
  </si>
  <si>
    <t>MSB25-03-385</t>
  </si>
  <si>
    <t>MUHAMMAD ADLI RAMADHAN</t>
  </si>
  <si>
    <t>DIYANTO</t>
  </si>
  <si>
    <t>KENTOLAN LOR</t>
  </si>
  <si>
    <t>089626542039</t>
  </si>
  <si>
    <t>081575599181</t>
  </si>
  <si>
    <t>MSB25-03-386</t>
  </si>
  <si>
    <t>ADIMAS AGUNG SAPUTRA</t>
  </si>
  <si>
    <t>TANAH BUMBU</t>
  </si>
  <si>
    <t>Sriyatun</t>
  </si>
  <si>
    <t>BEJEN</t>
  </si>
  <si>
    <t>0838202000366/083863682447</t>
  </si>
  <si>
    <t>083134907467</t>
  </si>
  <si>
    <t>MSB25-03-387</t>
  </si>
  <si>
    <t>MOHAMAD ISMAIL</t>
  </si>
  <si>
    <t>BOGOR</t>
  </si>
  <si>
    <t>16-06-2009</t>
  </si>
  <si>
    <t>NURHAYAT</t>
  </si>
  <si>
    <t>ART</t>
  </si>
  <si>
    <t>GESIKAN 4</t>
  </si>
  <si>
    <t>085865430713</t>
  </si>
  <si>
    <t>085869273927</t>
  </si>
  <si>
    <t>MSB25-03-388</t>
  </si>
  <si>
    <t>MUHAMMAD ZAKI AL MUJAHID</t>
  </si>
  <si>
    <t>11-12-2009</t>
  </si>
  <si>
    <t>Darrohman</t>
  </si>
  <si>
    <t>MENAYU KULON</t>
  </si>
  <si>
    <t>089603269839</t>
  </si>
  <si>
    <t>MSB25-03-389</t>
  </si>
  <si>
    <t>MUCHAMAD HUSRIEL RASYA SYAPOETRA</t>
  </si>
  <si>
    <t>Temanggung</t>
  </si>
  <si>
    <t>18/06/2008</t>
  </si>
  <si>
    <t>NESYA NANIK PRAMUDAYANI</t>
  </si>
  <si>
    <t>Swasta</t>
  </si>
  <si>
    <t>KALIPUCUNG</t>
  </si>
  <si>
    <t>KRAMAT</t>
  </si>
  <si>
    <t>Kranggan</t>
  </si>
  <si>
    <t>Jawa Tengah</t>
  </si>
  <si>
    <t>SMP N 1 KRANGGAN</t>
  </si>
  <si>
    <t>082137093951</t>
  </si>
  <si>
    <t>MSB25-03-390</t>
  </si>
  <si>
    <t>MUHAMMAD BAGAS AL GIFFARI</t>
  </si>
  <si>
    <t>SORONG</t>
  </si>
  <si>
    <t>WIJI HANDOKO</t>
  </si>
  <si>
    <t>PUCUNG</t>
  </si>
  <si>
    <t>SMP AL IZZAH</t>
  </si>
  <si>
    <t>081248135709</t>
  </si>
  <si>
    <t>085323264577</t>
  </si>
  <si>
    <t>MSB25-03-391</t>
  </si>
  <si>
    <t>HAFIZ AZAMMUZAHRI</t>
  </si>
  <si>
    <t>2-10-2009</t>
  </si>
  <si>
    <t>NURMA HIDAYATUN</t>
  </si>
  <si>
    <t>082134343781</t>
  </si>
  <si>
    <t>085867625914</t>
  </si>
  <si>
    <t>MSB25-03-392</t>
  </si>
  <si>
    <t>DIAZ ADITYA RIZQI AKBAR</t>
  </si>
  <si>
    <t>JEMBRANA</t>
  </si>
  <si>
    <t>17-06-2010</t>
  </si>
  <si>
    <t>MANTA</t>
  </si>
  <si>
    <t>GUNTURAN</t>
  </si>
  <si>
    <t>082241616600</t>
  </si>
  <si>
    <t>0895323806464</t>
  </si>
  <si>
    <t>MSB25-03-393</t>
  </si>
  <si>
    <t>RADHIKA EXCEL ANAS RIFA'I</t>
  </si>
  <si>
    <t>ARI WIDIYANTO</t>
  </si>
  <si>
    <t>SABRANGAN</t>
  </si>
  <si>
    <t>081246656416</t>
  </si>
  <si>
    <t>081225875515</t>
  </si>
  <si>
    <t>MSB25-03-394</t>
  </si>
  <si>
    <t>VINO ADRIAN MAULANA</t>
  </si>
  <si>
    <t>ANAS MA'RUF</t>
  </si>
  <si>
    <t>081315494778</t>
  </si>
  <si>
    <t>088215572670</t>
  </si>
  <si>
    <t>MSB25-03-395</t>
  </si>
  <si>
    <t>EDGAR YUDHA SAPUTRA</t>
  </si>
  <si>
    <t>Wahyudi</t>
  </si>
  <si>
    <t>POLRI</t>
  </si>
  <si>
    <t>SMP N 2 YOGYAKARTA</t>
  </si>
  <si>
    <t>082136266476</t>
  </si>
  <si>
    <t>085156404331</t>
  </si>
  <si>
    <t>MSB25-03-396</t>
  </si>
  <si>
    <t>EVAN FADHIL ARGANA</t>
  </si>
  <si>
    <t>18-05-2009</t>
  </si>
  <si>
    <t>Agus komatsu</t>
  </si>
  <si>
    <t>0817276608</t>
  </si>
  <si>
    <t>08175477806</t>
  </si>
  <si>
    <t>MSB25-03-397</t>
  </si>
  <si>
    <t>YOGA ALIF SYAPUTRA</t>
  </si>
  <si>
    <t>Sartono/fitrianingrum</t>
  </si>
  <si>
    <t>087847290864</t>
  </si>
  <si>
    <t>087786365597</t>
  </si>
  <si>
    <t>MSB25-03-398</t>
  </si>
  <si>
    <t>ANJANI LARASATI AZIZAH</t>
  </si>
  <si>
    <t>28-02-2009</t>
  </si>
  <si>
    <t>Sokidi</t>
  </si>
  <si>
    <t>WONOLELO</t>
  </si>
  <si>
    <t>081232427266</t>
  </si>
  <si>
    <t>08813981532</t>
  </si>
  <si>
    <t>MSB25-03-400</t>
  </si>
  <si>
    <t>AHNAF RASYA WILIANSYAH</t>
  </si>
  <si>
    <t>27-12-2009</t>
  </si>
  <si>
    <t>BUDI WINDRIYANTO</t>
  </si>
  <si>
    <t>JETIS DALEMAN</t>
  </si>
  <si>
    <t>083861793263</t>
  </si>
  <si>
    <t>083147445870</t>
  </si>
  <si>
    <t>MSB25-03-401</t>
  </si>
  <si>
    <t>AHMAD SALVA BALLESTA LUAY KUSUMA</t>
  </si>
  <si>
    <t>5-04-2009</t>
  </si>
  <si>
    <t>SIGIT NUGROHO</t>
  </si>
  <si>
    <t>SMP SAINS WAHID HASYIM</t>
  </si>
  <si>
    <t>085867644711</t>
  </si>
  <si>
    <t>MSB25-03-402</t>
  </si>
  <si>
    <t>ALVEYRO JANNY GRACIO</t>
  </si>
  <si>
    <t>JANI TRI HARTANTO</t>
  </si>
  <si>
    <t>087828484009</t>
  </si>
  <si>
    <t>082227750057</t>
  </si>
  <si>
    <t>MSB25-03-403</t>
  </si>
  <si>
    <t>ZAHRI ARDIYANTO</t>
  </si>
  <si>
    <t>BIAK</t>
  </si>
  <si>
    <t>HANAN MILARDI</t>
  </si>
  <si>
    <t>CEPOKO</t>
  </si>
  <si>
    <t>SMP N BIAK KOTA</t>
  </si>
  <si>
    <t>085254464830</t>
  </si>
  <si>
    <t>MSB25-03-404</t>
  </si>
  <si>
    <t>RISKY ALVIANTORO</t>
  </si>
  <si>
    <t>ABU KHORI</t>
  </si>
  <si>
    <t>0895392114653</t>
  </si>
  <si>
    <t>087752281819</t>
  </si>
  <si>
    <t>MSB25-03-405</t>
  </si>
  <si>
    <t>GHANI MUZAKKI ABDILAH</t>
  </si>
  <si>
    <t>4-10-2009</t>
  </si>
  <si>
    <t>MUSA ABDILAH</t>
  </si>
  <si>
    <t>081390388838</t>
  </si>
  <si>
    <t>085643773446</t>
  </si>
  <si>
    <t>MSB25-03-406</t>
  </si>
  <si>
    <t>SUPOMO</t>
  </si>
  <si>
    <t>083876347346</t>
  </si>
  <si>
    <t>083155722569</t>
  </si>
  <si>
    <t>MSB25-03-407</t>
  </si>
  <si>
    <t>MARCH YUDA NANTA</t>
  </si>
  <si>
    <t>PANGKALAN BUN</t>
  </si>
  <si>
    <t>4-05-2006</t>
  </si>
  <si>
    <t>SARTOYO</t>
  </si>
  <si>
    <t>GADUNGAN KEPUH</t>
  </si>
  <si>
    <t>SMP N 8 ARUT SELATAN</t>
  </si>
  <si>
    <t>08979709110</t>
  </si>
  <si>
    <t>085845819473</t>
  </si>
  <si>
    <t>MSB25-03-408</t>
  </si>
  <si>
    <t>YUSUF AKBAR HAZEL MARWANDA</t>
  </si>
  <si>
    <t>PEKANBARU</t>
  </si>
  <si>
    <t>27-12-2008</t>
  </si>
  <si>
    <t>SAFA MARWA</t>
  </si>
  <si>
    <t>PERUM PENDOWO ASRI B</t>
  </si>
  <si>
    <t>085771514417</t>
  </si>
  <si>
    <t>081263533799</t>
  </si>
  <si>
    <t>MSB25-03-409</t>
  </si>
  <si>
    <t>SANDI TRI RAHMADHANI</t>
  </si>
  <si>
    <t>22-08-2007</t>
  </si>
  <si>
    <t>sadali</t>
  </si>
  <si>
    <t>082327581696</t>
  </si>
  <si>
    <t>085876344386</t>
  </si>
  <si>
    <t>MSB25-03-414</t>
  </si>
  <si>
    <t>AZKA ANDRA SAPUTRA</t>
  </si>
  <si>
    <t>11-03-2009</t>
  </si>
  <si>
    <t>RIDWAN</t>
  </si>
  <si>
    <t>JIGUDAN</t>
  </si>
  <si>
    <t>0882008063087</t>
  </si>
  <si>
    <t>MSB25-03-415</t>
  </si>
  <si>
    <t>AFLAH AL TAQI</t>
  </si>
  <si>
    <t>ACEH TAMIANG</t>
  </si>
  <si>
    <t>21-07-2010</t>
  </si>
  <si>
    <t>Nasrudin</t>
  </si>
  <si>
    <t>008</t>
  </si>
  <si>
    <t>083138647191</t>
  </si>
  <si>
    <t>08311106392</t>
  </si>
  <si>
    <t>MSB25-03-416</t>
  </si>
  <si>
    <t>SALGA DESDRA ANANSYAH</t>
  </si>
  <si>
    <t>9-09-2009</t>
  </si>
  <si>
    <t>Agus widodo</t>
  </si>
  <si>
    <t>O1</t>
  </si>
  <si>
    <t>0895810257711/0895340411178</t>
  </si>
  <si>
    <t>0895810257711</t>
  </si>
  <si>
    <t>MSB25-03-417</t>
  </si>
  <si>
    <t>IHSAN RAMDHAN MAULANA</t>
  </si>
  <si>
    <t>SUREN WETAN</t>
  </si>
  <si>
    <t>089676064030</t>
  </si>
  <si>
    <t>089687709893</t>
  </si>
  <si>
    <t>MSB25-03-419</t>
  </si>
  <si>
    <t>CAESAR GANENDRA DEVLIN</t>
  </si>
  <si>
    <t>5-02-2010</t>
  </si>
  <si>
    <t>KRISTIAWAN</t>
  </si>
  <si>
    <t>087839577750</t>
  </si>
  <si>
    <t>087898971005</t>
  </si>
  <si>
    <t>MSB25-03-420</t>
  </si>
  <si>
    <t>NAHIZA AMMARA BELDANORY</t>
  </si>
  <si>
    <t>27-03-2009</t>
  </si>
  <si>
    <t>Riyani</t>
  </si>
  <si>
    <t>081931777023</t>
  </si>
  <si>
    <t>083840717030</t>
  </si>
  <si>
    <t>MSB25-03-422</t>
  </si>
  <si>
    <t>FAUZAN EKO NUR HUDA</t>
  </si>
  <si>
    <t>ONNGOPATRAN</t>
  </si>
  <si>
    <t>083862578834</t>
  </si>
  <si>
    <t>083129337434</t>
  </si>
  <si>
    <t>MSB25-03-424</t>
  </si>
  <si>
    <t>NAUFAL MUHAMMAD HANAN</t>
  </si>
  <si>
    <t>RIMBO BUJANG</t>
  </si>
  <si>
    <t>NASIP</t>
  </si>
  <si>
    <t>BEJI</t>
  </si>
  <si>
    <t>SUMBERAGUNG</t>
  </si>
  <si>
    <t>SMP N 3 TEBO</t>
  </si>
  <si>
    <t>081278721704</t>
  </si>
  <si>
    <t>082180605022</t>
  </si>
  <si>
    <t>MSB25-03-426</t>
  </si>
  <si>
    <t>ADITYA SADEWA</t>
  </si>
  <si>
    <t>SUKIRAN</t>
  </si>
  <si>
    <t>PAKIS II</t>
  </si>
  <si>
    <t>085727721559</t>
  </si>
  <si>
    <t>085727721544</t>
  </si>
  <si>
    <t>MSB25-03-427</t>
  </si>
  <si>
    <t>MUHAMMAD SHAIFUL FA'IZ</t>
  </si>
  <si>
    <t>6-11-2009</t>
  </si>
  <si>
    <t>MUHAMMAD SHAIFUL BASIR</t>
  </si>
  <si>
    <t>KREBET</t>
  </si>
  <si>
    <t>SMP IT AR-ROHMAH</t>
  </si>
  <si>
    <t>087836252538</t>
  </si>
  <si>
    <t>081952716095</t>
  </si>
  <si>
    <t>MSB25-03-428</t>
  </si>
  <si>
    <t>GALANG PRATAMA APRILIANO</t>
  </si>
  <si>
    <t>30-04-2009</t>
  </si>
  <si>
    <t>INDARTO/DWI SURYANI</t>
  </si>
  <si>
    <t>WONOBROTO</t>
  </si>
  <si>
    <t>015</t>
  </si>
  <si>
    <t>TUKSONO</t>
  </si>
  <si>
    <t>SENTOLO</t>
  </si>
  <si>
    <t>SMP MUHAMMADIYAH 2 LENDAH</t>
  </si>
  <si>
    <t>0882006409751</t>
  </si>
  <si>
    <t>085869718353</t>
  </si>
  <si>
    <t>MSB25-03-429</t>
  </si>
  <si>
    <t>ZAKI RADITYA RUSDIANTO</t>
  </si>
  <si>
    <t>25-12-2009</t>
  </si>
  <si>
    <t>Nofit rusdianto</t>
  </si>
  <si>
    <t>JOMBLANG</t>
  </si>
  <si>
    <t>089637710339</t>
  </si>
  <si>
    <t>085643035564</t>
  </si>
  <si>
    <t>MSB25-03-430</t>
  </si>
  <si>
    <t>ALAUDIN BARIQ FAISA</t>
  </si>
  <si>
    <t>13-01-2009</t>
  </si>
  <si>
    <t>SUDIRNO</t>
  </si>
  <si>
    <t>WIRAUSAHA</t>
  </si>
  <si>
    <t>081227922367</t>
  </si>
  <si>
    <t>0895328868368</t>
  </si>
  <si>
    <t>MSB25-03-431</t>
  </si>
  <si>
    <t>RAFA ADITYA</t>
  </si>
  <si>
    <t>SRI LESTARI</t>
  </si>
  <si>
    <t>MUTIHAN</t>
  </si>
  <si>
    <t>WIROKERTEN</t>
  </si>
  <si>
    <t>089699921151</t>
  </si>
  <si>
    <t>0895422909636</t>
  </si>
  <si>
    <t>MSB25-03-432</t>
  </si>
  <si>
    <t>MOZA FISTIAWAN</t>
  </si>
  <si>
    <t>30-01-2010</t>
  </si>
  <si>
    <t>PARJIONO</t>
  </si>
  <si>
    <t>KEPEK</t>
  </si>
  <si>
    <t>0895416181697</t>
  </si>
  <si>
    <t>0895403122882</t>
  </si>
  <si>
    <t>MSB25-03-433</t>
  </si>
  <si>
    <t>MUHAMMAD AFRIZAL ARDIANSYAH</t>
  </si>
  <si>
    <t>26-03-2010</t>
  </si>
  <si>
    <t>SABARNIYATI</t>
  </si>
  <si>
    <t>083154537621</t>
  </si>
  <si>
    <t>0859138552670</t>
  </si>
  <si>
    <t>MSB25-03-434</t>
  </si>
  <si>
    <t>HANAN NAJIB HUSAIN</t>
  </si>
  <si>
    <t>MULYONO</t>
  </si>
  <si>
    <t>KEMASAN</t>
  </si>
  <si>
    <t>KARANGTENGAH</t>
  </si>
  <si>
    <t>081578029774</t>
  </si>
  <si>
    <t>082221283451</t>
  </si>
  <si>
    <t>MSB25-03-437</t>
  </si>
  <si>
    <t>ZAHRA FAUZIYATUL ISNAINI</t>
  </si>
  <si>
    <t>NGANJUK</t>
  </si>
  <si>
    <t>Yusuf purwanta</t>
  </si>
  <si>
    <t>KEMBANG PUTIHAN</t>
  </si>
  <si>
    <t>SMP N 3 REJOSO</t>
  </si>
  <si>
    <t>085331179046</t>
  </si>
  <si>
    <t>085230233273</t>
  </si>
  <si>
    <t>MSB25-03-441</t>
  </si>
  <si>
    <t>AKBAR NUR SYAH PUTRA</t>
  </si>
  <si>
    <t>20-09-2009</t>
  </si>
  <si>
    <t>Saringat</t>
  </si>
  <si>
    <t>DADAPAN LOR</t>
  </si>
  <si>
    <t>SMP SYUBBANUL WATHON BANDONGAN</t>
  </si>
  <si>
    <t>089674353286</t>
  </si>
  <si>
    <t>0895621549410</t>
  </si>
  <si>
    <t>MSB25-03-442</t>
  </si>
  <si>
    <t>RIZKY DAMAR FAMBUDI</t>
  </si>
  <si>
    <t>KARDADI</t>
  </si>
  <si>
    <t>GEGER</t>
  </si>
  <si>
    <t>081228681583</t>
  </si>
  <si>
    <t>081329500410</t>
  </si>
  <si>
    <t>MSB25-03-443</t>
  </si>
  <si>
    <t>BAGAS SETIAWAN</t>
  </si>
  <si>
    <t>22-02-2010</t>
  </si>
  <si>
    <t>TRI WIDARTI</t>
  </si>
  <si>
    <t>GESIKAN</t>
  </si>
  <si>
    <t>087832549721</t>
  </si>
  <si>
    <t>085972572866</t>
  </si>
  <si>
    <t>MSB25-03-444</t>
  </si>
  <si>
    <t>ANANDA RIFANO SAPUTRA</t>
  </si>
  <si>
    <t>5-11-2009</t>
  </si>
  <si>
    <t>IRFAN SAHUDI</t>
  </si>
  <si>
    <t>082131010733</t>
  </si>
  <si>
    <t>085695127326</t>
  </si>
  <si>
    <t>MSB25-03-445</t>
  </si>
  <si>
    <t>LINTANG SAKTIAWAN ALAMANDA PUTRA</t>
  </si>
  <si>
    <t>21-06-2010</t>
  </si>
  <si>
    <t>SUMARDI</t>
  </si>
  <si>
    <t>088225316375</t>
  </si>
  <si>
    <t>088216249015</t>
  </si>
  <si>
    <t>MSB25-03-446</t>
  </si>
  <si>
    <t>DARRIEL OBI MARSHALLO</t>
  </si>
  <si>
    <t>14-04-2008</t>
  </si>
  <si>
    <t>YULI FITRIA</t>
  </si>
  <si>
    <t>SRIBITAN</t>
  </si>
  <si>
    <t>088221527721</t>
  </si>
  <si>
    <t>MSB25-03-447</t>
  </si>
  <si>
    <t>RAFKA LINGGA SAPUTRA</t>
  </si>
  <si>
    <t>BANDAR LAMPUNG</t>
  </si>
  <si>
    <t>NANANG ZAIMUNTHOHA</t>
  </si>
  <si>
    <t>GELANGAN</t>
  </si>
  <si>
    <t>081210981305</t>
  </si>
  <si>
    <t>08987871533</t>
  </si>
  <si>
    <t>MSB25-03-448</t>
  </si>
  <si>
    <t>RIDHO AHMAD OKTAFIYAN</t>
  </si>
  <si>
    <t>8-10-2009</t>
  </si>
  <si>
    <t>SUBARI</t>
  </si>
  <si>
    <t>bANTUL KARANG</t>
  </si>
  <si>
    <t>085943777232</t>
  </si>
  <si>
    <t>089637836023</t>
  </si>
  <si>
    <t>MSB25-03-449</t>
  </si>
  <si>
    <t>MUHAMMAD DECHA WINDU PRATAMA</t>
  </si>
  <si>
    <t>8-11-2009</t>
  </si>
  <si>
    <t>Agus Irianto</t>
  </si>
  <si>
    <t>Sopir</t>
  </si>
  <si>
    <t>KUNCEN</t>
  </si>
  <si>
    <t>PAKUNCEN</t>
  </si>
  <si>
    <t>WIROBRAJAN</t>
  </si>
  <si>
    <t>081804351725</t>
  </si>
  <si>
    <t>088216188655</t>
  </si>
  <si>
    <t>MSB25-03-450</t>
  </si>
  <si>
    <t>NAUFAL SAHAB SANANTA</t>
  </si>
  <si>
    <t>16-05-2009</t>
  </si>
  <si>
    <t>MEIYANA NOVITA INDRIYANTI</t>
  </si>
  <si>
    <t>GURU</t>
  </si>
  <si>
    <t>SMP MUHAMMADIYAH 2 GALUR</t>
  </si>
  <si>
    <t>085876553238</t>
  </si>
  <si>
    <t>MSB25-03-451</t>
  </si>
  <si>
    <t>JASTIN NOVA ANGGARA</t>
  </si>
  <si>
    <t>24-11-2009</t>
  </si>
  <si>
    <t>PURWANTI</t>
  </si>
  <si>
    <t>SANAN</t>
  </si>
  <si>
    <t>087826533223</t>
  </si>
  <si>
    <t>08983443184</t>
  </si>
  <si>
    <t>MSB25-03-452</t>
  </si>
  <si>
    <t>MUHAMMAD FIKTIAN HARSIT</t>
  </si>
  <si>
    <t>2-12-2009</t>
  </si>
  <si>
    <t>SUHARYANTO</t>
  </si>
  <si>
    <t>GUNUNG KELIR</t>
  </si>
  <si>
    <t>081322259593</t>
  </si>
  <si>
    <t>089699566519</t>
  </si>
  <si>
    <t>MSB25-03-453</t>
  </si>
  <si>
    <t>PUTRA HABIBI AZARIA ARGANTA</t>
  </si>
  <si>
    <t>26-12-2009</t>
  </si>
  <si>
    <t>JONI ANTON</t>
  </si>
  <si>
    <t>PATIHAN DK. XVI</t>
  </si>
  <si>
    <t>081312920255</t>
  </si>
  <si>
    <t>081228865385</t>
  </si>
  <si>
    <t>MSB25-03-454</t>
  </si>
  <si>
    <t>MUHAMMAD ADITIYA RIZKI PUTRA AL HUDA</t>
  </si>
  <si>
    <t>6-05-2009</t>
  </si>
  <si>
    <t>RT 1</t>
  </si>
  <si>
    <t>089619228640</t>
  </si>
  <si>
    <t>089528730916</t>
  </si>
  <si>
    <t>MSB25-03-455</t>
  </si>
  <si>
    <t>HAFIDZ KAFA BILLAH</t>
  </si>
  <si>
    <t>5-08-2008</t>
  </si>
  <si>
    <t>HOS RIZAL GINDO</t>
  </si>
  <si>
    <t>SANGKAL</t>
  </si>
  <si>
    <t>MTS NURUL UMMAH</t>
  </si>
  <si>
    <t>0895352983389</t>
  </si>
  <si>
    <t>MSB25-03-456</t>
  </si>
  <si>
    <t>MAEHA HADHY PRASETYA</t>
  </si>
  <si>
    <t>7-05-2009</t>
  </si>
  <si>
    <t>TEGUH</t>
  </si>
  <si>
    <t>KALIWIRU</t>
  </si>
  <si>
    <t>085640237197</t>
  </si>
  <si>
    <t>MSB25-03-457</t>
  </si>
  <si>
    <t>MOHAMMAD AFFIQ AMINUDIN</t>
  </si>
  <si>
    <t>24-05-2009</t>
  </si>
  <si>
    <t>Casudin</t>
  </si>
  <si>
    <t>PROKERTEN</t>
  </si>
  <si>
    <t>088216237209</t>
  </si>
  <si>
    <t>0882003798023</t>
  </si>
  <si>
    <t>MSB25-03-458</t>
  </si>
  <si>
    <t>ZUDAN SUBEKTI</t>
  </si>
  <si>
    <t>4-04-2009</t>
  </si>
  <si>
    <t>Juwarni</t>
  </si>
  <si>
    <t>LANTENG 1</t>
  </si>
  <si>
    <t>082223313681</t>
  </si>
  <si>
    <t>MSB25-03-459</t>
  </si>
  <si>
    <t>ILHAM HAIRI YAHYA</t>
  </si>
  <si>
    <t>Surono</t>
  </si>
  <si>
    <t>SMP N 2 KASIHAN</t>
  </si>
  <si>
    <t>0895403380099</t>
  </si>
  <si>
    <t>0895403380002</t>
  </si>
  <si>
    <t>MSB25-03-460</t>
  </si>
  <si>
    <t>RAFKA DANI PRATAMA</t>
  </si>
  <si>
    <t>SUKERMAN</t>
  </si>
  <si>
    <t>081327262455</t>
  </si>
  <si>
    <t>082228209304</t>
  </si>
  <si>
    <t>MSB25-03-461</t>
  </si>
  <si>
    <t>IRZAQ WAHYU ZIA'UL HIKMAWAN</t>
  </si>
  <si>
    <t>SOKIAN</t>
  </si>
  <si>
    <t>BANGEN</t>
  </si>
  <si>
    <t>087839525620</t>
  </si>
  <si>
    <t>08988170981</t>
  </si>
  <si>
    <t>MSB25-03-462</t>
  </si>
  <si>
    <t>KHOIRUL AHMAD RIFAI</t>
  </si>
  <si>
    <t>15-04-2010</t>
  </si>
  <si>
    <t>Suratman</t>
  </si>
  <si>
    <t>MEDELAN</t>
  </si>
  <si>
    <t>088221811544</t>
  </si>
  <si>
    <t>MSB25-03-463</t>
  </si>
  <si>
    <t>EVAN PERDANA PUTRA</t>
  </si>
  <si>
    <t>17-01-2008</t>
  </si>
  <si>
    <t>JAIMAN</t>
  </si>
  <si>
    <t>08</t>
  </si>
  <si>
    <t>085727256311</t>
  </si>
  <si>
    <t>MSB25-03-464</t>
  </si>
  <si>
    <t>ADITYA DWI APRIANTO</t>
  </si>
  <si>
    <t>15-04-2009</t>
  </si>
  <si>
    <t>SENO</t>
  </si>
  <si>
    <t>085740009388</t>
  </si>
  <si>
    <t>085712194225</t>
  </si>
  <si>
    <t>MSB25-03-465</t>
  </si>
  <si>
    <t>ARKANANTA KUSUMA ROMADHONA</t>
  </si>
  <si>
    <t>12-09-2008</t>
  </si>
  <si>
    <t>Surya Tri Ananta</t>
  </si>
  <si>
    <t>MIRI</t>
  </si>
  <si>
    <t>085868983378</t>
  </si>
  <si>
    <t>MSB25-03-466</t>
  </si>
  <si>
    <t>MUHAMMAD VIKORYAN FAHRUDDIN</t>
  </si>
  <si>
    <t>SRI WINANTI</t>
  </si>
  <si>
    <t>KALIPAKEL</t>
  </si>
  <si>
    <t>082329193430</t>
  </si>
  <si>
    <t>082133073432</t>
  </si>
  <si>
    <t>MSB25-03-467</t>
  </si>
  <si>
    <t>AZIIZ RIZQI SAPUTRO</t>
  </si>
  <si>
    <t>14-05-2009</t>
  </si>
  <si>
    <t>WAKHIT SAHARI</t>
  </si>
  <si>
    <t>SKB BANTUL</t>
  </si>
  <si>
    <t>085740007525</t>
  </si>
  <si>
    <t>MSB25-03-468</t>
  </si>
  <si>
    <t>AZRIEL GALANG NURKHOLIS</t>
  </si>
  <si>
    <t>yuli nurkholis</t>
  </si>
  <si>
    <t>081228566895</t>
  </si>
  <si>
    <t>082324687192</t>
  </si>
  <si>
    <t>MSB25-03-469</t>
  </si>
  <si>
    <t>ANGGER NDARU MUSTAQIIM</t>
  </si>
  <si>
    <t>9-06-2008</t>
  </si>
  <si>
    <t>SIGUN</t>
  </si>
  <si>
    <t>WONOTAWANG</t>
  </si>
  <si>
    <t>085743856744</t>
  </si>
  <si>
    <t>08812461857</t>
  </si>
  <si>
    <t>MSB25-03-470</t>
  </si>
  <si>
    <t>DAFFA FAKHRI ARIND SAPUTRA</t>
  </si>
  <si>
    <t>Indarwati</t>
  </si>
  <si>
    <t>TARUDAN</t>
  </si>
  <si>
    <t>085743812323</t>
  </si>
  <si>
    <t>0895358218723</t>
  </si>
  <si>
    <t>MSB25-03-471</t>
  </si>
  <si>
    <t>DZAKWANO ATHALLAH TRIANDINAFIZ</t>
  </si>
  <si>
    <t>8-06-2009</t>
  </si>
  <si>
    <t>purningsih</t>
  </si>
  <si>
    <t>SMP N 1 KASIHAN</t>
  </si>
  <si>
    <t>089623549090</t>
  </si>
  <si>
    <t>MSB25-03-472</t>
  </si>
  <si>
    <t>FABYAN DAMAR KUSUMA AJI</t>
  </si>
  <si>
    <t>maryadi</t>
  </si>
  <si>
    <t>MIRISEWU</t>
  </si>
  <si>
    <t>09</t>
  </si>
  <si>
    <t>NGENTAKREJO</t>
  </si>
  <si>
    <t>LENDAH</t>
  </si>
  <si>
    <t>SMP N 2 LENDAH</t>
  </si>
  <si>
    <t>+6285624233724</t>
  </si>
  <si>
    <t>MSB25-03-474</t>
  </si>
  <si>
    <t>MUHAMMAD RAFFA ASSHOLIH</t>
  </si>
  <si>
    <t>27-11-2009</t>
  </si>
  <si>
    <t>Purwadi / Sri Puji Rahayu</t>
  </si>
  <si>
    <t>PONGGOK II</t>
  </si>
  <si>
    <t>MTS AL FALAAH PANDAK</t>
  </si>
  <si>
    <t>08888706419</t>
  </si>
  <si>
    <t>0895614772227</t>
  </si>
  <si>
    <t>MSB25-03-475</t>
  </si>
  <si>
    <t>NAFIL AGSA NUR FAIZ</t>
  </si>
  <si>
    <t>Agus Sutarto</t>
  </si>
  <si>
    <t>TEGALLAYANG 9</t>
  </si>
  <si>
    <t>085866162060</t>
  </si>
  <si>
    <t>089649276935</t>
  </si>
  <si>
    <t>MSB25-03-476</t>
  </si>
  <si>
    <t>ADNAN AS SYIFA CANDRA WIBAWA</t>
  </si>
  <si>
    <t>eni sulastri</t>
  </si>
  <si>
    <t>087834451291</t>
  </si>
  <si>
    <t>0895415531129</t>
  </si>
  <si>
    <t>MSB25-03-477</t>
  </si>
  <si>
    <t>AGUSTINA VELIKA RAMADHANI</t>
  </si>
  <si>
    <t>LILIK PURWANTO</t>
  </si>
  <si>
    <t>BAWURAN I</t>
  </si>
  <si>
    <t>083135375257</t>
  </si>
  <si>
    <t>088980910210</t>
  </si>
  <si>
    <t>MSB25-03-478</t>
  </si>
  <si>
    <t>ROBBY ATHA FAIRUS TALIS</t>
  </si>
  <si>
    <t>BALIKPAPAN</t>
  </si>
  <si>
    <t>ROGOITAN</t>
  </si>
  <si>
    <t>081229513400</t>
  </si>
  <si>
    <t>MSB25-03-479</t>
  </si>
  <si>
    <t>ARROSYID RIZKY SYAFALA</t>
  </si>
  <si>
    <t>RONY SULISTYA</t>
  </si>
  <si>
    <t>089509852828</t>
  </si>
  <si>
    <t>089528622400</t>
  </si>
  <si>
    <t>MSB25-03-480</t>
  </si>
  <si>
    <t>SYAHREZA MAHESA PRATAMA</t>
  </si>
  <si>
    <t>SRI HARYANTI</t>
  </si>
  <si>
    <t>TANJUNG</t>
  </si>
  <si>
    <t>083816532441</t>
  </si>
  <si>
    <t>0882003240512</t>
  </si>
  <si>
    <t>MSB25-03-481</t>
  </si>
  <si>
    <t>ABDWIAN ENDA IBRAHIM</t>
  </si>
  <si>
    <t>DWI ARIYANTO</t>
  </si>
  <si>
    <t>DADAPDONG</t>
  </si>
  <si>
    <t>087866852789</t>
  </si>
  <si>
    <t>088985045822</t>
  </si>
  <si>
    <t>MSB25-03-482</t>
  </si>
  <si>
    <t>RAKA NOVIAN SYAHPUTRA</t>
  </si>
  <si>
    <t>22-11-2008</t>
  </si>
  <si>
    <t>SIGIT SANTOSO</t>
  </si>
  <si>
    <t>PADOKAN KIDUL</t>
  </si>
  <si>
    <t>087836061253</t>
  </si>
  <si>
    <t>MSB25-03-483</t>
  </si>
  <si>
    <t>YULFAN BARLENDU</t>
  </si>
  <si>
    <t>10-09-2009</t>
  </si>
  <si>
    <t>YULIANTO</t>
  </si>
  <si>
    <t>08982005020</t>
  </si>
  <si>
    <t>085786138867</t>
  </si>
  <si>
    <t>MSB25-03-484</t>
  </si>
  <si>
    <t>MUHAMMAD IRFAN FIRJATULLAH</t>
  </si>
  <si>
    <t>13-04-2010</t>
  </si>
  <si>
    <t>SUMARSITO</t>
  </si>
  <si>
    <t>SITEN</t>
  </si>
  <si>
    <t>081802745175</t>
  </si>
  <si>
    <t>087740957848</t>
  </si>
  <si>
    <t>MSB25-03-485</t>
  </si>
  <si>
    <t>ERLIENDHA PUTRI ELYSHA</t>
  </si>
  <si>
    <t>RIRIN HARIANY</t>
  </si>
  <si>
    <t>088227697511</t>
  </si>
  <si>
    <t>0882006702312</t>
  </si>
  <si>
    <t>MSB25-03-486</t>
  </si>
  <si>
    <t>SIFA RIZQI AULIA</t>
  </si>
  <si>
    <t>11-10-2010</t>
  </si>
  <si>
    <t>PONGANGAN</t>
  </si>
  <si>
    <t>012</t>
  </si>
  <si>
    <t>WATES</t>
  </si>
  <si>
    <t>MAGELANG UTARA</t>
  </si>
  <si>
    <t>JATENG</t>
  </si>
  <si>
    <t>SMP N 10 MAGELANG</t>
  </si>
  <si>
    <t>081215880308</t>
  </si>
  <si>
    <t>085712797164</t>
  </si>
  <si>
    <t>MSB25-03-487</t>
  </si>
  <si>
    <t>ZULI DWI PITRIYANI</t>
  </si>
  <si>
    <t>3-07-2010</t>
  </si>
  <si>
    <t>SUMANTO</t>
  </si>
  <si>
    <t>GATAK</t>
  </si>
  <si>
    <t>085943549781</t>
  </si>
  <si>
    <t>087814149729</t>
  </si>
  <si>
    <t>MSB25-03-488</t>
  </si>
  <si>
    <t>RADEN MUHAMMAD AHZA SHALEH</t>
  </si>
  <si>
    <t>ARIF NUR</t>
  </si>
  <si>
    <t>PERUM BANGUNJIWO SEJ</t>
  </si>
  <si>
    <t>085103202345</t>
  </si>
  <si>
    <t>085728404634</t>
  </si>
  <si>
    <t>MSB25-03-489</t>
  </si>
  <si>
    <t>NIZA NARENDRA KARUNIA GUSTI</t>
  </si>
  <si>
    <t>ZAINAL ARIFIN</t>
  </si>
  <si>
    <t>SERUT</t>
  </si>
  <si>
    <t>087839022104</t>
  </si>
  <si>
    <t>08813811454</t>
  </si>
  <si>
    <t>MSB25-03-490</t>
  </si>
  <si>
    <t>RAFA CHAIRUL A’ZAM</t>
  </si>
  <si>
    <t>19-11-2010</t>
  </si>
  <si>
    <t>Mugiyanto/Suprapti</t>
  </si>
  <si>
    <t>TINGAS</t>
  </si>
  <si>
    <t>SMP UNGGULAN AISYIYAH</t>
  </si>
  <si>
    <t>085101434794</t>
  </si>
  <si>
    <t>MSB25-04-491</t>
  </si>
  <si>
    <t>HERDIYAN NAYSARAFKHA</t>
  </si>
  <si>
    <t>SOKIJAN</t>
  </si>
  <si>
    <t>NOGOSARI II</t>
  </si>
  <si>
    <t>0895353740009</t>
  </si>
  <si>
    <t>089505976788</t>
  </si>
  <si>
    <t>MSB25-04-492</t>
  </si>
  <si>
    <t>SUNANUL HUDA</t>
  </si>
  <si>
    <t>HANA</t>
  </si>
  <si>
    <t>081225674809</t>
  </si>
  <si>
    <t>MSB25-04-493</t>
  </si>
  <si>
    <t>DAMAR AGUNG NUGROHO</t>
  </si>
  <si>
    <t>SUGIYANA</t>
  </si>
  <si>
    <t>KWALANGAN</t>
  </si>
  <si>
    <t>082134927594</t>
  </si>
  <si>
    <t>MSB25-04-494</t>
  </si>
  <si>
    <t>NAUFAL IRFAN PRATAMA</t>
  </si>
  <si>
    <t>INDARTO</t>
  </si>
  <si>
    <t>081568428424</t>
  </si>
  <si>
    <t>089676399553</t>
  </si>
  <si>
    <t>MSB25-04-495</t>
  </si>
  <si>
    <t>MUHAMMAD ABID GUSWANI</t>
  </si>
  <si>
    <t>YAYUK SUPRAPTI</t>
  </si>
  <si>
    <t>KABROKAN WETAN</t>
  </si>
  <si>
    <t>089690645444</t>
  </si>
  <si>
    <t>0895406673740</t>
  </si>
  <si>
    <t>MSB25-04-496</t>
  </si>
  <si>
    <t>RAESYA SALSA ARDIANA</t>
  </si>
  <si>
    <t>ENDRIANA RINA SARI</t>
  </si>
  <si>
    <t>TRAYEMAN</t>
  </si>
  <si>
    <t>0895392375483</t>
  </si>
  <si>
    <t>MSB25-04-497</t>
  </si>
  <si>
    <t>DAFA NUR RAHMAN</t>
  </si>
  <si>
    <t>EKO SUSANTO</t>
  </si>
  <si>
    <t>SELOPAMORO</t>
  </si>
  <si>
    <t>082137447911</t>
  </si>
  <si>
    <t>085326588882</t>
  </si>
  <si>
    <t>MSB25-04-498</t>
  </si>
  <si>
    <t>ARIF YUSUF MAULANA</t>
  </si>
  <si>
    <t>8-06-2010</t>
  </si>
  <si>
    <t>AMINA</t>
  </si>
  <si>
    <t>GERSELO</t>
  </si>
  <si>
    <t>051</t>
  </si>
  <si>
    <t>081328824337</t>
  </si>
  <si>
    <t>083136224185</t>
  </si>
  <si>
    <t>MSB25-04-499</t>
  </si>
  <si>
    <t>SURYA BAGUS RAMADHAN</t>
  </si>
  <si>
    <t>Suparman</t>
  </si>
  <si>
    <t>BLAWONG 2</t>
  </si>
  <si>
    <t>0859130968474</t>
  </si>
  <si>
    <t>088806060910</t>
  </si>
  <si>
    <t>MSB25-04-502</t>
  </si>
  <si>
    <t>MUHAMMAD NAJMI RAYYAN SYAKIB</t>
  </si>
  <si>
    <t>14-11-2009</t>
  </si>
  <si>
    <t>WONOKROMO</t>
  </si>
  <si>
    <t>08558906513</t>
  </si>
  <si>
    <t>MSB25-04-506</t>
  </si>
  <si>
    <t>RIZKY ADAM MAULANA</t>
  </si>
  <si>
    <t>SUTOMO</t>
  </si>
  <si>
    <t>TINGAS CEPOKO</t>
  </si>
  <si>
    <t>083147712520</t>
  </si>
  <si>
    <t>088228906426</t>
  </si>
  <si>
    <t>MSB25-04-507</t>
  </si>
  <si>
    <t>ALVIN FEBRIANO TEGAR SETYAWAN</t>
  </si>
  <si>
    <t>11-02-2010</t>
  </si>
  <si>
    <t>CANDRA SETYA</t>
  </si>
  <si>
    <t>083822722449</t>
  </si>
  <si>
    <t>081998881923</t>
  </si>
  <si>
    <t>MSB25-04-508</t>
  </si>
  <si>
    <t>AZZAKI KAMAL FIRDAUS</t>
  </si>
  <si>
    <t>17-05-2009</t>
  </si>
  <si>
    <t>AZAM SUSILO</t>
  </si>
  <si>
    <t>BOTOKENCENG</t>
  </si>
  <si>
    <t>SMP N 4 BANGUNTAPAN</t>
  </si>
  <si>
    <t>085602897723</t>
  </si>
  <si>
    <t>088216335615</t>
  </si>
  <si>
    <t>MSB25-04-509</t>
  </si>
  <si>
    <t>NANDA BAGUS DWI FIRMANSYAH</t>
  </si>
  <si>
    <t>SUPRAPTA</t>
  </si>
  <si>
    <t>089685572742</t>
  </si>
  <si>
    <t>MSB25-04-510</t>
  </si>
  <si>
    <t>ARYA NICO CERRYNANDO</t>
  </si>
  <si>
    <t>21-10-2008</t>
  </si>
  <si>
    <t>PARJONO</t>
  </si>
  <si>
    <t>088980599727</t>
  </si>
  <si>
    <t>MSB25-04-511</t>
  </si>
  <si>
    <t>MUHAMMAD ENGGAR CATUR SAPUTRA</t>
  </si>
  <si>
    <t>Ari ruswanta</t>
  </si>
  <si>
    <t>KALIBAYEM</t>
  </si>
  <si>
    <t>NGESTIHARJO</t>
  </si>
  <si>
    <t>089612647216</t>
  </si>
  <si>
    <t>MSB25-04-512</t>
  </si>
  <si>
    <t>FRISKA ASYAFA</t>
  </si>
  <si>
    <t>28-03-2010</t>
  </si>
  <si>
    <t>KURNIA SUSANTI</t>
  </si>
  <si>
    <t>CEPOR LOR</t>
  </si>
  <si>
    <t>085877149002</t>
  </si>
  <si>
    <t>089518093684</t>
  </si>
  <si>
    <t>MSB25-04-513</t>
  </si>
  <si>
    <t>DELVIN FATHIR MUSSLIHUDIN</t>
  </si>
  <si>
    <t>7-09-2009</t>
  </si>
  <si>
    <t>Nita Yulida</t>
  </si>
  <si>
    <t>NGAMBAH</t>
  </si>
  <si>
    <t>087839555940</t>
  </si>
  <si>
    <t>08998418924</t>
  </si>
  <si>
    <t>MSB25-04-514</t>
  </si>
  <si>
    <t>RIDHO DARMAWAN</t>
  </si>
  <si>
    <t>23-06-2009</t>
  </si>
  <si>
    <t>LUPIANA</t>
  </si>
  <si>
    <t>083844223210</t>
  </si>
  <si>
    <t>0882003764477</t>
  </si>
  <si>
    <t>MSB25-04-515</t>
  </si>
  <si>
    <t>MUHAMMAD RAFIF FATURRAHMAN</t>
  </si>
  <si>
    <t>SUKINI</t>
  </si>
  <si>
    <t>083869652858</t>
  </si>
  <si>
    <t>0895336201380</t>
  </si>
  <si>
    <t>MSB25-04-516</t>
  </si>
  <si>
    <t>NAFI' ABDULLAH PUTRA YUDHA</t>
  </si>
  <si>
    <t>wahyu budi santoso</t>
  </si>
  <si>
    <t>087716057358</t>
  </si>
  <si>
    <t>089510412465</t>
  </si>
  <si>
    <t>MSB25-04-517</t>
  </si>
  <si>
    <t>RANGGA ADITTYA</t>
  </si>
  <si>
    <t>SURATMAN</t>
  </si>
  <si>
    <t>KALIDADAP I</t>
  </si>
  <si>
    <t>088221484612</t>
  </si>
  <si>
    <t>088215365416</t>
  </si>
  <si>
    <t>MSB25-04-518</t>
  </si>
  <si>
    <t>MUHAMMAD FAHRI</t>
  </si>
  <si>
    <t>RUJILAH</t>
  </si>
  <si>
    <t>BLAWONG II</t>
  </si>
  <si>
    <t>08574334591</t>
  </si>
  <si>
    <t>085600796184</t>
  </si>
  <si>
    <t>MSB25-04-519</t>
  </si>
  <si>
    <t>AZALIA NUR AISYAH</t>
  </si>
  <si>
    <t>NURYANTO</t>
  </si>
  <si>
    <t>087765895717</t>
  </si>
  <si>
    <t>MSB25-04-522</t>
  </si>
  <si>
    <t>NAFISA SETYASARI DEWI</t>
  </si>
  <si>
    <t>4-12-2008</t>
  </si>
  <si>
    <t>Saryanto</t>
  </si>
  <si>
    <t>BEDUKAN</t>
  </si>
  <si>
    <t>0856-4733-9471</t>
  </si>
  <si>
    <t>0858-7297-8116</t>
  </si>
  <si>
    <t>MSB25-04-526</t>
  </si>
  <si>
    <t>DANIES ARKA WAHANA</t>
  </si>
  <si>
    <t>ASIH WAHONO</t>
  </si>
  <si>
    <t>SINGOSAREN III</t>
  </si>
  <si>
    <t>SINGOSAREN</t>
  </si>
  <si>
    <t>081915451785</t>
  </si>
  <si>
    <t>089529404716</t>
  </si>
  <si>
    <t>MSB25-04-527</t>
  </si>
  <si>
    <t>AZWAN EKA WAHYU FEBRIYANA</t>
  </si>
  <si>
    <t>3-02-2010</t>
  </si>
  <si>
    <t>JUWANDIYONO</t>
  </si>
  <si>
    <t>081216204244</t>
  </si>
  <si>
    <t>0895322615448</t>
  </si>
  <si>
    <t>MSB25-04-528</t>
  </si>
  <si>
    <t>SATRIO BUDI PANGESTU</t>
  </si>
  <si>
    <t>Suprihatin</t>
  </si>
  <si>
    <t>Asisten Rumah Tangga</t>
  </si>
  <si>
    <t>089682711037</t>
  </si>
  <si>
    <t>MSB25-04-529</t>
  </si>
  <si>
    <t>AISYAH AINI</t>
  </si>
  <si>
    <t>Sri Yulianti</t>
  </si>
  <si>
    <t>+62 889-8851-8497</t>
  </si>
  <si>
    <t>081952014594</t>
  </si>
  <si>
    <t>MSB25-04-530</t>
  </si>
  <si>
    <t>RENO HENDIKA PUTRA</t>
  </si>
  <si>
    <t>Jumadi</t>
  </si>
  <si>
    <t>083145455924</t>
  </si>
  <si>
    <t>0882003637572</t>
  </si>
  <si>
    <t>MSB25-04-531</t>
  </si>
  <si>
    <t>REIVAN ADHA DESTRIANTO</t>
  </si>
  <si>
    <t>6-12-2008</t>
  </si>
  <si>
    <t>Parjianto</t>
  </si>
  <si>
    <t>KINTELAN</t>
  </si>
  <si>
    <t>085641610073</t>
  </si>
  <si>
    <t>MSB25-04-532</t>
  </si>
  <si>
    <t>ELANG DAMAR WIJAYA</t>
  </si>
  <si>
    <t>DWI SUMARJONO</t>
  </si>
  <si>
    <t>TILAMAN</t>
  </si>
  <si>
    <t>087715754933</t>
  </si>
  <si>
    <t>087827932778</t>
  </si>
  <si>
    <t>MSB25-04-534</t>
  </si>
  <si>
    <t>REVAN DYAZ FAHREZY</t>
  </si>
  <si>
    <t>JEPARA</t>
  </si>
  <si>
    <t>17-07-2010</t>
  </si>
  <si>
    <t>ISRIYANTI</t>
  </si>
  <si>
    <t>TKW</t>
  </si>
  <si>
    <t>MANDING DAWANG</t>
  </si>
  <si>
    <t>085700621731</t>
  </si>
  <si>
    <t>0882005911733</t>
  </si>
  <si>
    <t>MSB25-04-535</t>
  </si>
  <si>
    <t>PERDI</t>
  </si>
  <si>
    <t>SURABAYA</t>
  </si>
  <si>
    <t>Harjito</t>
  </si>
  <si>
    <t>PAYAMAN SELATAN</t>
  </si>
  <si>
    <t>0895704357154</t>
  </si>
  <si>
    <t>085925980963</t>
  </si>
  <si>
    <t>MSB25-04-537</t>
  </si>
  <si>
    <t>FARIED AHMAD FEBRIYANTO</t>
  </si>
  <si>
    <t>13-02-2009</t>
  </si>
  <si>
    <t>BUDI</t>
  </si>
  <si>
    <t>GASWANGI</t>
  </si>
  <si>
    <t>SMP N 2 GALUR</t>
  </si>
  <si>
    <t>085602079660</t>
  </si>
  <si>
    <t>085643203721</t>
  </si>
  <si>
    <t>MSB25-04-538</t>
  </si>
  <si>
    <t>CHARLIE NAZRIL ARDIANTO</t>
  </si>
  <si>
    <t>AMINAH</t>
  </si>
  <si>
    <t>KA</t>
  </si>
  <si>
    <t>099648742860</t>
  </si>
  <si>
    <t>089673396574</t>
  </si>
  <si>
    <t>MSB25-04-539</t>
  </si>
  <si>
    <t>AYUB FATURACHMAN</t>
  </si>
  <si>
    <t>23-03-2008</t>
  </si>
  <si>
    <t>SUJIYEM</t>
  </si>
  <si>
    <t>NGLEBAK DK. DAGARAN</t>
  </si>
  <si>
    <t>087773236512</t>
  </si>
  <si>
    <t>MSB25-04-540</t>
  </si>
  <si>
    <t>MUHAMMAD RAIHAN</t>
  </si>
  <si>
    <t>26-03-2008</t>
  </si>
  <si>
    <t>NURYATILAH</t>
  </si>
  <si>
    <t>KABROKAN</t>
  </si>
  <si>
    <t>087777151580</t>
  </si>
  <si>
    <t>MSB25-04-541</t>
  </si>
  <si>
    <t>REZA REVALINO KURNIAWAN</t>
  </si>
  <si>
    <t>17-04-2009</t>
  </si>
  <si>
    <t>FERI KURNIAWAN</t>
  </si>
  <si>
    <t>083870902363</t>
  </si>
  <si>
    <t>083131677296</t>
  </si>
  <si>
    <t>MSB25-04-542</t>
  </si>
  <si>
    <t>VANO PUTRA PERDANA WIJAYA</t>
  </si>
  <si>
    <t>TRI WARDOYO</t>
  </si>
  <si>
    <t>DERMAN DK XII GERSIK</t>
  </si>
  <si>
    <t>085747808471</t>
  </si>
  <si>
    <t>083838245432</t>
  </si>
  <si>
    <t>MSB25-04-543</t>
  </si>
  <si>
    <t>MUHAMMAD RIDHO PANGESTU</t>
  </si>
  <si>
    <t>RUDI HARTONO</t>
  </si>
  <si>
    <t>083869826088</t>
  </si>
  <si>
    <t>0895808620402</t>
  </si>
  <si>
    <t>MSB25-04-544</t>
  </si>
  <si>
    <t>RAIZ PANJI SAPUTRO</t>
  </si>
  <si>
    <t>31-05-2008</t>
  </si>
  <si>
    <t>WAHYUDI</t>
  </si>
  <si>
    <t>083129503540</t>
  </si>
  <si>
    <t>MSB25-04-545</t>
  </si>
  <si>
    <t>FATUR YUSDISTIO</t>
  </si>
  <si>
    <t>PARIJO</t>
  </si>
  <si>
    <t>089672702070</t>
  </si>
  <si>
    <t>082227526644</t>
  </si>
  <si>
    <t>MSB25-04-546</t>
  </si>
  <si>
    <t>FAJAR KUSUMA AJI</t>
  </si>
  <si>
    <t>ARI SUHANDONO</t>
  </si>
  <si>
    <t>08562935363</t>
  </si>
  <si>
    <t>085729860640</t>
  </si>
  <si>
    <t>MSB25-04-547</t>
  </si>
  <si>
    <t>IVANDA YUKA FITRA SAKTI</t>
  </si>
  <si>
    <t>DUKUH DAMPULAN</t>
  </si>
  <si>
    <t>0895636588081</t>
  </si>
  <si>
    <t>0882005062306</t>
  </si>
  <si>
    <t>MSB25-04-548</t>
  </si>
  <si>
    <t>NANANG NOVIANTO</t>
  </si>
  <si>
    <t>2-11-2009</t>
  </si>
  <si>
    <t>LESTARIYAH</t>
  </si>
  <si>
    <t>BUTUH</t>
  </si>
  <si>
    <t>083187159361</t>
  </si>
  <si>
    <t>MSB25-04-549</t>
  </si>
  <si>
    <t>DZAKY AHMAD ZAIDAN</t>
  </si>
  <si>
    <t>UMI KHOIRIYAH</t>
  </si>
  <si>
    <t>JEJERAN II</t>
  </si>
  <si>
    <t>08562960805</t>
  </si>
  <si>
    <t>089619436271</t>
  </si>
  <si>
    <t>MSB25-04-550</t>
  </si>
  <si>
    <t>MUHAMMAD FAKHRI SIGIT PUTRA PRADANA</t>
  </si>
  <si>
    <t>23-04-2008</t>
  </si>
  <si>
    <t>Sarjono</t>
  </si>
  <si>
    <t>085836246838</t>
  </si>
  <si>
    <t>MSB25-04-551</t>
  </si>
  <si>
    <t>GILANG ULIN NUHA</t>
  </si>
  <si>
    <t>15-06-2009</t>
  </si>
  <si>
    <t>WANTARA</t>
  </si>
  <si>
    <t>0895412758040</t>
  </si>
  <si>
    <t>MSB25-04-552</t>
  </si>
  <si>
    <t>EMAN IANZA</t>
  </si>
  <si>
    <t>SAROSA</t>
  </si>
  <si>
    <t>087721526817</t>
  </si>
  <si>
    <t>089639872968</t>
  </si>
  <si>
    <t>MSB25-04-553</t>
  </si>
  <si>
    <t>MUHAMMAD SAFRI KEFIANAS</t>
  </si>
  <si>
    <t>SUMADI</t>
  </si>
  <si>
    <t>GENENGAN</t>
  </si>
  <si>
    <t>POTORONO</t>
  </si>
  <si>
    <t>089649009972</t>
  </si>
  <si>
    <t>MSB25-04-554</t>
  </si>
  <si>
    <t>MAULANA QOLBI</t>
  </si>
  <si>
    <t>MUHAMMAD HERDI MARYANTO</t>
  </si>
  <si>
    <t>089527499643</t>
  </si>
  <si>
    <t>0895417640030</t>
  </si>
  <si>
    <t>MSB25-04-555</t>
  </si>
  <si>
    <t>NASYELLA PUTRI OKTAVIANI</t>
  </si>
  <si>
    <t>MUGIYONO</t>
  </si>
  <si>
    <t>SAWO DK. NGENTAK</t>
  </si>
  <si>
    <t>08997462431</t>
  </si>
  <si>
    <t>MSB25-04-556</t>
  </si>
  <si>
    <t>JUNIAN BARRY PRADANA</t>
  </si>
  <si>
    <t>6-06-2009</t>
  </si>
  <si>
    <t>BARIMAN</t>
  </si>
  <si>
    <t>08122751801</t>
  </si>
  <si>
    <t>089663255407</t>
  </si>
  <si>
    <t>MSB25-04-557</t>
  </si>
  <si>
    <t>SEKAR AYU DESTI</t>
  </si>
  <si>
    <t>MURYANI</t>
  </si>
  <si>
    <t>0895806404316</t>
  </si>
  <si>
    <t>083862657355</t>
  </si>
  <si>
    <t>MSB25-04-558</t>
  </si>
  <si>
    <t>EGGA PRATAMA PUTRA</t>
  </si>
  <si>
    <t>17-03-2010</t>
  </si>
  <si>
    <t>SUSWANDARI</t>
  </si>
  <si>
    <t>0895418207766</t>
  </si>
  <si>
    <t>MSB25-04-559</t>
  </si>
  <si>
    <t>MERLIN PUTRI RAMADHANI</t>
  </si>
  <si>
    <t>RIRIN DEVIANA</t>
  </si>
  <si>
    <t>SMP N 23 BANDAR LAMPUNG</t>
  </si>
  <si>
    <t>0882005149408</t>
  </si>
  <si>
    <t>MSB25-04-560</t>
  </si>
  <si>
    <t>ELLENA DWI PUSPITA SARI</t>
  </si>
  <si>
    <t>TRI MARYANTI</t>
  </si>
  <si>
    <t>KENALAN</t>
  </si>
  <si>
    <t>087888610740</t>
  </si>
  <si>
    <t>089675888883</t>
  </si>
  <si>
    <t>MSB25-04-561</t>
  </si>
  <si>
    <t>DONI DWI ANGGARA</t>
  </si>
  <si>
    <t>6-10-2009</t>
  </si>
  <si>
    <t>YATI FITRIYANI</t>
  </si>
  <si>
    <t>JOGONALAN LOR</t>
  </si>
  <si>
    <t>081327263816</t>
  </si>
  <si>
    <t>081228447946</t>
  </si>
  <si>
    <t>MSB25-04-562</t>
  </si>
  <si>
    <t>RAFIKA HUDHA PRATAMA</t>
  </si>
  <si>
    <t>SARJIMAN</t>
  </si>
  <si>
    <t>0895321877857</t>
  </si>
  <si>
    <t>08989278495</t>
  </si>
  <si>
    <t>MSB25-04-563</t>
  </si>
  <si>
    <t>MUHAMMAD AFFRIZAL FIRMANSYAH</t>
  </si>
  <si>
    <t>20-08-2008</t>
  </si>
  <si>
    <t>Supriyono</t>
  </si>
  <si>
    <t>PUNGKURAN</t>
  </si>
  <si>
    <t>083103507203</t>
  </si>
  <si>
    <t>MSB25-04-564</t>
  </si>
  <si>
    <t>INTANG ARJANA PUTRA</t>
  </si>
  <si>
    <t>2-03-2010</t>
  </si>
  <si>
    <t>SUMARWAN</t>
  </si>
  <si>
    <t>085740074766</t>
  </si>
  <si>
    <t>08815619737</t>
  </si>
  <si>
    <t>MSB25-04-565</t>
  </si>
  <si>
    <t>GHANI RAY MAHASIN</t>
  </si>
  <si>
    <t>4-07-2010</t>
  </si>
  <si>
    <t>BAYU CAHYONO AJI</t>
  </si>
  <si>
    <t>BAKULAN KULON</t>
  </si>
  <si>
    <t>082`35197733</t>
  </si>
  <si>
    <t>089687611990</t>
  </si>
  <si>
    <t>MSB25-04-566</t>
  </si>
  <si>
    <t>ADI PRASETYO</t>
  </si>
  <si>
    <t>8-05-2010</t>
  </si>
  <si>
    <t>HARTINI</t>
  </si>
  <si>
    <t>SRAYU</t>
  </si>
  <si>
    <t>089675810604</t>
  </si>
  <si>
    <t>0882003489051</t>
  </si>
  <si>
    <t>MSB25-04-567</t>
  </si>
  <si>
    <t>ARKHA ARDAN PRATAMA</t>
  </si>
  <si>
    <t>23-07-2010</t>
  </si>
  <si>
    <t>ANNA LESTIYANINGSIH</t>
  </si>
  <si>
    <t>KLATAK</t>
  </si>
  <si>
    <t>081393613004</t>
  </si>
  <si>
    <t>0882008133270</t>
  </si>
  <si>
    <t>MSB25-04-568</t>
  </si>
  <si>
    <t>WAKHID CAHYA PERMANA</t>
  </si>
  <si>
    <t>MILA HARIYATI</t>
  </si>
  <si>
    <t>0859160013261</t>
  </si>
  <si>
    <t>MSB25-04-569</t>
  </si>
  <si>
    <t>FAUZAN KHALIL BAGUS PRASTYA</t>
  </si>
  <si>
    <t>JOKO PRASTYA</t>
  </si>
  <si>
    <t>SMP IT ASSALAAM SANDEN</t>
  </si>
  <si>
    <t>081228464292</t>
  </si>
  <si>
    <t>MSB25-04-570</t>
  </si>
  <si>
    <t>ANDRA RAMADHAN</t>
  </si>
  <si>
    <t>15-09-2009</t>
  </si>
  <si>
    <t>RUMIYATI</t>
  </si>
  <si>
    <t>PLESAN</t>
  </si>
  <si>
    <t>0895364841323</t>
  </si>
  <si>
    <t>089531072483</t>
  </si>
  <si>
    <t>MSB25-04-571</t>
  </si>
  <si>
    <t>KHOIRUL AMIN</t>
  </si>
  <si>
    <t>8-03-2010</t>
  </si>
  <si>
    <t>MAYA ANDRIYANI</t>
  </si>
  <si>
    <t>082335627039</t>
  </si>
  <si>
    <t>MSB25-04-572</t>
  </si>
  <si>
    <t>ALYA FADMA DINATA</t>
  </si>
  <si>
    <t>MURJIYONO</t>
  </si>
  <si>
    <t>089649000989</t>
  </si>
  <si>
    <t>08999346532</t>
  </si>
  <si>
    <t>MSB25-04-574</t>
  </si>
  <si>
    <t>DENDRI ALPON BERTAK SYAH</t>
  </si>
  <si>
    <t>16-04-2010</t>
  </si>
  <si>
    <t>SUPARMAN</t>
  </si>
  <si>
    <t>PACETAN</t>
  </si>
  <si>
    <t>089601492812</t>
  </si>
  <si>
    <t>MSB25-04-575</t>
  </si>
  <si>
    <t>MUHAMMAD DIKY HERMAWAN</t>
  </si>
  <si>
    <t>15-10-2009</t>
  </si>
  <si>
    <t>parjiyah</t>
  </si>
  <si>
    <t>TRUCUK</t>
  </si>
  <si>
    <t>TRIWIDADI</t>
  </si>
  <si>
    <t>SMPN2 PAJANGAN</t>
  </si>
  <si>
    <t>085799363566</t>
  </si>
  <si>
    <t>MSB25-04-576</t>
  </si>
  <si>
    <t>FAJAR DWI NUGROHO</t>
  </si>
  <si>
    <t>25-01-2010</t>
  </si>
  <si>
    <t>Darno</t>
  </si>
  <si>
    <t>088980151938</t>
  </si>
  <si>
    <t>08812958940</t>
  </si>
  <si>
    <t>MSB25-04-577</t>
  </si>
  <si>
    <t>RAMA WAFI MUSA'IF</t>
  </si>
  <si>
    <t>BARDI</t>
  </si>
  <si>
    <t>LANTING 1</t>
  </si>
  <si>
    <t>087839467438</t>
  </si>
  <si>
    <t>087841391301</t>
  </si>
  <si>
    <t>MSB25-04-578</t>
  </si>
  <si>
    <t>081511483125</t>
  </si>
  <si>
    <t>0882007122473</t>
  </si>
  <si>
    <t>MSB25-04-580</t>
  </si>
  <si>
    <t>ILHAM SATRIA KURNIAWAN</t>
  </si>
  <si>
    <t>TEMU</t>
  </si>
  <si>
    <t>MANGIR</t>
  </si>
  <si>
    <t>SEDANGSARI</t>
  </si>
  <si>
    <t>082142194571</t>
  </si>
  <si>
    <t>081229289311</t>
  </si>
  <si>
    <t>MSB25-04-581</t>
  </si>
  <si>
    <t>ANNISA MAHDALENA</t>
  </si>
  <si>
    <t>20-11-2008</t>
  </si>
  <si>
    <t>Sudi handono</t>
  </si>
  <si>
    <t>KALINAMPU</t>
  </si>
  <si>
    <t>0895380405678</t>
  </si>
  <si>
    <t>087714473392</t>
  </si>
  <si>
    <t>MSB25-04-582</t>
  </si>
  <si>
    <t>ADE NANDA PUTRI YASVA</t>
  </si>
  <si>
    <t>WISNU TRI NUGROHO</t>
  </si>
  <si>
    <t>SOPIR</t>
  </si>
  <si>
    <t>SLANGGEN / MRIYAN</t>
  </si>
  <si>
    <t>088227297763</t>
  </si>
  <si>
    <t>088902837724</t>
  </si>
  <si>
    <t>MSB25-04-583</t>
  </si>
  <si>
    <t>MANDALA FIKRI OKTOVIANO</t>
  </si>
  <si>
    <t>SURAKARTA</t>
  </si>
  <si>
    <t>21-10-2009</t>
  </si>
  <si>
    <t>DWI ASTUTI</t>
  </si>
  <si>
    <t>087772101232</t>
  </si>
  <si>
    <t>087891277506</t>
  </si>
  <si>
    <t>MSB25-04-584</t>
  </si>
  <si>
    <t>ADITYA SUSANTO</t>
  </si>
  <si>
    <t>sarjono</t>
  </si>
  <si>
    <t>085176883876</t>
  </si>
  <si>
    <t>MSB25-04-585</t>
  </si>
  <si>
    <t>BANYU SATRIO NUGROHO</t>
  </si>
  <si>
    <t>AJI NUGROHO PRIANTO</t>
  </si>
  <si>
    <t>MELIKAN KIDUL</t>
  </si>
  <si>
    <t>085826056082</t>
  </si>
  <si>
    <t>085743372267</t>
  </si>
  <si>
    <t>MSB25-04-586</t>
  </si>
  <si>
    <t>KRISNANDITA RIZKI SETIAWAN</t>
  </si>
  <si>
    <t>DWI SETIAWATI</t>
  </si>
  <si>
    <t>089540309993</t>
  </si>
  <si>
    <t>08980110899</t>
  </si>
  <si>
    <t>MSB25-04-587</t>
  </si>
  <si>
    <t>ANDI RIDHODWI FIRMANSYA</t>
  </si>
  <si>
    <t>NANIK SUHARTINI</t>
  </si>
  <si>
    <t>GLONDONG BIBIS</t>
  </si>
  <si>
    <t>082155692808</t>
  </si>
  <si>
    <t>0882005537198</t>
  </si>
  <si>
    <t>MSB25-04-588</t>
  </si>
  <si>
    <t>ANDRIAN RIZKY RAMADHAN</t>
  </si>
  <si>
    <t>SUKARJA</t>
  </si>
  <si>
    <t>JAMBEAN</t>
  </si>
  <si>
    <t>08823278427</t>
  </si>
  <si>
    <t>088215785129</t>
  </si>
  <si>
    <t>MSB25-04-589</t>
  </si>
  <si>
    <t>RIKO AHMAT SAPUTRA</t>
  </si>
  <si>
    <t>SARIJO</t>
  </si>
  <si>
    <t>WATU LANGKAH</t>
  </si>
  <si>
    <t>MTS AL HADI 2</t>
  </si>
  <si>
    <t>088239379908</t>
  </si>
  <si>
    <t>0895417760229</t>
  </si>
  <si>
    <t>MSB25-04-590</t>
  </si>
  <si>
    <t>MUHAMMAD RAHIMA TSAQIF</t>
  </si>
  <si>
    <t>26-02-2010</t>
  </si>
  <si>
    <t>RATIH</t>
  </si>
  <si>
    <t>082322787887</t>
  </si>
  <si>
    <t>0882003562905</t>
  </si>
  <si>
    <t>MSB25-04-591</t>
  </si>
  <si>
    <t>RISQI DWI PERMANA</t>
  </si>
  <si>
    <t>12-12-2009</t>
  </si>
  <si>
    <t>SARJIYEM</t>
  </si>
  <si>
    <t>PRANTI</t>
  </si>
  <si>
    <t>083846049741</t>
  </si>
  <si>
    <t>08885998098</t>
  </si>
  <si>
    <t>MSB25-04-592</t>
  </si>
  <si>
    <t>HABIB KHUROHMAN</t>
  </si>
  <si>
    <t>26-09-2008</t>
  </si>
  <si>
    <t>SUMARDIYONO</t>
  </si>
  <si>
    <t>0882007559352</t>
  </si>
  <si>
    <t>MSB25-04-593</t>
  </si>
  <si>
    <t>ANDREAN SATRIO NUGROHO</t>
  </si>
  <si>
    <t>LUHUR HANDOKO</t>
  </si>
  <si>
    <t>089607769730</t>
  </si>
  <si>
    <t>0895622415463</t>
  </si>
  <si>
    <t>MSB25-04-594</t>
  </si>
  <si>
    <t>ALIF MAULIDAN</t>
  </si>
  <si>
    <t>19-03-2009</t>
  </si>
  <si>
    <t>SARJONO</t>
  </si>
  <si>
    <t>0895806688639</t>
  </si>
  <si>
    <t>088216484534</t>
  </si>
  <si>
    <t>MSB25-04-595</t>
  </si>
  <si>
    <t>HASBI EVAN JANUARTA</t>
  </si>
  <si>
    <t>PARTIYAH</t>
  </si>
  <si>
    <t>BRONGKOL</t>
  </si>
  <si>
    <t>ARGODADI</t>
  </si>
  <si>
    <t>SEDAYU</t>
  </si>
  <si>
    <t>SMP N 2 SEDAYU</t>
  </si>
  <si>
    <t>088221313600</t>
  </si>
  <si>
    <t>082224465760</t>
  </si>
  <si>
    <t>MSB25-04-596</t>
  </si>
  <si>
    <t>MUHAMMAD ALWI</t>
  </si>
  <si>
    <t>SUKARDIYONO</t>
  </si>
  <si>
    <t>SAWAH</t>
  </si>
  <si>
    <t>GIRISEKAR</t>
  </si>
  <si>
    <t>SMP N 2 PANGGANG</t>
  </si>
  <si>
    <t>0882003686604</t>
  </si>
  <si>
    <t>MSB25-04-597</t>
  </si>
  <si>
    <t>HEXA MAULANA</t>
  </si>
  <si>
    <t>25-12-2008</t>
  </si>
  <si>
    <t>SUYATMAN</t>
  </si>
  <si>
    <t>KADISOBO</t>
  </si>
  <si>
    <t>GIRIMULYO</t>
  </si>
  <si>
    <t>083150032382</t>
  </si>
  <si>
    <t>MSB25-04-598</t>
  </si>
  <si>
    <t>FATHIYAN GHAEZA RAFEF</t>
  </si>
  <si>
    <t>6-07-2010</t>
  </si>
  <si>
    <t>KANDAM</t>
  </si>
  <si>
    <t>082138393955</t>
  </si>
  <si>
    <t>MSB25-04-599</t>
  </si>
  <si>
    <t>HELLENA CARISSA PUTRI</t>
  </si>
  <si>
    <t>20-08-2009</t>
  </si>
  <si>
    <t>Ariyani</t>
  </si>
  <si>
    <t>TEGALDOWO</t>
  </si>
  <si>
    <t>087810650119</t>
  </si>
  <si>
    <t>087810650121</t>
  </si>
  <si>
    <t>MSB25-04-600</t>
  </si>
  <si>
    <t>RULI MAI ANDANG PANGESTU</t>
  </si>
  <si>
    <t>22-05-2009</t>
  </si>
  <si>
    <t>DALHARI</t>
  </si>
  <si>
    <t>COLO</t>
  </si>
  <si>
    <t>088215765681</t>
  </si>
  <si>
    <t>08812790363</t>
  </si>
  <si>
    <t>10 TKR 1</t>
  </si>
  <si>
    <t>10 TKR 2</t>
  </si>
  <si>
    <t>10 TKR 3</t>
  </si>
  <si>
    <t>10 TKR 4</t>
  </si>
  <si>
    <t>10 TKR 5</t>
  </si>
  <si>
    <t>10 TSM 1</t>
  </si>
  <si>
    <t>10 TSM 2</t>
  </si>
  <si>
    <t>10 TSM 3</t>
  </si>
  <si>
    <t>10 TSM 4</t>
  </si>
  <si>
    <t>*) 15-jul-2025</t>
  </si>
  <si>
    <t>KELAS : X TKR 2 / TO 2</t>
  </si>
  <si>
    <t>KELAS : X TKR 1 / TO 1</t>
  </si>
  <si>
    <t>KELAS : X TKR 3 / TO 3</t>
  </si>
  <si>
    <t>KELAS : X TKR 4 / TO 4</t>
  </si>
  <si>
    <t>KELAS : X TKR 5 / TO 5</t>
  </si>
  <si>
    <t>KELAS : X TSM 1 / TO 6</t>
  </si>
  <si>
    <t>KELAS : X TSM 2 / TO 7</t>
  </si>
  <si>
    <t>KELAS : X TSM 3 / TO 8</t>
  </si>
  <si>
    <t>KELAS : X TSM 4 / TO 9</t>
  </si>
  <si>
    <t>X TSM 1 / TO 6</t>
  </si>
  <si>
    <t>X TSM 2 / TO 7</t>
  </si>
  <si>
    <t>X TSM 3 / TO 8</t>
  </si>
  <si>
    <t>X TSM 4 / TO 9</t>
  </si>
  <si>
    <t>X TKR 1 / TO 1</t>
  </si>
  <si>
    <t>X TKR 2 / TO 2</t>
  </si>
  <si>
    <t>X TKR 3 / TO 3</t>
  </si>
  <si>
    <t>X TKR 4 / TO 4</t>
  </si>
  <si>
    <t>X TKR 5 / TO 5</t>
  </si>
  <si>
    <t xml:space="preserve">: Hendrian Nugroho, S.Pd </t>
  </si>
  <si>
    <t xml:space="preserve">: Listyo Budiarto, S.Pd </t>
  </si>
  <si>
    <t xml:space="preserve">: Frendino Ary P, S.Pd.Jas </t>
  </si>
  <si>
    <t xml:space="preserve">: Tanindra Wijananto, S.Pd </t>
  </si>
  <si>
    <t xml:space="preserve">: Devan Alfianto, S.Pd </t>
  </si>
  <si>
    <t>: Eswantini, S.Pd</t>
  </si>
  <si>
    <t xml:space="preserve">: Uswatun Hasanah, S.Pd.I </t>
  </si>
  <si>
    <t>: Ida Nuryanti, S.Pd</t>
  </si>
  <si>
    <t>: Anjar Eko Wibowo, S.Pd</t>
  </si>
  <si>
    <t xml:space="preserve">: Rully Mal Aziz, S.Pd </t>
  </si>
  <si>
    <t xml:space="preserve">: Muhammad Ridwan Sulthoni, S.Pd </t>
  </si>
  <si>
    <t xml:space="preserve">: Tono Prihatin, S.Pd </t>
  </si>
  <si>
    <t>: Ekayanti Retnaningsih, S.Pd</t>
  </si>
  <si>
    <t>: Heni Purwantari Utami, S.Pd</t>
  </si>
  <si>
    <t>507</t>
  </si>
  <si>
    <t>MSB25-04-602</t>
  </si>
  <si>
    <t>MUHAMMAD HASBY</t>
  </si>
  <si>
    <t>KEBUMEN</t>
  </si>
  <si>
    <t>28-01-2010</t>
  </si>
  <si>
    <t>SUSILA WIBAWA</t>
  </si>
  <si>
    <t>082245862399</t>
  </si>
  <si>
    <t>087832511854</t>
  </si>
  <si>
    <t>508</t>
  </si>
  <si>
    <t>MSB25-04-603</t>
  </si>
  <si>
    <t>BAYU AJI NUGROHO</t>
  </si>
  <si>
    <t>29-10-2009</t>
  </si>
  <si>
    <t>WATULANGKAH</t>
  </si>
  <si>
    <t>089505973629</t>
  </si>
  <si>
    <t>089618697080</t>
  </si>
  <si>
    <t>509</t>
  </si>
  <si>
    <t>MSB25-04-604</t>
  </si>
  <si>
    <t>RIDHO NAFI' MAWANTO</t>
  </si>
  <si>
    <t>MARGIYANTO</t>
  </si>
  <si>
    <t>SMP 2 VETERAN BANTUL</t>
  </si>
  <si>
    <t>081311217690</t>
  </si>
  <si>
    <t>082136414166</t>
  </si>
  <si>
    <t>510</t>
  </si>
  <si>
    <t>MSB25-04-605</t>
  </si>
  <si>
    <t>DONI PRATAMA</t>
  </si>
  <si>
    <t>SUDARYANTO</t>
  </si>
  <si>
    <t>PECIRO</t>
  </si>
  <si>
    <t>MTS AL IHSAN</t>
  </si>
  <si>
    <t>081999901059</t>
  </si>
  <si>
    <t>MSB25-04-606</t>
  </si>
  <si>
    <t>MUHAMMAD IKHRAM AJIANSYAH</t>
  </si>
  <si>
    <t>22-05-2010</t>
  </si>
  <si>
    <t>SETO AJI</t>
  </si>
  <si>
    <t>TANGKILAN</t>
  </si>
  <si>
    <t>081804141666</t>
  </si>
  <si>
    <t>087772055468</t>
  </si>
  <si>
    <t>*) 17-jul-2025</t>
  </si>
  <si>
    <t>506</t>
  </si>
  <si>
    <t>DWI RIZIQI NUGROHO</t>
  </si>
  <si>
    <t>*) 22-jul-2025</t>
  </si>
  <si>
    <t>*) 23-jul-2025</t>
  </si>
  <si>
    <t>*) 25-jul-2025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</si>
  <si>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</si>
  <si>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</si>
  <si>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</si>
  <si>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</si>
  <si>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</si>
  <si>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</si>
  <si>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</si>
  <si>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</si>
  <si>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</si>
  <si>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</si>
  <si>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</si>
  <si>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</si>
  <si>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</si>
  <si>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</si>
  <si>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</si>
  <si>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</si>
  <si>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</si>
  <si>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</si>
  <si>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</si>
  <si>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</si>
  <si>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</si>
  <si>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</si>
  <si>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</si>
  <si>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</si>
  <si>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</si>
  <si>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</si>
  <si>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</si>
  <si>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</si>
  <si>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</si>
  <si>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</si>
  <si>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</si>
  <si>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</si>
  <si>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</si>
  <si>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</si>
  <si>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</si>
  <si>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</si>
  <si>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</si>
  <si>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</si>
  <si>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</si>
  <si>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</si>
  <si>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</si>
  <si>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</si>
  <si>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</si>
  <si>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</si>
  <si>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</si>
  <si>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</si>
  <si>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</si>
  <si>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</si>
  <si>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</si>
  <si>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</si>
  <si>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</si>
  <si>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</si>
  <si>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</si>
  <si>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</si>
  <si>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</si>
  <si>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</si>
  <si>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</si>
  <si>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</si>
  <si>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</si>
  <si>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</si>
  <si>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</si>
  <si>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</si>
  <si>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</si>
  <si>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</si>
  <si>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</si>
  <si>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</si>
  <si>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</si>
  <si>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</si>
  <si>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</si>
  <si>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</si>
  <si>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</si>
  <si>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</si>
  <si>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</si>
  <si>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</si>
  <si>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</si>
  <si>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</si>
  <si>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</si>
  <si>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</si>
  <si>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</si>
  <si>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</si>
  <si>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</si>
  <si>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</si>
  <si>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</si>
  <si>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</si>
  <si>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</si>
  <si>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</si>
  <si>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</si>
  <si>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</si>
  <si>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</si>
  <si>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</si>
  <si>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</si>
  <si>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</si>
  <si>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</si>
  <si>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</si>
  <si>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</si>
  <si>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</si>
  <si>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</si>
  <si>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</si>
  <si>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</si>
  <si>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</si>
  <si>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</si>
  <si>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</si>
  <si>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</si>
  <si>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</si>
  <si>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</si>
  <si>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</si>
  <si>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</si>
  <si>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</si>
  <si>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</si>
  <si>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</si>
  <si>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</si>
  <si>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</si>
  <si>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</si>
  <si>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</si>
  <si>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</si>
  <si>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</si>
  <si>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</si>
  <si>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</si>
  <si>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</si>
  <si>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</si>
  <si>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</si>
  <si>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</si>
  <si>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</si>
  <si>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</si>
  <si>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</si>
  <si>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</si>
  <si>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</si>
  <si>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</si>
  <si>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</si>
  <si>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</si>
  <si>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</si>
  <si>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</si>
  <si>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</si>
  <si>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</si>
  <si>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</si>
  <si>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</si>
  <si>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</si>
  <si>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</si>
  <si>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</si>
  <si>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</si>
  <si>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</si>
  <si>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</si>
  <si>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</si>
  <si>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</si>
  <si>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</si>
  <si>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</si>
  <si>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</si>
  <si>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</si>
  <si>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</si>
  <si>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</si>
  <si>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</si>
  <si>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</si>
  <si>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</si>
  <si>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</si>
  <si>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</si>
  <si>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</si>
  <si>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</si>
  <si>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</si>
  <si>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</si>
  <si>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</si>
  <si>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</si>
  <si>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</si>
  <si>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</si>
  <si>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</si>
  <si>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</si>
  <si>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</si>
  <si>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</si>
  <si>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</si>
  <si>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</si>
  <si>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</si>
  <si>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</si>
  <si>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</si>
  <si>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</si>
  <si>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</si>
  <si>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</si>
  <si>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</si>
  <si>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</si>
  <si>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</si>
  <si>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</si>
  <si>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</si>
  <si>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</si>
  <si>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</si>
  <si>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</si>
  <si>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</si>
  <si>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</si>
  <si>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</si>
  <si>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</si>
  <si>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</si>
  <si>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</si>
  <si>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</si>
  <si>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</si>
  <si>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</si>
  <si>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</si>
  <si>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</si>
  <si>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</si>
  <si>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</si>
  <si>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</si>
  <si>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</si>
  <si>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</si>
  <si>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</si>
  <si>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</si>
  <si>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</si>
  <si>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</si>
  <si>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</si>
  <si>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</si>
  <si>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</si>
  <si>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</si>
  <si>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</si>
  <si>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</si>
  <si>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</si>
  <si>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</si>
  <si>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</si>
  <si>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</si>
  <si>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</si>
  <si>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</si>
  <si>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</si>
  <si>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</si>
  <si>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</si>
  <si>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</si>
  <si>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</si>
  <si>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</si>
  <si>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</si>
  <si>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</si>
  <si>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</si>
  <si>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</si>
  <si>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</si>
  <si>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</si>
  <si>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</si>
  <si>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</si>
  <si>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</si>
  <si>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</si>
  <si>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</si>
  <si>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</si>
  <si>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</si>
  <si>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</si>
  <si>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</si>
  <si>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</si>
  <si>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</si>
  <si>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</si>
  <si>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</si>
  <si>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</si>
  <si>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</si>
  <si>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</si>
  <si>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</si>
  <si>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</si>
  <si>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</si>
  <si>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</si>
  <si>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</si>
  <si>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</si>
  <si>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</si>
  <si>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</si>
  <si>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</si>
  <si>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</si>
  <si>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</si>
  <si>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</si>
  <si>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</si>
  <si>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</si>
  <si>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</si>
  <si>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</si>
  <si>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</si>
  <si>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</si>
  <si>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</si>
  <si>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</si>
  <si>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</si>
  <si>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</si>
  <si>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</si>
  <si>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</si>
  <si>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</si>
  <si>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</si>
  <si>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</si>
  <si>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</si>
  <si>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</si>
  <si>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</si>
  <si>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</si>
  <si>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</si>
  <si>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</si>
  <si>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</si>
  <si>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</si>
  <si>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</si>
  <si>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</si>
  <si>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</si>
  <si>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</si>
  <si>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</si>
  <si>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</si>
  <si>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</si>
  <si>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</si>
  <si>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</si>
  <si>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</si>
  <si>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</si>
  <si>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</si>
  <si>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</si>
  <si>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</si>
  <si>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</si>
  <si>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</si>
  <si>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</si>
  <si>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</si>
  <si>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</si>
  <si>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</si>
  <si>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</si>
  <si>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</si>
  <si>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</si>
  <si>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</si>
  <si>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</si>
  <si>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</si>
  <si>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</si>
  <si>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</si>
  <si>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</si>
  <si>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</si>
  <si>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</si>
  <si>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</si>
  <si>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</si>
  <si>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</si>
  <si>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</si>
  <si>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</si>
  <si>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</si>
  <si>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</si>
  <si>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</si>
  <si>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</si>
  <si>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</si>
  <si>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</si>
  <si>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</si>
  <si>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</si>
  <si>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</si>
  <si>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</si>
  <si>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</si>
  <si>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</si>
  <si>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</si>
  <si>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</si>
  <si>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</si>
  <si>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</si>
  <si>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</si>
  <si>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</si>
  <si>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</si>
  <si>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</si>
  <si>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</si>
  <si>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</si>
  <si>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</si>
  <si>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</si>
  <si>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</si>
  <si>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</si>
  <si>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</si>
  <si>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</si>
  <si>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</si>
  <si>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</si>
  <si>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</si>
  <si>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</si>
  <si>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</si>
  <si>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</si>
  <si>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</si>
  <si>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</si>
  <si>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</si>
  <si>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</si>
  <si>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</si>
  <si>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</si>
  <si>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</si>
  <si>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</si>
  <si>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</si>
  <si>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</si>
  <si>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</si>
  <si>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</si>
  <si>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</si>
  <si>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</si>
  <si>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</si>
  <si>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</si>
  <si>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</si>
  <si>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</si>
  <si>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</si>
  <si>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</si>
  <si>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</si>
  <si>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</si>
  <si>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</si>
  <si>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</si>
  <si>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</si>
  <si>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</si>
  <si>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</si>
  <si>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</si>
  <si>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</si>
  <si>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</si>
  <si>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</si>
  <si>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</si>
  <si>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</si>
  <si>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</si>
  <si>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</si>
  <si>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</si>
  <si>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</si>
  <si>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</si>
  <si>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</si>
  <si>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</si>
  <si>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</si>
  <si>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</si>
  <si>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</si>
  <si>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</si>
  <si>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</si>
  <si>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</si>
  <si>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</si>
  <si>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</si>
  <si>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</si>
  <si>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</si>
  <si>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</si>
  <si>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</si>
  <si>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</si>
  <si>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</si>
  <si>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</si>
  <si>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</si>
  <si>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</si>
  <si>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</si>
  <si>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</si>
  <si>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</si>
  <si>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</si>
  <si>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</si>
  <si>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</si>
  <si>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</si>
  <si>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</si>
  <si>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</si>
  <si>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</si>
  <si>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</si>
  <si>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</si>
  <si>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</si>
  <si>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</si>
  <si>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</si>
  <si>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</si>
  <si>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</si>
  <si>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</si>
  <si>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</si>
  <si>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</si>
  <si>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</si>
  <si>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</si>
  <si>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</si>
  <si>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</si>
  <si>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</si>
  <si>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</si>
  <si>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Rev. 03 / 25 Juli 2025</t>
  </si>
  <si>
    <t>14806</t>
  </si>
  <si>
    <t>MSB25-04-611</t>
  </si>
  <si>
    <t>ISMUNANDAR</t>
  </si>
  <si>
    <t>WONOSOBO</t>
  </si>
  <si>
    <t>28-07-2009</t>
  </si>
  <si>
    <t>SUTINAH</t>
  </si>
  <si>
    <t>089523105087</t>
  </si>
  <si>
    <t>088877124440</t>
  </si>
  <si>
    <t>511</t>
  </si>
  <si>
    <t>MSB25-04-612</t>
  </si>
  <si>
    <t>DOKKA UMAROV ABDURAHMAN</t>
  </si>
  <si>
    <t>HARJITO</t>
  </si>
  <si>
    <t>KALISONO</t>
  </si>
  <si>
    <t>085600966783</t>
  </si>
  <si>
    <t>085720112959</t>
  </si>
  <si>
    <t>512</t>
  </si>
  <si>
    <t>14807</t>
  </si>
  <si>
    <t>CHELSYA RIZTI</t>
  </si>
  <si>
    <t>Pondok Pesantren An Nashar Batam</t>
  </si>
  <si>
    <t>SEPTIAN RIZKI SETIANDI</t>
  </si>
  <si>
    <t>PRAMUDYA ARYA GILAR SAPUTRA</t>
  </si>
  <si>
    <t>AHNAF LAILANO MUKASA DHIYAA - ULHAQ</t>
  </si>
  <si>
    <t>ASYRAF AULIA RAHMAN</t>
  </si>
  <si>
    <t>MUHAMMAD FAEYZA IZZ I'TISHOM</t>
  </si>
  <si>
    <t>MUHAMMAD HARUN AR ROYYAN</t>
  </si>
  <si>
    <t>MUHAMMAD YURI MA`RUF</t>
  </si>
  <si>
    <t>RENDY RIZKY GUSTIAN</t>
  </si>
  <si>
    <t>*) 1-sep-2025</t>
  </si>
  <si>
    <t>082322725179</t>
  </si>
  <si>
    <t>085729960943</t>
  </si>
  <si>
    <t>085194544827</t>
  </si>
  <si>
    <t>DAYU</t>
  </si>
  <si>
    <t>Bantul Timur</t>
  </si>
  <si>
    <t>*) 23-sep-2025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</si>
</sst>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0"/>
      <color theme="1"/>
      <name val="Arial Narrow"/>
      <family val="2"/>
    </font>
    <font>
      <sz val="11"/>
      <name val="Calibri"/>
      <family val="2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10" fillId="0" borderId="3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/>
    <xf numFmtId="0" fontId="10" fillId="0" borderId="7" xfId="0" applyFont="1" applyBorder="1"/>
    <xf numFmtId="0" fontId="10" fillId="0" borderId="0" xfId="0" applyFont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2" fillId="0" borderId="5" xfId="0" applyFont="1" applyBorder="1"/>
    <xf numFmtId="0" fontId="9" fillId="0" borderId="0" xfId="0" applyFont="1"/>
    <xf numFmtId="0" fontId="13" fillId="0" borderId="0" xfId="0" applyFont="1"/>
    <xf numFmtId="0" fontId="14" fillId="0" borderId="5" xfId="0" applyFont="1" applyBorder="1" applyAlignment="1">
      <alignment vertic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/>
    <xf numFmtId="0" fontId="10" fillId="0" borderId="0" xfId="0" applyFont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vertical="center"/>
    </xf>
    <xf numFmtId="0" fontId="16" fillId="4" borderId="5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5" xfId="0" applyFont="1" applyBorder="1" applyAlignment="1">
      <alignment vertical="center"/>
    </xf>
    <xf numFmtId="0" fontId="17" fillId="6" borderId="5" xfId="0" applyFont="1" applyFill="1" applyBorder="1" applyAlignment="1">
      <alignment horizontal="center" vertical="center"/>
    </xf>
    <xf numFmtId="0" fontId="10" fillId="0" borderId="5" xfId="0" quotePrefix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/>
    <xf numFmtId="0" fontId="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0" fontId="10" fillId="0" borderId="15" xfId="0" applyFont="1" applyBorder="1"/>
    <xf numFmtId="0" fontId="10" fillId="0" borderId="15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0" fillId="0" borderId="15" xfId="0" applyFont="1" applyBorder="1" applyAlignment="1"/>
    <xf numFmtId="0" fontId="10" fillId="0" borderId="1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5" xfId="0" quotePrefix="1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0" fontId="10" fillId="0" borderId="15" xfId="0" applyNumberFormat="1" applyFont="1" applyBorder="1" applyAlignment="1">
      <alignment vertical="center"/>
    </xf>
    <xf numFmtId="0" fontId="10" fillId="0" borderId="15" xfId="0" quotePrefix="1" applyFont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21" fillId="0" borderId="1" xfId="0" applyFont="1" applyBorder="1" applyAlignment="1">
      <alignment vertical="center"/>
    </xf>
    <xf numFmtId="0" fontId="10" fillId="0" borderId="16" xfId="0" applyFont="1" applyBorder="1"/>
    <xf numFmtId="0" fontId="21" fillId="0" borderId="15" xfId="0" quotePrefix="1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0" fillId="0" borderId="14" xfId="0" applyFont="1" applyBorder="1"/>
    <xf numFmtId="0" fontId="0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4" fillId="0" borderId="15" xfId="0" applyFont="1" applyBorder="1"/>
    <xf numFmtId="0" fontId="10" fillId="0" borderId="19" xfId="0" applyFont="1" applyBorder="1"/>
    <xf numFmtId="0" fontId="10" fillId="0" borderId="20" xfId="0" applyFont="1" applyBorder="1"/>
    <xf numFmtId="0" fontId="15" fillId="0" borderId="15" xfId="0" applyFont="1" applyBorder="1" applyAlignment="1"/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10" fillId="0" borderId="5" xfId="0" quotePrefix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vertical="center"/>
    </xf>
    <xf numFmtId="0" fontId="15" fillId="0" borderId="15" xfId="0" applyFont="1" applyFill="1" applyBorder="1" applyAlignment="1">
      <alignment vertical="center"/>
    </xf>
    <xf numFmtId="0" fontId="15" fillId="0" borderId="15" xfId="0" applyFont="1" applyFill="1" applyBorder="1" applyAlignment="1">
      <alignment horizontal="center" vertical="center"/>
    </xf>
    <xf numFmtId="0" fontId="10" fillId="0" borderId="15" xfId="0" quotePrefix="1" applyFont="1" applyFill="1" applyBorder="1" applyAlignment="1">
      <alignment horizontal="center" vertical="center"/>
    </xf>
    <xf numFmtId="0" fontId="0" fillId="0" borderId="0" xfId="0" applyFont="1" applyAlignment="1"/>
    <xf numFmtId="0" fontId="15" fillId="0" borderId="0" xfId="0" applyFont="1" applyFill="1" applyAlignment="1">
      <alignment vertical="center"/>
    </xf>
    <xf numFmtId="0" fontId="0" fillId="0" borderId="15" xfId="0" applyBorder="1" applyAlignment="1">
      <alignment vertical="center"/>
    </xf>
    <xf numFmtId="0" fontId="22" fillId="0" borderId="15" xfId="0" applyFont="1" applyBorder="1" applyAlignment="1">
      <alignment vertical="center"/>
    </xf>
    <xf numFmtId="0" fontId="0" fillId="0" borderId="15" xfId="0" applyBorder="1"/>
    <xf numFmtId="0" fontId="22" fillId="0" borderId="15" xfId="0" applyFont="1" applyBorder="1"/>
    <xf numFmtId="0" fontId="0" fillId="7" borderId="15" xfId="0" applyFill="1" applyBorder="1"/>
    <xf numFmtId="0" fontId="0" fillId="7" borderId="15" xfId="0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0" fillId="0" borderId="15" xfId="0" applyNumberFormat="1" applyFont="1" applyBorder="1"/>
    <xf numFmtId="0" fontId="10" fillId="0" borderId="4" xfId="0" quotePrefix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 vertical="center"/>
    </xf>
    <xf numFmtId="0" fontId="0" fillId="0" borderId="15" xfId="0" applyFont="1" applyFill="1" applyBorder="1" applyAlignment="1">
      <alignment vertical="center"/>
    </xf>
    <xf numFmtId="0" fontId="10" fillId="0" borderId="5" xfId="0" quotePrefix="1" applyFont="1" applyFill="1" applyBorder="1" applyAlignment="1">
      <alignment horizontal="right" vertical="center"/>
    </xf>
    <xf numFmtId="0" fontId="0" fillId="0" borderId="16" xfId="0" applyFont="1" applyFill="1" applyBorder="1" applyAlignment="1">
      <alignment vertical="center"/>
    </xf>
    <xf numFmtId="0" fontId="10" fillId="0" borderId="1" xfId="0" quotePrefix="1" applyFont="1" applyBorder="1" applyAlignment="1">
      <alignment vertical="center"/>
    </xf>
    <xf numFmtId="0" fontId="0" fillId="0" borderId="18" xfId="0" applyBorder="1" applyAlignment="1">
      <alignment vertical="center"/>
    </xf>
    <xf numFmtId="0" fontId="16" fillId="0" borderId="5" xfId="0" quotePrefix="1" applyFont="1" applyFill="1" applyBorder="1" applyAlignment="1">
      <alignment horizontal="center" vertical="center"/>
    </xf>
    <xf numFmtId="0" fontId="23" fillId="0" borderId="15" xfId="0" applyFont="1" applyBorder="1" applyAlignment="1">
      <alignment vertical="center"/>
    </xf>
    <xf numFmtId="0" fontId="21" fillId="0" borderId="5" xfId="0" quotePrefix="1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0" fillId="8" borderId="5" xfId="0" quotePrefix="1" applyFont="1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10" fillId="8" borderId="5" xfId="0" applyFont="1" applyFill="1" applyBorder="1" applyAlignment="1">
      <alignment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center"/>
    </xf>
    <xf numFmtId="49" fontId="10" fillId="8" borderId="15" xfId="0" applyNumberFormat="1" applyFont="1" applyFill="1" applyBorder="1" applyAlignment="1">
      <alignment vertical="center"/>
    </xf>
    <xf numFmtId="0" fontId="21" fillId="8" borderId="5" xfId="0" quotePrefix="1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vertical="center"/>
    </xf>
    <xf numFmtId="0" fontId="21" fillId="8" borderId="5" xfId="0" applyFont="1" applyFill="1" applyBorder="1" applyAlignment="1">
      <alignment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2" fillId="0" borderId="0" xfId="0" applyFont="1" applyAlignment="1">
      <alignment horizontal="left" wrapText="1"/>
    </xf>
    <xf numFmtId="0" fontId="0" fillId="0" borderId="0" xfId="0" applyFont="1" applyAlignment="1"/>
    <xf numFmtId="0" fontId="10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8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6" fillId="0" borderId="0" xfId="0" applyFont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/>
    </xf>
    <xf numFmtId="0" fontId="22" fillId="0" borderId="16" xfId="0" applyFont="1" applyBorder="1" applyAlignment="1">
      <alignment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Z995"/>
  <sheetViews>
    <sheetView workbookViewId="0">
      <selection activeCell="C13" sqref="C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2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4008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4064</v>
      </c>
      <c r="C13" s="88" t="s">
        <v>3452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4065</v>
      </c>
      <c r="C14" s="88" t="s">
        <v>3274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4066</v>
      </c>
      <c r="C15" s="51" t="s">
        <v>4032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4067</v>
      </c>
      <c r="C16" s="88" t="s">
        <v>3711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76" t="s">
        <v>4068</v>
      </c>
      <c r="C17" s="89" t="s">
        <v>3737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76" t="s">
        <v>4069</v>
      </c>
      <c r="C18" s="88" t="s">
        <v>2070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76" t="s">
        <v>4070</v>
      </c>
      <c r="C19" s="51" t="s">
        <v>4024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9">
        <v>8</v>
      </c>
      <c r="B20" s="76" t="s">
        <v>4071</v>
      </c>
      <c r="C20" s="88" t="s">
        <v>3491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76" t="s">
        <v>4072</v>
      </c>
      <c r="C21" s="88" t="s">
        <v>3402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76" t="s">
        <v>4073</v>
      </c>
      <c r="C22" s="88" t="s">
        <v>3658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76" t="s">
        <v>4074</v>
      </c>
      <c r="C23" s="88" t="s">
        <v>2341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76" t="s">
        <v>4075</v>
      </c>
      <c r="C24" s="88" t="s">
        <v>1882</v>
      </c>
      <c r="D24" s="14"/>
      <c r="E24" s="14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76" t="s">
        <v>4076</v>
      </c>
      <c r="C25" s="88" t="s">
        <v>3647</v>
      </c>
      <c r="D25" s="12"/>
      <c r="E25" s="12"/>
      <c r="F25" s="1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41"/>
      <c r="D26" s="12"/>
      <c r="E26" s="12"/>
      <c r="F26" s="15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9">
        <v>15</v>
      </c>
      <c r="B27" s="41"/>
      <c r="C27" s="11"/>
      <c r="D27" s="12"/>
      <c r="E27" s="12"/>
      <c r="F27" s="15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9">
        <v>16</v>
      </c>
      <c r="B28" s="41"/>
      <c r="C28" s="11"/>
      <c r="D28" s="12"/>
      <c r="E28" s="12"/>
      <c r="F28" s="15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9">
        <v>17</v>
      </c>
      <c r="B29" s="41"/>
      <c r="C29" s="11"/>
      <c r="D29" s="12"/>
      <c r="E29" s="12"/>
      <c r="F29" s="15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41"/>
      <c r="C30" s="11"/>
      <c r="D30" s="12"/>
      <c r="E30" s="12"/>
      <c r="F30" s="15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41"/>
      <c r="C31" s="11"/>
      <c r="D31" s="12"/>
      <c r="E31" s="12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41"/>
      <c r="C32" s="11"/>
      <c r="D32" s="12"/>
      <c r="E32" s="12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2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 ht="15.75" customHeight="1" x14ac:dyDescent="0.25">
      <c r="A34" s="135" t="s">
        <v>20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9"/>
      <c r="L34" s="136" t="s">
        <v>21</v>
      </c>
      <c r="M34" s="137"/>
      <c r="N34" s="137"/>
      <c r="O34" s="137"/>
      <c r="P34" s="137"/>
      <c r="Q34" s="138"/>
    </row>
    <row r="35" spans="1:17" ht="15.75" customHeight="1" x14ac:dyDescent="0.25">
      <c r="A35" s="8" t="s">
        <v>22</v>
      </c>
      <c r="B35" s="8" t="s">
        <v>23</v>
      </c>
      <c r="C35" s="22" t="s">
        <v>24</v>
      </c>
      <c r="D35" s="135" t="s">
        <v>25</v>
      </c>
      <c r="E35" s="128"/>
      <c r="F35" s="128"/>
      <c r="G35" s="128"/>
      <c r="H35" s="128"/>
      <c r="I35" s="128"/>
      <c r="J35" s="128"/>
      <c r="K35" s="129"/>
      <c r="L35" s="139"/>
      <c r="M35" s="140"/>
      <c r="N35" s="140"/>
      <c r="O35" s="140"/>
      <c r="P35" s="140"/>
      <c r="Q35" s="141"/>
    </row>
    <row r="36" spans="1:17" ht="15.75" customHeight="1" x14ac:dyDescent="0.3">
      <c r="A36" s="9">
        <v>1</v>
      </c>
      <c r="B36" s="12"/>
      <c r="C36" s="23" t="s">
        <v>26</v>
      </c>
      <c r="D36" s="127"/>
      <c r="E36" s="128"/>
      <c r="F36" s="128"/>
      <c r="G36" s="128"/>
      <c r="H36" s="128"/>
      <c r="I36" s="128"/>
      <c r="J36" s="128"/>
      <c r="K36" s="129"/>
      <c r="L36" s="9">
        <v>1</v>
      </c>
      <c r="M36" s="127"/>
      <c r="N36" s="128"/>
      <c r="O36" s="128"/>
      <c r="P36" s="128"/>
      <c r="Q36" s="129"/>
    </row>
    <row r="37" spans="1:17" ht="15.75" customHeight="1" x14ac:dyDescent="0.3">
      <c r="A37" s="9">
        <v>2</v>
      </c>
      <c r="B37" s="12"/>
      <c r="C37" s="23" t="s">
        <v>26</v>
      </c>
      <c r="D37" s="127"/>
      <c r="E37" s="128"/>
      <c r="F37" s="128"/>
      <c r="G37" s="128"/>
      <c r="H37" s="128"/>
      <c r="I37" s="128"/>
      <c r="J37" s="128"/>
      <c r="K37" s="129"/>
      <c r="L37" s="9">
        <v>2</v>
      </c>
      <c r="M37" s="127"/>
      <c r="N37" s="128"/>
      <c r="O37" s="128"/>
      <c r="P37" s="128"/>
      <c r="Q37" s="129"/>
    </row>
    <row r="38" spans="1:17" ht="15.75" customHeight="1" x14ac:dyDescent="0.3">
      <c r="A38" s="9">
        <v>3</v>
      </c>
      <c r="B38" s="12"/>
      <c r="C38" s="23" t="s">
        <v>26</v>
      </c>
      <c r="D38" s="127"/>
      <c r="E38" s="128"/>
      <c r="F38" s="128"/>
      <c r="G38" s="128"/>
      <c r="H38" s="128"/>
      <c r="I38" s="128"/>
      <c r="J38" s="128"/>
      <c r="K38" s="129"/>
      <c r="L38" s="9">
        <v>3</v>
      </c>
      <c r="M38" s="127"/>
      <c r="N38" s="128"/>
      <c r="O38" s="128"/>
      <c r="P38" s="128"/>
      <c r="Q38" s="129"/>
    </row>
    <row r="39" spans="1:17" ht="15.75" customHeight="1" x14ac:dyDescent="0.3">
      <c r="A39" s="9">
        <v>4</v>
      </c>
      <c r="B39" s="12"/>
      <c r="C39" s="23" t="s">
        <v>26</v>
      </c>
      <c r="D39" s="127"/>
      <c r="E39" s="128"/>
      <c r="F39" s="128"/>
      <c r="G39" s="128"/>
      <c r="H39" s="128"/>
      <c r="I39" s="128"/>
      <c r="J39" s="128"/>
      <c r="K39" s="129"/>
      <c r="L39" s="9">
        <v>4</v>
      </c>
      <c r="M39" s="127"/>
      <c r="N39" s="128"/>
      <c r="O39" s="128"/>
      <c r="P39" s="128"/>
      <c r="Q39" s="129"/>
    </row>
    <row r="40" spans="1:17" ht="15.75" customHeight="1" x14ac:dyDescent="0.3">
      <c r="A40" s="9">
        <v>5</v>
      </c>
      <c r="B40" s="12"/>
      <c r="C40" s="23" t="s">
        <v>26</v>
      </c>
      <c r="D40" s="127"/>
      <c r="E40" s="128"/>
      <c r="F40" s="128"/>
      <c r="G40" s="128"/>
      <c r="H40" s="128"/>
      <c r="I40" s="128"/>
      <c r="J40" s="128"/>
      <c r="K40" s="129"/>
      <c r="L40" s="9">
        <v>5</v>
      </c>
      <c r="M40" s="127"/>
      <c r="N40" s="128"/>
      <c r="O40" s="128"/>
      <c r="P40" s="128"/>
      <c r="Q40" s="129"/>
    </row>
    <row r="41" spans="1:17" ht="15.75" customHeight="1" x14ac:dyDescent="0.25">
      <c r="A41" s="24" t="s">
        <v>27</v>
      </c>
      <c r="K41" s="13" t="s">
        <v>28</v>
      </c>
    </row>
    <row r="42" spans="1:17" ht="16.5" customHeight="1" x14ac:dyDescent="0.25">
      <c r="A42" s="130" t="s">
        <v>29</v>
      </c>
      <c r="B42" s="131"/>
      <c r="C42" s="131"/>
      <c r="D42" s="131"/>
      <c r="E42" s="131"/>
      <c r="F42" s="131"/>
      <c r="G42" s="131"/>
      <c r="H42" s="131"/>
      <c r="K42" s="13" t="s">
        <v>30</v>
      </c>
    </row>
    <row r="43" spans="1:17" ht="15.75" customHeight="1" x14ac:dyDescent="0.25">
      <c r="A43" s="131"/>
      <c r="B43" s="131"/>
      <c r="C43" s="131"/>
      <c r="D43" s="131"/>
      <c r="E43" s="131"/>
      <c r="F43" s="131"/>
      <c r="G43" s="131"/>
      <c r="H43" s="131"/>
    </row>
    <row r="44" spans="1:17" ht="15.75" customHeight="1" x14ac:dyDescent="0.25">
      <c r="A44" s="132" t="s">
        <v>31</v>
      </c>
      <c r="B44" s="131"/>
      <c r="C44" s="131"/>
      <c r="D44" s="131"/>
      <c r="E44" s="131"/>
      <c r="F44" s="131"/>
      <c r="G44" s="131"/>
      <c r="H44" s="131"/>
    </row>
    <row r="45" spans="1:17" ht="15.75" customHeight="1" x14ac:dyDescent="0.25">
      <c r="A45" s="131"/>
      <c r="B45" s="131"/>
      <c r="C45" s="131"/>
      <c r="D45" s="131"/>
      <c r="E45" s="131"/>
      <c r="F45" s="131"/>
      <c r="G45" s="131"/>
      <c r="H45" s="131"/>
      <c r="K45" s="13" t="s">
        <v>32</v>
      </c>
    </row>
    <row r="46" spans="1:17" ht="15.75" customHeight="1" x14ac:dyDescent="0.25">
      <c r="A46" s="131"/>
      <c r="B46" s="131"/>
      <c r="C46" s="131"/>
      <c r="D46" s="131"/>
      <c r="E46" s="131"/>
      <c r="F46" s="131"/>
      <c r="G46" s="131"/>
      <c r="H46" s="131"/>
      <c r="K46" s="13" t="s">
        <v>33</v>
      </c>
    </row>
    <row r="47" spans="1:17" ht="15.75" customHeight="1" x14ac:dyDescent="0.25"/>
    <row r="48" spans="1:17" ht="15.75" customHeight="1" x14ac:dyDescent="0.25">
      <c r="A48" s="25" t="s">
        <v>3989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sortState xmlns:xlrd2="http://schemas.microsoft.com/office/spreadsheetml/2017/richdata2" ref="C13:C26">
    <sortCondition ref="C13:C26"/>
  </sortState>
  <mergeCells count="27">
    <mergeCell ref="M39:Q39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40:K40"/>
    <mergeCell ref="M40:Q40"/>
    <mergeCell ref="A42:H43"/>
    <mergeCell ref="A44:H46"/>
    <mergeCell ref="A11:B11"/>
    <mergeCell ref="D11:H11"/>
    <mergeCell ref="A34:K34"/>
    <mergeCell ref="L34:Q35"/>
    <mergeCell ref="D35:K35"/>
    <mergeCell ref="D36:K36"/>
    <mergeCell ref="D37:K37"/>
    <mergeCell ref="M36:Q36"/>
    <mergeCell ref="M37:Q37"/>
    <mergeCell ref="D38:K38"/>
    <mergeCell ref="M38:Q38"/>
    <mergeCell ref="D39:K39"/>
  </mergeCells>
  <pageMargins left="0.59055118110236227" right="0.39370078740157483" top="0.43307086614173229" bottom="0.39370078740157483" header="0" footer="0"/>
  <pageSetup paperSize="10000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Z1000"/>
  <sheetViews>
    <sheetView workbookViewId="0">
      <selection activeCell="A65" sqref="A65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7.5703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4009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4077</v>
      </c>
      <c r="C13" s="88" t="s">
        <v>3321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4078</v>
      </c>
      <c r="C14" s="88" t="s">
        <v>1790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4079</v>
      </c>
      <c r="C15" s="88" t="s">
        <v>2510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4080</v>
      </c>
      <c r="C16" s="88" t="s">
        <v>4518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76" t="s">
        <v>4081</v>
      </c>
      <c r="C17" s="88" t="s">
        <v>2200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76" t="s">
        <v>4082</v>
      </c>
      <c r="C18" s="88" t="s">
        <v>2363</v>
      </c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76" t="s">
        <v>4083</v>
      </c>
      <c r="C19" s="88" t="s">
        <v>1657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9">
        <v>8</v>
      </c>
      <c r="B20" s="76" t="s">
        <v>4084</v>
      </c>
      <c r="C20" s="88" t="s">
        <v>1812</v>
      </c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76" t="s">
        <v>4085</v>
      </c>
      <c r="C21" s="88" t="s">
        <v>2998</v>
      </c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76" t="s">
        <v>4086</v>
      </c>
      <c r="C22" s="88" t="s">
        <v>1146</v>
      </c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76" t="s">
        <v>4087</v>
      </c>
      <c r="C23" s="88" t="s">
        <v>3833</v>
      </c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76" t="s">
        <v>4088</v>
      </c>
      <c r="C24" s="88" t="s">
        <v>1169</v>
      </c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76" t="s">
        <v>4089</v>
      </c>
      <c r="C25" s="88" t="s">
        <v>1900</v>
      </c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76" t="s">
        <v>4090</v>
      </c>
      <c r="C26" s="88" t="s">
        <v>2138</v>
      </c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9">
        <v>15</v>
      </c>
      <c r="B27" s="76" t="s">
        <v>4091</v>
      </c>
      <c r="C27" s="88" t="s">
        <v>3168</v>
      </c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9">
        <v>16</v>
      </c>
      <c r="B28" s="76" t="s">
        <v>4092</v>
      </c>
      <c r="C28" s="88" t="s">
        <v>1572</v>
      </c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9">
        <v>17</v>
      </c>
      <c r="B29" s="76" t="s">
        <v>4093</v>
      </c>
      <c r="C29" s="88" t="s">
        <v>3125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76" t="s">
        <v>4094</v>
      </c>
      <c r="C30" s="88" t="s">
        <v>3202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76" t="s">
        <v>4095</v>
      </c>
      <c r="C31" s="88" t="s">
        <v>1546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76" t="s">
        <v>4096</v>
      </c>
      <c r="C32" s="88" t="s">
        <v>1078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99" t="s">
        <v>4097</v>
      </c>
      <c r="C33" s="114" t="s">
        <v>3839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27">
        <v>22</v>
      </c>
      <c r="B34" s="85" t="s">
        <v>4098</v>
      </c>
      <c r="C34" s="88" t="s">
        <v>2934</v>
      </c>
      <c r="D34" s="20"/>
      <c r="E34" s="14"/>
      <c r="F34" s="14"/>
      <c r="G34" s="14"/>
      <c r="H34" s="14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48">
        <v>23</v>
      </c>
      <c r="B35" s="85" t="s">
        <v>4100</v>
      </c>
      <c r="C35" s="88" t="s">
        <v>1941</v>
      </c>
      <c r="D35" s="47"/>
      <c r="E35" s="47"/>
      <c r="F35" s="47"/>
      <c r="G35" s="47"/>
      <c r="H35" s="47"/>
      <c r="I35" s="20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48">
        <v>24</v>
      </c>
      <c r="B36" s="85" t="s">
        <v>4101</v>
      </c>
      <c r="C36" s="88" t="s">
        <v>2524</v>
      </c>
      <c r="D36" s="47"/>
      <c r="E36" s="47"/>
      <c r="F36" s="47"/>
      <c r="G36" s="47"/>
      <c r="H36" s="47"/>
      <c r="I36" s="47"/>
      <c r="J36" s="20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48">
        <v>25</v>
      </c>
      <c r="B37" s="85" t="s">
        <v>4102</v>
      </c>
      <c r="C37" s="88" t="s">
        <v>3106</v>
      </c>
      <c r="D37" s="47"/>
      <c r="E37" s="47"/>
      <c r="F37" s="47"/>
      <c r="G37" s="47"/>
      <c r="H37" s="47"/>
      <c r="I37" s="47"/>
      <c r="J37" s="60"/>
      <c r="K37" s="15"/>
      <c r="L37" s="12"/>
      <c r="M37" s="12"/>
      <c r="N37" s="12"/>
      <c r="O37" s="12"/>
      <c r="P37" s="12"/>
      <c r="Q37" s="12"/>
    </row>
    <row r="38" spans="1:17" ht="15.75" customHeight="1" x14ac:dyDescent="0.25">
      <c r="A38" s="48">
        <v>26</v>
      </c>
      <c r="B38" s="85" t="s">
        <v>4103</v>
      </c>
      <c r="C38" s="88" t="s">
        <v>1589</v>
      </c>
      <c r="D38" s="47"/>
      <c r="E38" s="47"/>
      <c r="F38" s="47"/>
      <c r="G38" s="47"/>
      <c r="H38" s="47"/>
      <c r="I38" s="47"/>
      <c r="J38" s="60"/>
      <c r="K38" s="15"/>
      <c r="L38" s="12"/>
      <c r="M38" s="12"/>
      <c r="N38" s="12"/>
      <c r="O38" s="12"/>
      <c r="P38" s="12"/>
      <c r="Q38" s="12"/>
    </row>
    <row r="39" spans="1:17" ht="15.75" customHeight="1" x14ac:dyDescent="0.25">
      <c r="A39" s="48">
        <v>27</v>
      </c>
      <c r="B39" s="85" t="s">
        <v>4104</v>
      </c>
      <c r="C39" s="88" t="s">
        <v>2302</v>
      </c>
      <c r="D39" s="47"/>
      <c r="E39" s="47"/>
      <c r="F39" s="47"/>
      <c r="G39" s="47"/>
      <c r="H39" s="47"/>
      <c r="I39" s="47"/>
      <c r="J39" s="60"/>
      <c r="K39" s="15"/>
      <c r="L39" s="12"/>
      <c r="M39" s="12"/>
      <c r="N39" s="12"/>
      <c r="O39" s="12"/>
      <c r="P39" s="12"/>
      <c r="Q39" s="12"/>
    </row>
    <row r="40" spans="1:17" ht="15.75" customHeight="1" x14ac:dyDescent="0.25">
      <c r="A40" s="48">
        <v>28</v>
      </c>
      <c r="B40" s="85" t="s">
        <v>4105</v>
      </c>
      <c r="C40" s="88" t="s">
        <v>724</v>
      </c>
      <c r="D40" s="47"/>
      <c r="E40" s="47"/>
      <c r="F40" s="47"/>
      <c r="G40" s="47"/>
      <c r="H40" s="47"/>
      <c r="I40" s="47"/>
      <c r="J40" s="60"/>
      <c r="K40" s="15"/>
      <c r="L40" s="12"/>
      <c r="M40" s="12"/>
      <c r="N40" s="12"/>
      <c r="O40" s="12"/>
      <c r="P40" s="12"/>
      <c r="Q40" s="12"/>
    </row>
    <row r="41" spans="1:17" ht="15.75" customHeight="1" x14ac:dyDescent="0.25">
      <c r="A41" s="48">
        <v>29</v>
      </c>
      <c r="B41" s="85" t="s">
        <v>4106</v>
      </c>
      <c r="C41" s="88" t="s">
        <v>2295</v>
      </c>
      <c r="D41" s="47"/>
      <c r="E41" s="47"/>
      <c r="F41" s="47"/>
      <c r="G41" s="47"/>
      <c r="H41" s="47"/>
      <c r="I41" s="47"/>
      <c r="J41" s="60"/>
      <c r="K41" s="15"/>
      <c r="L41" s="12"/>
      <c r="M41" s="12"/>
      <c r="N41" s="12"/>
      <c r="O41" s="12"/>
      <c r="P41" s="12"/>
      <c r="Q41" s="12"/>
    </row>
    <row r="42" spans="1:17" ht="15.75" customHeight="1" x14ac:dyDescent="0.25">
      <c r="A42" s="48">
        <v>30</v>
      </c>
      <c r="B42" s="50"/>
      <c r="C42" s="50"/>
      <c r="D42" s="47"/>
      <c r="E42" s="47"/>
      <c r="F42" s="47"/>
      <c r="G42" s="47"/>
      <c r="H42" s="47"/>
      <c r="I42" s="47"/>
      <c r="J42" s="60"/>
      <c r="K42" s="15"/>
      <c r="L42" s="12"/>
      <c r="M42" s="12"/>
      <c r="N42" s="12"/>
      <c r="O42" s="12"/>
      <c r="P42" s="12"/>
      <c r="Q42" s="12"/>
    </row>
    <row r="43" spans="1:17" ht="15.75" customHeight="1" x14ac:dyDescent="0.25">
      <c r="A43" s="48">
        <v>31</v>
      </c>
      <c r="B43" s="50"/>
      <c r="C43" s="50"/>
      <c r="D43" s="47"/>
      <c r="E43" s="47"/>
      <c r="F43" s="47"/>
      <c r="G43" s="47"/>
      <c r="H43" s="47"/>
      <c r="I43" s="47"/>
      <c r="J43" s="60"/>
      <c r="K43" s="15"/>
      <c r="L43" s="12"/>
      <c r="M43" s="12"/>
      <c r="N43" s="12"/>
      <c r="O43" s="12"/>
      <c r="P43" s="12"/>
      <c r="Q43" s="12"/>
    </row>
    <row r="44" spans="1:17" ht="15.75" customHeight="1" x14ac:dyDescent="0.25">
      <c r="A44" s="48">
        <v>32</v>
      </c>
      <c r="B44" s="49"/>
      <c r="C44" s="66"/>
      <c r="D44" s="47"/>
      <c r="E44" s="47"/>
      <c r="F44" s="47"/>
      <c r="G44" s="47"/>
      <c r="H44" s="47"/>
      <c r="I44" s="47"/>
      <c r="J44" s="60"/>
      <c r="K44" s="15"/>
      <c r="L44" s="12"/>
      <c r="M44" s="12"/>
      <c r="N44" s="12"/>
      <c r="O44" s="12"/>
      <c r="P44" s="12"/>
      <c r="Q44" s="12"/>
    </row>
    <row r="45" spans="1:17" ht="15.75" customHeight="1" x14ac:dyDescent="0.25">
      <c r="A45" s="48">
        <v>33</v>
      </c>
      <c r="B45" s="49"/>
      <c r="C45" s="51"/>
      <c r="D45" s="47"/>
      <c r="E45" s="47"/>
      <c r="F45" s="47"/>
      <c r="G45" s="47"/>
      <c r="H45" s="47"/>
      <c r="I45" s="47"/>
      <c r="J45" s="60"/>
      <c r="K45" s="15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48"/>
      <c r="C46" s="51"/>
      <c r="D46" s="47"/>
      <c r="E46" s="47"/>
      <c r="F46" s="47"/>
      <c r="G46" s="47"/>
      <c r="H46" s="47"/>
      <c r="I46" s="47"/>
      <c r="J46" s="60"/>
      <c r="K46" s="15"/>
      <c r="L46" s="12"/>
      <c r="M46" s="12"/>
      <c r="N46" s="12"/>
      <c r="O46" s="12"/>
      <c r="P46" s="12"/>
      <c r="Q46" s="12"/>
    </row>
    <row r="47" spans="1:17" ht="15.75" customHeight="1" x14ac:dyDescent="0.25">
      <c r="A47" s="48">
        <v>35</v>
      </c>
      <c r="B47" s="50"/>
      <c r="C47" s="50"/>
      <c r="D47" s="47"/>
      <c r="E47" s="47"/>
      <c r="F47" s="47"/>
      <c r="G47" s="47"/>
      <c r="H47" s="47"/>
      <c r="I47" s="47"/>
      <c r="J47" s="60"/>
      <c r="K47" s="15"/>
      <c r="L47" s="12"/>
      <c r="M47" s="12"/>
      <c r="N47" s="12"/>
      <c r="O47" s="12"/>
      <c r="P47" s="12"/>
      <c r="Q47" s="12"/>
    </row>
    <row r="48" spans="1:17" ht="15.75" customHeight="1" x14ac:dyDescent="0.25">
      <c r="A48" s="48">
        <v>36</v>
      </c>
      <c r="B48" s="50"/>
      <c r="C48" s="50"/>
      <c r="D48" s="47"/>
      <c r="E48" s="47"/>
      <c r="F48" s="47"/>
      <c r="G48" s="47"/>
      <c r="H48" s="47"/>
      <c r="I48" s="47"/>
      <c r="J48" s="60"/>
      <c r="K48" s="15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4523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2">
    <sortCondition ref="C13:C42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39370078740157483" bottom="0.19685039370078741" header="0" footer="0"/>
  <pageSetup paperSize="10000" scale="4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pageSetUpPr fitToPage="1"/>
  </sheetPr>
  <dimension ref="A1:Z1000"/>
  <sheetViews>
    <sheetView workbookViewId="0">
      <selection activeCell="B37" sqref="B37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8.8554687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35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4010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50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4107</v>
      </c>
      <c r="C13" s="88" t="s">
        <v>1097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4108</v>
      </c>
      <c r="C14" s="88" t="s">
        <v>2978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4109</v>
      </c>
      <c r="C15" s="88" t="s">
        <v>1376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4110</v>
      </c>
      <c r="C16" s="88" t="s">
        <v>2390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76" t="s">
        <v>4111</v>
      </c>
      <c r="C17" s="88" t="s">
        <v>3933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76" t="s">
        <v>4112</v>
      </c>
      <c r="C18" s="88" t="s">
        <v>3119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9">
        <v>7</v>
      </c>
      <c r="B19" s="76" t="s">
        <v>4113</v>
      </c>
      <c r="C19" s="88" t="s">
        <v>844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26" x14ac:dyDescent="0.25">
      <c r="A20" s="9">
        <v>8</v>
      </c>
      <c r="B20" s="76" t="s">
        <v>4114</v>
      </c>
      <c r="C20" s="88" t="s">
        <v>1676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x14ac:dyDescent="0.25">
      <c r="A21" s="9">
        <v>9</v>
      </c>
      <c r="B21" s="76" t="s">
        <v>4115</v>
      </c>
      <c r="C21" s="88" t="s">
        <v>2403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9">
        <v>10</v>
      </c>
      <c r="B22" s="76" t="s">
        <v>4116</v>
      </c>
      <c r="C22" s="88" t="s">
        <v>710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9">
        <v>11</v>
      </c>
      <c r="B23" s="76" t="s">
        <v>4117</v>
      </c>
      <c r="C23" s="88" t="s">
        <v>1600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9">
        <v>12</v>
      </c>
      <c r="B24" s="76" t="s">
        <v>4118</v>
      </c>
      <c r="C24" s="88" t="s">
        <v>2562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 ht="15.75" customHeight="1" x14ac:dyDescent="0.25">
      <c r="A25" s="9">
        <v>13</v>
      </c>
      <c r="B25" s="76" t="s">
        <v>4119</v>
      </c>
      <c r="C25" s="88" t="s">
        <v>3010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9">
        <v>14</v>
      </c>
      <c r="B26" s="76" t="s">
        <v>4120</v>
      </c>
      <c r="C26" s="88" t="s">
        <v>858</v>
      </c>
      <c r="D26" s="12"/>
      <c r="E26" s="12"/>
      <c r="F26" s="12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1:26" ht="15.75" customHeight="1" x14ac:dyDescent="0.25">
      <c r="A27" s="9">
        <v>15</v>
      </c>
      <c r="B27" s="76" t="s">
        <v>4121</v>
      </c>
      <c r="C27" s="88" t="s">
        <v>2407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26" ht="15.75" customHeight="1" x14ac:dyDescent="0.25">
      <c r="A28" s="9">
        <v>16</v>
      </c>
      <c r="B28" s="76" t="s">
        <v>4122</v>
      </c>
      <c r="C28" s="88" t="s">
        <v>3848</v>
      </c>
      <c r="D28" s="12"/>
      <c r="E28" s="12"/>
      <c r="F28" s="12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26" ht="15.75" customHeight="1" x14ac:dyDescent="0.25">
      <c r="A29" s="9">
        <v>17</v>
      </c>
      <c r="B29" s="76" t="s">
        <v>4123</v>
      </c>
      <c r="C29" s="88" t="s">
        <v>1265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9">
        <v>18</v>
      </c>
      <c r="B30" s="76" t="s">
        <v>4124</v>
      </c>
      <c r="C30" s="88" t="s">
        <v>2759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9">
        <v>19</v>
      </c>
      <c r="B31" s="76" t="s">
        <v>4125</v>
      </c>
      <c r="C31" s="88" t="s">
        <v>732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9">
        <v>20</v>
      </c>
      <c r="B32" s="76" t="s">
        <v>4126</v>
      </c>
      <c r="C32" s="88" t="s">
        <v>3886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4127</v>
      </c>
      <c r="C33" s="88" t="s">
        <v>1347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4128</v>
      </c>
      <c r="C34" s="88" t="s">
        <v>3825</v>
      </c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4129</v>
      </c>
      <c r="C35" s="88" t="s">
        <v>1107</v>
      </c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4130</v>
      </c>
      <c r="C36" s="88" t="s">
        <v>1567</v>
      </c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4131</v>
      </c>
      <c r="C37" s="88" t="s">
        <v>2606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27">
        <v>26</v>
      </c>
      <c r="B38" s="76" t="s">
        <v>4132</v>
      </c>
      <c r="C38" s="88" t="s">
        <v>3161</v>
      </c>
      <c r="D38" s="20"/>
      <c r="E38" s="14"/>
      <c r="F38" s="14"/>
      <c r="G38" s="14"/>
      <c r="H38" s="14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48">
        <v>27</v>
      </c>
      <c r="B39" s="76" t="s">
        <v>4133</v>
      </c>
      <c r="C39" s="88" t="s">
        <v>2539</v>
      </c>
      <c r="D39" s="47"/>
      <c r="E39" s="47"/>
      <c r="F39" s="47"/>
      <c r="G39" s="47"/>
      <c r="H39" s="47"/>
      <c r="I39" s="15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48">
        <v>28</v>
      </c>
      <c r="B40" s="76" t="s">
        <v>4134</v>
      </c>
      <c r="C40" s="88" t="s">
        <v>1018</v>
      </c>
      <c r="D40" s="47"/>
      <c r="E40" s="47"/>
      <c r="F40" s="47"/>
      <c r="G40" s="47"/>
      <c r="H40" s="47"/>
      <c r="I40" s="15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48">
        <v>29</v>
      </c>
      <c r="B41" s="76" t="s">
        <v>4135</v>
      </c>
      <c r="C41" s="88" t="s">
        <v>1447</v>
      </c>
      <c r="D41" s="47"/>
      <c r="E41" s="47"/>
      <c r="F41" s="47"/>
      <c r="G41" s="47"/>
      <c r="H41" s="47"/>
      <c r="I41" s="15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48">
        <v>30</v>
      </c>
      <c r="B42" s="76" t="s">
        <v>4136</v>
      </c>
      <c r="C42" s="88" t="s">
        <v>3793</v>
      </c>
      <c r="D42" s="47"/>
      <c r="E42" s="47"/>
      <c r="F42" s="47"/>
      <c r="G42" s="47"/>
      <c r="H42" s="47"/>
      <c r="I42" s="20"/>
      <c r="J42" s="14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48">
        <v>31</v>
      </c>
      <c r="B43" s="59"/>
      <c r="C43" s="51"/>
      <c r="D43" s="47"/>
      <c r="E43" s="47"/>
      <c r="F43" s="47"/>
      <c r="G43" s="47"/>
      <c r="H43" s="47"/>
      <c r="I43" s="60"/>
      <c r="J43" s="47"/>
      <c r="K43" s="15"/>
      <c r="L43" s="12"/>
      <c r="M43" s="12"/>
      <c r="N43" s="12"/>
      <c r="O43" s="12"/>
      <c r="P43" s="12"/>
      <c r="Q43" s="12"/>
    </row>
    <row r="44" spans="1:17" ht="15.75" customHeight="1" x14ac:dyDescent="0.25">
      <c r="A44" s="48">
        <v>32</v>
      </c>
      <c r="B44" s="59"/>
      <c r="C44" s="51"/>
      <c r="D44" s="47"/>
      <c r="E44" s="47"/>
      <c r="F44" s="47"/>
      <c r="G44" s="47"/>
      <c r="H44" s="47"/>
      <c r="I44" s="60"/>
      <c r="J44" s="47"/>
      <c r="K44" s="15"/>
      <c r="L44" s="12"/>
      <c r="M44" s="12"/>
      <c r="N44" s="12"/>
      <c r="O44" s="12"/>
      <c r="P44" s="12"/>
      <c r="Q44" s="12"/>
    </row>
    <row r="45" spans="1:17" ht="15.75" customHeight="1" x14ac:dyDescent="0.25">
      <c r="A45" s="48">
        <v>33</v>
      </c>
      <c r="B45" s="50"/>
      <c r="C45" s="50"/>
      <c r="D45" s="47"/>
      <c r="E45" s="47"/>
      <c r="F45" s="47"/>
      <c r="G45" s="47"/>
      <c r="H45" s="47"/>
      <c r="I45" s="60"/>
      <c r="J45" s="47"/>
      <c r="K45" s="15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50"/>
      <c r="C46" s="50"/>
      <c r="D46" s="47"/>
      <c r="E46" s="47"/>
      <c r="F46" s="47"/>
      <c r="G46" s="47"/>
      <c r="H46" s="47"/>
      <c r="I46" s="60"/>
      <c r="J46" s="47"/>
      <c r="K46" s="15"/>
      <c r="L46" s="12"/>
      <c r="M46" s="12"/>
      <c r="N46" s="12"/>
      <c r="O46" s="12"/>
      <c r="P46" s="12"/>
      <c r="Q46" s="12"/>
    </row>
    <row r="47" spans="1:17" ht="15.75" customHeight="1" x14ac:dyDescent="0.25">
      <c r="A47" s="48">
        <v>35</v>
      </c>
      <c r="B47" s="50"/>
      <c r="C47" s="50"/>
      <c r="D47" s="47"/>
      <c r="E47" s="47"/>
      <c r="F47" s="47"/>
      <c r="G47" s="47"/>
      <c r="H47" s="47"/>
      <c r="I47" s="60"/>
      <c r="J47" s="47"/>
      <c r="K47" s="15"/>
      <c r="L47" s="12"/>
      <c r="M47" s="12"/>
      <c r="N47" s="12"/>
      <c r="O47" s="12"/>
      <c r="P47" s="12"/>
      <c r="Q47" s="12"/>
    </row>
    <row r="48" spans="1:17" ht="15.75" customHeight="1" x14ac:dyDescent="0.25">
      <c r="A48" s="48">
        <v>36</v>
      </c>
      <c r="B48" s="50"/>
      <c r="C48" s="50"/>
      <c r="D48" s="47"/>
      <c r="E48" s="47"/>
      <c r="F48" s="47"/>
      <c r="G48" s="47"/>
      <c r="H48" s="47"/>
      <c r="I48" s="60"/>
      <c r="J48" s="47"/>
      <c r="K48" s="15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4061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2">
    <sortCondition ref="C13:C42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Q1000"/>
  <sheetViews>
    <sheetView workbookViewId="0">
      <selection activeCell="C18" sqref="C18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0.140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3991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4011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4137</v>
      </c>
      <c r="C13" s="88" t="s">
        <v>2598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4138</v>
      </c>
      <c r="C14" s="88" t="s">
        <v>2280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4139</v>
      </c>
      <c r="C15" s="88" t="s">
        <v>1408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4140</v>
      </c>
      <c r="C16" s="88" t="s">
        <v>3279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4141</v>
      </c>
      <c r="C17" s="88" t="s">
        <v>2620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4142</v>
      </c>
      <c r="C18" s="88" t="s">
        <v>2972</v>
      </c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4143</v>
      </c>
      <c r="C19" s="88" t="s">
        <v>2100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4144</v>
      </c>
      <c r="C20" s="88" t="s">
        <v>3684</v>
      </c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4145</v>
      </c>
      <c r="C21" s="88" t="s">
        <v>1280</v>
      </c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4146</v>
      </c>
      <c r="C22" s="88" t="s">
        <v>1073</v>
      </c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4147</v>
      </c>
      <c r="C23" s="93" t="s">
        <v>3962</v>
      </c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4148</v>
      </c>
      <c r="C24" s="88" t="s">
        <v>756</v>
      </c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4149</v>
      </c>
      <c r="C25" s="88" t="s">
        <v>3772</v>
      </c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4150</v>
      </c>
      <c r="C26" s="88" t="s">
        <v>1701</v>
      </c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4151</v>
      </c>
      <c r="C27" s="88" t="s">
        <v>3939</v>
      </c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4152</v>
      </c>
      <c r="C28" s="88" t="s">
        <v>1805</v>
      </c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4153</v>
      </c>
      <c r="C29" s="88" t="s">
        <v>924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4154</v>
      </c>
      <c r="C30" s="88" t="s">
        <v>3869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4155</v>
      </c>
      <c r="C31" s="88" t="s">
        <v>2492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4156</v>
      </c>
      <c r="C32" s="88" t="s">
        <v>1737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4157</v>
      </c>
      <c r="C33" s="88" t="s">
        <v>2578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4158</v>
      </c>
      <c r="C34" s="88" t="s">
        <v>1929</v>
      </c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4159</v>
      </c>
      <c r="C35" s="88" t="s">
        <v>3262</v>
      </c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27">
        <v>24</v>
      </c>
      <c r="B36" s="76" t="s">
        <v>4160</v>
      </c>
      <c r="C36" s="88" t="s">
        <v>3430</v>
      </c>
      <c r="D36" s="20"/>
      <c r="E36" s="14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120">
        <v>25</v>
      </c>
      <c r="B37" s="99" t="s">
        <v>4161</v>
      </c>
      <c r="C37" s="114" t="s">
        <v>1211</v>
      </c>
      <c r="D37" s="63"/>
      <c r="E37" s="63"/>
      <c r="F37" s="20"/>
      <c r="G37" s="14"/>
      <c r="H37" s="14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48">
        <v>26</v>
      </c>
      <c r="B38" s="85" t="s">
        <v>4162</v>
      </c>
      <c r="C38" s="88" t="s">
        <v>4516</v>
      </c>
      <c r="D38" s="47"/>
      <c r="E38" s="47"/>
      <c r="F38" s="47"/>
      <c r="G38" s="47"/>
      <c r="H38" s="47"/>
      <c r="I38" s="15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48">
        <v>27</v>
      </c>
      <c r="B39" s="85" t="s">
        <v>4163</v>
      </c>
      <c r="C39" s="88" t="s">
        <v>3396</v>
      </c>
      <c r="D39" s="47"/>
      <c r="E39" s="47"/>
      <c r="F39" s="47"/>
      <c r="G39" s="47"/>
      <c r="H39" s="47"/>
      <c r="I39" s="20"/>
      <c r="J39" s="14"/>
      <c r="K39" s="14"/>
      <c r="L39" s="14"/>
      <c r="M39" s="12"/>
      <c r="N39" s="12"/>
      <c r="O39" s="12"/>
      <c r="P39" s="12"/>
      <c r="Q39" s="12"/>
    </row>
    <row r="40" spans="1:17" ht="15.75" customHeight="1" x14ac:dyDescent="0.25">
      <c r="A40" s="48">
        <v>28</v>
      </c>
      <c r="B40" s="85" t="s">
        <v>4165</v>
      </c>
      <c r="C40" s="88" t="s">
        <v>1714</v>
      </c>
      <c r="D40" s="47"/>
      <c r="E40" s="47"/>
      <c r="F40" s="47"/>
      <c r="G40" s="47"/>
      <c r="H40" s="47"/>
      <c r="I40" s="60"/>
      <c r="J40" s="47"/>
      <c r="K40" s="47"/>
      <c r="L40" s="47"/>
      <c r="M40" s="15"/>
      <c r="N40" s="12"/>
      <c r="O40" s="12"/>
      <c r="P40" s="12"/>
      <c r="Q40" s="12"/>
    </row>
    <row r="41" spans="1:17" ht="15.75" customHeight="1" x14ac:dyDescent="0.25">
      <c r="A41" s="48">
        <v>29</v>
      </c>
      <c r="B41" s="85" t="s">
        <v>4166</v>
      </c>
      <c r="C41" s="88" t="s">
        <v>2322</v>
      </c>
      <c r="D41" s="47"/>
      <c r="E41" s="47"/>
      <c r="F41" s="47"/>
      <c r="G41" s="47"/>
      <c r="H41" s="47"/>
      <c r="I41" s="60"/>
      <c r="J41" s="47"/>
      <c r="K41" s="47"/>
      <c r="L41" s="47"/>
      <c r="M41" s="15"/>
      <c r="N41" s="12"/>
      <c r="O41" s="12"/>
      <c r="P41" s="12"/>
      <c r="Q41" s="12"/>
    </row>
    <row r="42" spans="1:17" ht="15.75" customHeight="1" x14ac:dyDescent="0.25">
      <c r="A42" s="48">
        <v>30</v>
      </c>
      <c r="B42" s="85" t="s">
        <v>4167</v>
      </c>
      <c r="C42" s="88" t="s">
        <v>1401</v>
      </c>
      <c r="D42" s="47"/>
      <c r="E42" s="47"/>
      <c r="F42" s="47"/>
      <c r="G42" s="47"/>
      <c r="H42" s="47"/>
      <c r="I42" s="60"/>
      <c r="J42" s="47"/>
      <c r="K42" s="47"/>
      <c r="L42" s="47"/>
      <c r="M42" s="15"/>
      <c r="N42" s="12"/>
      <c r="O42" s="12"/>
      <c r="P42" s="12"/>
      <c r="Q42" s="12"/>
    </row>
    <row r="43" spans="1:17" ht="15.75" customHeight="1" x14ac:dyDescent="0.25">
      <c r="A43" s="48">
        <v>31</v>
      </c>
      <c r="B43" s="85" t="s">
        <v>4168</v>
      </c>
      <c r="C43" s="88" t="s">
        <v>1512</v>
      </c>
      <c r="D43" s="47"/>
      <c r="E43" s="47"/>
      <c r="F43" s="47"/>
      <c r="G43" s="47"/>
      <c r="H43" s="47"/>
      <c r="I43" s="60"/>
      <c r="J43" s="47"/>
      <c r="K43" s="47"/>
      <c r="L43" s="47"/>
      <c r="M43" s="15"/>
      <c r="N43" s="12"/>
      <c r="O43" s="12"/>
      <c r="P43" s="12"/>
      <c r="Q43" s="12"/>
    </row>
    <row r="44" spans="1:17" ht="15.75" customHeight="1" x14ac:dyDescent="0.25">
      <c r="A44" s="48">
        <v>32</v>
      </c>
      <c r="B44" s="50"/>
      <c r="C44" s="50"/>
      <c r="D44" s="47"/>
      <c r="E44" s="47"/>
      <c r="F44" s="47"/>
      <c r="G44" s="47"/>
      <c r="H44" s="47"/>
      <c r="I44" s="60"/>
      <c r="J44" s="47"/>
      <c r="K44" s="47"/>
      <c r="L44" s="47"/>
      <c r="M44" s="15"/>
      <c r="N44" s="12"/>
      <c r="O44" s="12"/>
      <c r="P44" s="12"/>
      <c r="Q44" s="12"/>
    </row>
    <row r="45" spans="1:17" ht="15.75" customHeight="1" x14ac:dyDescent="0.25">
      <c r="A45" s="48">
        <v>33</v>
      </c>
      <c r="B45" s="85"/>
      <c r="C45" s="88"/>
      <c r="D45" s="47"/>
      <c r="E45" s="47"/>
      <c r="F45" s="47"/>
      <c r="G45" s="47"/>
      <c r="H45" s="47"/>
      <c r="I45" s="60"/>
      <c r="J45" s="47"/>
      <c r="K45" s="47"/>
      <c r="L45" s="47"/>
      <c r="M45" s="15"/>
      <c r="N45" s="12"/>
      <c r="O45" s="12"/>
      <c r="P45" s="12"/>
      <c r="Q45" s="12"/>
    </row>
    <row r="46" spans="1:17" ht="15.75" customHeight="1" x14ac:dyDescent="0.25">
      <c r="A46" s="48">
        <v>34</v>
      </c>
      <c r="B46" s="50"/>
      <c r="C46" s="50"/>
      <c r="D46" s="47"/>
      <c r="E46" s="47"/>
      <c r="F46" s="47"/>
      <c r="G46" s="47"/>
      <c r="H46" s="47"/>
      <c r="I46" s="60"/>
      <c r="J46" s="47"/>
      <c r="K46" s="47"/>
      <c r="L46" s="47"/>
      <c r="M46" s="15"/>
      <c r="N46" s="12"/>
      <c r="O46" s="12"/>
      <c r="P46" s="12"/>
      <c r="Q46" s="12"/>
    </row>
    <row r="47" spans="1:17" ht="15.75" customHeight="1" x14ac:dyDescent="0.25">
      <c r="A47" s="48">
        <v>35</v>
      </c>
      <c r="B47" s="50"/>
      <c r="C47" s="50"/>
      <c r="D47" s="47"/>
      <c r="E47" s="47"/>
      <c r="F47" s="47"/>
      <c r="G47" s="47"/>
      <c r="H47" s="47"/>
      <c r="I47" s="47"/>
      <c r="J47" s="47"/>
      <c r="K47" s="47"/>
      <c r="L47" s="47"/>
      <c r="M47" s="15"/>
      <c r="N47" s="12"/>
      <c r="O47" s="12"/>
      <c r="P47" s="12"/>
      <c r="Q47" s="12"/>
    </row>
    <row r="48" spans="1:17" ht="15.75" customHeight="1" x14ac:dyDescent="0.25">
      <c r="A48" s="48">
        <v>36</v>
      </c>
      <c r="B48" s="49"/>
      <c r="C48" s="65"/>
      <c r="D48" s="47"/>
      <c r="E48" s="47"/>
      <c r="F48" s="47"/>
      <c r="G48" s="47"/>
      <c r="H48" s="47"/>
      <c r="I48" s="47"/>
      <c r="J48" s="47"/>
      <c r="K48" s="47"/>
      <c r="L48" s="47"/>
      <c r="M48" s="15"/>
      <c r="N48" s="12"/>
      <c r="O48" s="12"/>
      <c r="P48" s="12"/>
      <c r="Q48" s="12"/>
    </row>
    <row r="49" spans="1:17" ht="15.75" customHeight="1" x14ac:dyDescent="0.25">
      <c r="A49" s="21"/>
      <c r="B49" s="13"/>
      <c r="C49" s="1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4523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4">
    <sortCondition ref="C44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Q1000"/>
  <sheetViews>
    <sheetView topLeftCell="A7" workbookViewId="0">
      <selection activeCell="C66" sqref="C66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5" bestFit="1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3990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4012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25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6" t="s">
        <v>17</v>
      </c>
      <c r="J12" s="6" t="s">
        <v>18</v>
      </c>
      <c r="K12" s="6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4169</v>
      </c>
      <c r="C13" s="93" t="s">
        <v>1776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4170</v>
      </c>
      <c r="C14" s="93" t="s">
        <v>717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4171</v>
      </c>
      <c r="C15" s="93" t="s">
        <v>1259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4172</v>
      </c>
      <c r="C16" s="93" t="s">
        <v>789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4173</v>
      </c>
      <c r="C17" s="93" t="s">
        <v>1191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4174</v>
      </c>
      <c r="C18" s="93" t="s">
        <v>1553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4175</v>
      </c>
      <c r="C19" s="93" t="s">
        <v>1085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4176</v>
      </c>
      <c r="C20" s="93" t="s">
        <v>1255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4177</v>
      </c>
      <c r="C21" s="93" t="s">
        <v>1583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4178</v>
      </c>
      <c r="C22" s="93" t="s">
        <v>1439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113" t="s">
        <v>4512</v>
      </c>
      <c r="C23" s="112" t="s">
        <v>4506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4179</v>
      </c>
      <c r="C24" s="93" t="s">
        <v>4060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4180</v>
      </c>
      <c r="C25" s="93" t="s">
        <v>822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4181</v>
      </c>
      <c r="C26" s="93" t="s">
        <v>918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4182</v>
      </c>
      <c r="C27" s="93" t="s">
        <v>1533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4183</v>
      </c>
      <c r="C28" s="93" t="s">
        <v>1065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4184</v>
      </c>
      <c r="C29" s="93" t="s">
        <v>1118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4185</v>
      </c>
      <c r="C30" s="93" t="s">
        <v>1770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4186</v>
      </c>
      <c r="C31" s="93" t="s">
        <v>878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4187</v>
      </c>
      <c r="C32" s="93" t="s">
        <v>1309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4188</v>
      </c>
      <c r="C33" s="93" t="s">
        <v>1888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4189</v>
      </c>
      <c r="C34" s="93" t="s">
        <v>850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4190</v>
      </c>
      <c r="C35" s="93" t="s">
        <v>1856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4191</v>
      </c>
      <c r="C36" s="93" t="s">
        <v>1004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4192</v>
      </c>
      <c r="C37" s="93" t="s">
        <v>1486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76" t="s">
        <v>4193</v>
      </c>
      <c r="C38" s="93" t="s">
        <v>1091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9">
        <v>27</v>
      </c>
      <c r="B39" s="76" t="s">
        <v>4194</v>
      </c>
      <c r="C39" s="93" t="s">
        <v>1707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9">
        <v>28</v>
      </c>
      <c r="B40" s="76" t="s">
        <v>4195</v>
      </c>
      <c r="C40" s="93" t="s">
        <v>1232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9">
        <v>29</v>
      </c>
      <c r="B41" s="76" t="s">
        <v>4196</v>
      </c>
      <c r="C41" s="93" t="s">
        <v>902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9">
        <v>30</v>
      </c>
      <c r="B42" s="76" t="s">
        <v>4197</v>
      </c>
      <c r="C42" s="93" t="s">
        <v>659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9">
        <v>31</v>
      </c>
      <c r="B43" s="76" t="s">
        <v>4198</v>
      </c>
      <c r="C43" s="93" t="s">
        <v>804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9">
        <v>32</v>
      </c>
      <c r="B44" s="76" t="s">
        <v>4199</v>
      </c>
      <c r="C44" s="93" t="s">
        <v>1182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27">
        <v>33</v>
      </c>
      <c r="B45" s="76" t="s">
        <v>4200</v>
      </c>
      <c r="C45" s="93" t="s">
        <v>1750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76" t="s">
        <v>4201</v>
      </c>
      <c r="C46" s="93" t="s">
        <v>1316</v>
      </c>
      <c r="D46" s="15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48">
        <v>35</v>
      </c>
      <c r="B47" s="59"/>
      <c r="C47" s="51"/>
      <c r="D47" s="15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48">
        <v>36</v>
      </c>
      <c r="B48" s="59"/>
      <c r="C48" s="51"/>
      <c r="D48" s="15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4529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5">
    <sortCondition ref="C13:C45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Q1000"/>
  <sheetViews>
    <sheetView workbookViewId="0">
      <selection activeCell="B13" sqref="B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6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4013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4202</v>
      </c>
      <c r="C13" s="93" t="s">
        <v>1637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4203</v>
      </c>
      <c r="C14" s="93" t="s">
        <v>2014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4204</v>
      </c>
      <c r="C15" s="93" t="s">
        <v>2909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4205</v>
      </c>
      <c r="C16" s="93" t="s">
        <v>2258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4206</v>
      </c>
      <c r="C17" s="93" t="s">
        <v>2117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4207</v>
      </c>
      <c r="C18" s="93" t="s">
        <v>3112</v>
      </c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4208</v>
      </c>
      <c r="C19" s="93" t="s">
        <v>2865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4209</v>
      </c>
      <c r="C20" s="93" t="s">
        <v>2027</v>
      </c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4210</v>
      </c>
      <c r="C21" s="93" t="s">
        <v>2891</v>
      </c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4211</v>
      </c>
      <c r="C22" s="93" t="s">
        <v>2313</v>
      </c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4212</v>
      </c>
      <c r="C23" s="93" t="s">
        <v>2105</v>
      </c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4213</v>
      </c>
      <c r="C24" s="93" t="s">
        <v>1906</v>
      </c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4214</v>
      </c>
      <c r="C25" s="93" t="s">
        <v>2824</v>
      </c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4215</v>
      </c>
      <c r="C26" s="93" t="s">
        <v>2811</v>
      </c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4216</v>
      </c>
      <c r="C27" s="93" t="s">
        <v>3077</v>
      </c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4217</v>
      </c>
      <c r="C28" s="93" t="s">
        <v>4519</v>
      </c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4218</v>
      </c>
      <c r="C29" s="93" t="s">
        <v>2377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4219</v>
      </c>
      <c r="C30" s="93" t="s">
        <v>2251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4220</v>
      </c>
      <c r="C31" s="93" t="s">
        <v>2693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4221</v>
      </c>
      <c r="C32" s="93" t="s">
        <v>2055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4222</v>
      </c>
      <c r="C33" s="93" t="s">
        <v>2271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4223</v>
      </c>
      <c r="C34" s="93" t="s">
        <v>2873</v>
      </c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4224</v>
      </c>
      <c r="C35" s="93" t="s">
        <v>2398</v>
      </c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4225</v>
      </c>
      <c r="C36" s="93" t="s">
        <v>2704</v>
      </c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4226</v>
      </c>
      <c r="C37" s="93" t="s">
        <v>2167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76" t="s">
        <v>4227</v>
      </c>
      <c r="C38" s="93" t="s">
        <v>2020</v>
      </c>
      <c r="D38" s="15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27">
        <v>27</v>
      </c>
      <c r="B39" s="76" t="s">
        <v>4228</v>
      </c>
      <c r="C39" s="93" t="s">
        <v>2729</v>
      </c>
      <c r="D39" s="20"/>
      <c r="E39" s="14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9">
        <v>28</v>
      </c>
      <c r="B40" s="76" t="s">
        <v>4229</v>
      </c>
      <c r="C40" s="93" t="s">
        <v>2354</v>
      </c>
      <c r="D40" s="15"/>
      <c r="E40" s="12"/>
      <c r="F40" s="15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9">
        <v>29</v>
      </c>
      <c r="B41" s="76" t="s">
        <v>4230</v>
      </c>
      <c r="C41" s="93" t="s">
        <v>2035</v>
      </c>
      <c r="D41" s="15"/>
      <c r="E41" s="12"/>
      <c r="F41" s="20"/>
      <c r="G41" s="14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9">
        <v>30</v>
      </c>
      <c r="B42" s="76" t="s">
        <v>4231</v>
      </c>
      <c r="C42" s="93" t="s">
        <v>2897</v>
      </c>
      <c r="D42" s="15"/>
      <c r="E42" s="12"/>
      <c r="F42" s="15"/>
      <c r="G42" s="12"/>
      <c r="H42" s="15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9">
        <v>31</v>
      </c>
      <c r="B43" s="76" t="s">
        <v>4232</v>
      </c>
      <c r="C43" s="93" t="s">
        <v>2334</v>
      </c>
      <c r="D43" s="15"/>
      <c r="E43" s="12"/>
      <c r="F43" s="15"/>
      <c r="G43" s="12"/>
      <c r="H43" s="15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9">
        <v>32</v>
      </c>
      <c r="B44" s="97"/>
      <c r="C44" s="50"/>
      <c r="D44" s="15"/>
      <c r="E44" s="12"/>
      <c r="F44" s="15"/>
      <c r="G44" s="12"/>
      <c r="H44" s="15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9">
        <v>33</v>
      </c>
      <c r="B45" s="97"/>
      <c r="C45" s="93"/>
      <c r="D45" s="15"/>
      <c r="E45" s="12"/>
      <c r="F45" s="15"/>
      <c r="G45" s="12"/>
      <c r="H45" s="15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9">
        <v>34</v>
      </c>
      <c r="B46" s="10"/>
      <c r="C46" s="17"/>
      <c r="D46" s="12"/>
      <c r="E46" s="12"/>
      <c r="F46" s="12"/>
      <c r="G46" s="12"/>
      <c r="H46" s="15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9">
        <v>35</v>
      </c>
      <c r="B47" s="10"/>
      <c r="C47" s="26"/>
      <c r="D47" s="12"/>
      <c r="E47" s="12"/>
      <c r="F47" s="12"/>
      <c r="G47" s="12"/>
      <c r="H47" s="15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28">
        <v>36</v>
      </c>
      <c r="B48" s="16"/>
      <c r="C48" s="17"/>
      <c r="D48" s="29"/>
      <c r="E48" s="19"/>
      <c r="F48" s="19"/>
      <c r="G48" s="19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4062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3">
    <sortCondition ref="C13:C43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Q1000"/>
  <sheetViews>
    <sheetView topLeftCell="A23" workbookViewId="0">
      <selection activeCell="C36" sqref="C36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6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3993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4014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4233</v>
      </c>
      <c r="C13" s="88" t="s">
        <v>1894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4234</v>
      </c>
      <c r="C14" s="88" t="s">
        <v>1478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4235</v>
      </c>
      <c r="C15" s="88" t="s">
        <v>1744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4236</v>
      </c>
      <c r="C16" s="88" t="s">
        <v>3477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4237</v>
      </c>
      <c r="C17" s="88" t="s">
        <v>3891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4238</v>
      </c>
      <c r="C18" s="88" t="s">
        <v>3802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4239</v>
      </c>
      <c r="C19" s="88" t="s">
        <v>2446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4240</v>
      </c>
      <c r="C20" s="89" t="s">
        <v>1288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4241</v>
      </c>
      <c r="C21" s="88" t="s">
        <v>3483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4242</v>
      </c>
      <c r="C22" s="88" t="s">
        <v>3880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4243</v>
      </c>
      <c r="C23" s="88" t="s">
        <v>3819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4244</v>
      </c>
      <c r="C24" s="88" t="s">
        <v>1923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4245</v>
      </c>
      <c r="C25" s="88" t="s">
        <v>3748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4246</v>
      </c>
      <c r="C26" s="88" t="s">
        <v>1517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4247</v>
      </c>
      <c r="C27" s="88" t="s">
        <v>3695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4248</v>
      </c>
      <c r="C28" s="88" t="s">
        <v>2636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4249</v>
      </c>
      <c r="C29" s="88" t="s">
        <v>3955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4250</v>
      </c>
      <c r="C30" s="89" t="s">
        <v>739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4251</v>
      </c>
      <c r="C31" s="88" t="s">
        <v>1499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4252</v>
      </c>
      <c r="C32" s="88" t="s">
        <v>2544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4253</v>
      </c>
      <c r="C33" s="88" t="s">
        <v>3948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4254</v>
      </c>
      <c r="C34" s="88" t="s">
        <v>1428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4255</v>
      </c>
      <c r="C35" s="88" t="s">
        <v>3542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4256</v>
      </c>
      <c r="C36" s="88" t="s">
        <v>3531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4257</v>
      </c>
      <c r="C37" s="88" t="s">
        <v>3678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76" t="s">
        <v>4258</v>
      </c>
      <c r="C38" s="88" t="s">
        <v>3182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9">
        <v>27</v>
      </c>
      <c r="B39" s="76" t="s">
        <v>4259</v>
      </c>
      <c r="C39" s="88" t="s">
        <v>2187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9">
        <v>28</v>
      </c>
      <c r="B40" s="76" t="s">
        <v>4260</v>
      </c>
      <c r="C40" s="88" t="s">
        <v>3755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9">
        <v>29</v>
      </c>
      <c r="B41" s="76" t="s">
        <v>4261</v>
      </c>
      <c r="C41" s="88" t="s">
        <v>2132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27">
        <v>30</v>
      </c>
      <c r="B42" s="76" t="s">
        <v>4262</v>
      </c>
      <c r="C42" s="88" t="s">
        <v>3354</v>
      </c>
      <c r="D42" s="14"/>
      <c r="E42" s="14"/>
      <c r="F42" s="14"/>
      <c r="G42" s="14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48">
        <v>31</v>
      </c>
      <c r="B43" s="76" t="s">
        <v>4263</v>
      </c>
      <c r="C43" s="88" t="s">
        <v>3903</v>
      </c>
      <c r="D43" s="47"/>
      <c r="E43" s="47"/>
      <c r="F43" s="47"/>
      <c r="G43" s="47"/>
      <c r="H43" s="15"/>
      <c r="I43" s="12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48">
        <v>32</v>
      </c>
      <c r="B44" s="76" t="s">
        <v>4264</v>
      </c>
      <c r="C44" s="88" t="s">
        <v>769</v>
      </c>
      <c r="D44" s="47"/>
      <c r="E44" s="47"/>
      <c r="F44" s="47"/>
      <c r="G44" s="47"/>
      <c r="H44" s="15"/>
      <c r="I44" s="12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48">
        <v>33</v>
      </c>
      <c r="B45" s="76" t="s">
        <v>4265</v>
      </c>
      <c r="C45" s="88" t="s">
        <v>3460</v>
      </c>
      <c r="D45" s="47"/>
      <c r="E45" s="47"/>
      <c r="F45" s="47"/>
      <c r="G45" s="47"/>
      <c r="H45" s="15"/>
      <c r="I45" s="12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76" t="s">
        <v>4266</v>
      </c>
      <c r="C46" s="88" t="s">
        <v>1616</v>
      </c>
      <c r="D46" s="47"/>
      <c r="E46" s="47"/>
      <c r="F46" s="47"/>
      <c r="G46" s="47"/>
      <c r="H46" s="15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48">
        <v>35</v>
      </c>
      <c r="B47" s="50"/>
      <c r="C47" s="50"/>
      <c r="D47" s="47"/>
      <c r="E47" s="47"/>
      <c r="F47" s="47"/>
      <c r="G47" s="47"/>
      <c r="H47" s="15"/>
      <c r="I47" s="12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48">
        <v>36</v>
      </c>
      <c r="B48" s="50"/>
      <c r="C48" s="50"/>
      <c r="D48" s="47"/>
      <c r="E48" s="47"/>
      <c r="F48" s="47"/>
      <c r="G48" s="47"/>
      <c r="H48" s="15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4062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6">
    <sortCondition ref="C13:C46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Q1000"/>
  <sheetViews>
    <sheetView topLeftCell="A22" workbookViewId="0">
      <selection activeCell="B13" sqref="B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7.42578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3994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4015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4267</v>
      </c>
      <c r="C13" s="93" t="s">
        <v>2817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4268</v>
      </c>
      <c r="C14" s="93" t="s">
        <v>2007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4269</v>
      </c>
      <c r="C15" s="93" t="s">
        <v>2276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4270</v>
      </c>
      <c r="C16" s="93" t="s">
        <v>2498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4271</v>
      </c>
      <c r="C17" s="93" t="s">
        <v>2063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4272</v>
      </c>
      <c r="C18" s="93" t="s">
        <v>2238</v>
      </c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4273</v>
      </c>
      <c r="C19" s="93" t="s">
        <v>2460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4274</v>
      </c>
      <c r="C20" s="93" t="s">
        <v>691</v>
      </c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4275</v>
      </c>
      <c r="C21" s="93" t="s">
        <v>3700</v>
      </c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4276</v>
      </c>
      <c r="C22" s="93" t="s">
        <v>1849</v>
      </c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4277</v>
      </c>
      <c r="C23" s="93" t="s">
        <v>2746</v>
      </c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4278</v>
      </c>
      <c r="C24" s="93" t="s">
        <v>2466</v>
      </c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4279</v>
      </c>
      <c r="C25" s="93" t="s">
        <v>2289</v>
      </c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4280</v>
      </c>
      <c r="C26" s="93" t="s">
        <v>1935</v>
      </c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4281</v>
      </c>
      <c r="C27" s="93" t="s">
        <v>1250</v>
      </c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4282</v>
      </c>
      <c r="C28" s="93" t="s">
        <v>1053</v>
      </c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4283</v>
      </c>
      <c r="C29" s="93" t="s">
        <v>4521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4284</v>
      </c>
      <c r="C30" s="93" t="s">
        <v>2433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4285</v>
      </c>
      <c r="C31" s="93" t="s">
        <v>1982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4286</v>
      </c>
      <c r="C32" s="93" t="s">
        <v>1324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4287</v>
      </c>
      <c r="C33" s="93" t="s">
        <v>1969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4288</v>
      </c>
      <c r="C34" s="93" t="s">
        <v>2503</v>
      </c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4289</v>
      </c>
      <c r="C35" s="93" t="s">
        <v>977</v>
      </c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4290</v>
      </c>
      <c r="C36" s="93" t="s">
        <v>1223</v>
      </c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4291</v>
      </c>
      <c r="C37" s="93" t="s">
        <v>1370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27">
        <v>26</v>
      </c>
      <c r="B38" s="76" t="s">
        <v>4292</v>
      </c>
      <c r="C38" s="93" t="s">
        <v>2454</v>
      </c>
      <c r="D38" s="20"/>
      <c r="E38" s="14"/>
      <c r="F38" s="14"/>
      <c r="G38" s="14"/>
      <c r="H38" s="14"/>
      <c r="I38" s="12"/>
      <c r="J38" s="12"/>
      <c r="K38" s="12"/>
      <c r="L38" s="12"/>
      <c r="M38" s="12"/>
      <c r="N38" s="12"/>
      <c r="O38" s="12"/>
      <c r="P38" s="12"/>
      <c r="Q38" s="12"/>
    </row>
    <row r="39" spans="1:17" ht="15.75" customHeight="1" x14ac:dyDescent="0.25">
      <c r="A39" s="48">
        <v>27</v>
      </c>
      <c r="B39" s="76" t="s">
        <v>4293</v>
      </c>
      <c r="C39" s="93" t="s">
        <v>3332</v>
      </c>
      <c r="D39" s="47"/>
      <c r="E39" s="47"/>
      <c r="F39" s="47"/>
      <c r="G39" s="47"/>
      <c r="H39" s="47"/>
      <c r="I39" s="15"/>
      <c r="J39" s="12"/>
      <c r="K39" s="12"/>
      <c r="L39" s="12"/>
      <c r="M39" s="12"/>
      <c r="N39" s="12"/>
      <c r="O39" s="12"/>
      <c r="P39" s="12"/>
      <c r="Q39" s="12"/>
    </row>
    <row r="40" spans="1:17" ht="15.75" customHeight="1" x14ac:dyDescent="0.25">
      <c r="A40" s="48">
        <v>28</v>
      </c>
      <c r="B40" s="76" t="s">
        <v>4294</v>
      </c>
      <c r="C40" s="93" t="s">
        <v>4515</v>
      </c>
      <c r="D40" s="47"/>
      <c r="E40" s="47"/>
      <c r="F40" s="47"/>
      <c r="G40" s="47"/>
      <c r="H40" s="47"/>
      <c r="I40" s="15"/>
      <c r="J40" s="12"/>
      <c r="K40" s="12"/>
      <c r="L40" s="12"/>
      <c r="M40" s="12"/>
      <c r="N40" s="12"/>
      <c r="O40" s="12"/>
      <c r="P40" s="12"/>
      <c r="Q40" s="12"/>
    </row>
    <row r="41" spans="1:17" ht="15.75" customHeight="1" x14ac:dyDescent="0.25">
      <c r="A41" s="48">
        <v>29</v>
      </c>
      <c r="B41" s="76" t="s">
        <v>4295</v>
      </c>
      <c r="C41" s="93" t="s">
        <v>1456</v>
      </c>
      <c r="D41" s="47"/>
      <c r="E41" s="47"/>
      <c r="F41" s="47"/>
      <c r="G41" s="47"/>
      <c r="H41" s="47"/>
      <c r="I41" s="15"/>
      <c r="J41" s="12"/>
      <c r="K41" s="12"/>
      <c r="L41" s="12"/>
      <c r="M41" s="12"/>
      <c r="N41" s="12"/>
      <c r="O41" s="12"/>
      <c r="P41" s="12"/>
      <c r="Q41" s="12"/>
    </row>
    <row r="42" spans="1:17" ht="15.75" customHeight="1" x14ac:dyDescent="0.25">
      <c r="A42" s="48">
        <v>30</v>
      </c>
      <c r="B42" s="76" t="s">
        <v>4296</v>
      </c>
      <c r="C42" s="93" t="s">
        <v>2212</v>
      </c>
      <c r="D42" s="47"/>
      <c r="E42" s="47"/>
      <c r="F42" s="47"/>
      <c r="G42" s="47"/>
      <c r="H42" s="47"/>
      <c r="I42" s="15"/>
      <c r="J42" s="12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48">
        <v>31</v>
      </c>
      <c r="B43" s="50"/>
      <c r="C43" s="93"/>
      <c r="D43" s="47"/>
      <c r="E43" s="47"/>
      <c r="F43" s="47"/>
      <c r="G43" s="47"/>
      <c r="H43" s="47"/>
      <c r="I43" s="15"/>
      <c r="J43" s="12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48">
        <v>32</v>
      </c>
      <c r="B44" s="50"/>
      <c r="C44" s="93"/>
      <c r="D44" s="47"/>
      <c r="E44" s="47"/>
      <c r="F44" s="47"/>
      <c r="G44" s="47"/>
      <c r="H44" s="47"/>
      <c r="I44" s="15"/>
      <c r="J44" s="12"/>
      <c r="K44" s="12"/>
      <c r="L44" s="12"/>
      <c r="M44" s="12"/>
      <c r="N44" s="12"/>
      <c r="O44" s="12"/>
      <c r="P44" s="12"/>
      <c r="Q44" s="12"/>
    </row>
    <row r="45" spans="1:17" ht="15.75" customHeight="1" x14ac:dyDescent="0.25">
      <c r="A45" s="48">
        <v>33</v>
      </c>
      <c r="B45" s="50"/>
      <c r="C45" s="93"/>
      <c r="D45" s="47"/>
      <c r="E45" s="47"/>
      <c r="F45" s="47"/>
      <c r="G45" s="47"/>
      <c r="H45" s="47"/>
      <c r="I45" s="15"/>
      <c r="J45" s="12"/>
      <c r="K45" s="12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49"/>
      <c r="C46" s="70"/>
      <c r="D46" s="47"/>
      <c r="E46" s="47"/>
      <c r="F46" s="47"/>
      <c r="G46" s="47"/>
      <c r="H46" s="47"/>
      <c r="I46" s="15"/>
      <c r="J46" s="12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48">
        <v>35</v>
      </c>
      <c r="B47" s="49"/>
      <c r="C47" s="70"/>
      <c r="D47" s="47"/>
      <c r="E47" s="47"/>
      <c r="F47" s="47"/>
      <c r="G47" s="47"/>
      <c r="H47" s="47"/>
      <c r="I47" s="15"/>
      <c r="J47" s="12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28">
        <v>36</v>
      </c>
      <c r="B48" s="28"/>
      <c r="C48" s="17"/>
      <c r="D48" s="19"/>
      <c r="E48" s="19"/>
      <c r="F48" s="19"/>
      <c r="G48" s="19"/>
      <c r="H48" s="19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4063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3">
    <sortCondition ref="C13:C43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6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6DDE8"/>
    <pageSetUpPr fitToPage="1"/>
  </sheetPr>
  <dimension ref="A1:Z1000"/>
  <sheetViews>
    <sheetView tabSelected="1" workbookViewId="0">
      <selection activeCell="A64" sqref="A64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0.85546875" bestFit="1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3995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4016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4297</v>
      </c>
      <c r="C13" s="88" t="s">
        <v>871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27">
        <v>2</v>
      </c>
      <c r="B14" s="76" t="s">
        <v>4298</v>
      </c>
      <c r="C14" s="88" t="s">
        <v>631</v>
      </c>
      <c r="D14" s="2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4299</v>
      </c>
      <c r="C15" s="88" t="s">
        <v>1392</v>
      </c>
      <c r="D15" s="12"/>
      <c r="E15" s="1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27">
        <v>4</v>
      </c>
      <c r="B16" s="76" t="s">
        <v>4300</v>
      </c>
      <c r="C16" s="89" t="s">
        <v>3326</v>
      </c>
      <c r="D16" s="12"/>
      <c r="E16" s="15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4301</v>
      </c>
      <c r="C17" s="88" t="s">
        <v>970</v>
      </c>
      <c r="D17" s="12"/>
      <c r="E17" s="1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27">
        <v>6</v>
      </c>
      <c r="B18" s="76" t="s">
        <v>4302</v>
      </c>
      <c r="C18" s="88" t="s">
        <v>1962</v>
      </c>
      <c r="D18" s="12"/>
      <c r="E18" s="15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4303</v>
      </c>
      <c r="C19" s="88" t="s">
        <v>2916</v>
      </c>
      <c r="D19" s="14"/>
      <c r="E19" s="20"/>
      <c r="F19" s="14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27">
        <v>8</v>
      </c>
      <c r="B20" s="76" t="s">
        <v>4304</v>
      </c>
      <c r="C20" s="88" t="s">
        <v>4517</v>
      </c>
      <c r="D20" s="12"/>
      <c r="E20" s="12"/>
      <c r="F20" s="12"/>
      <c r="G20" s="15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4306</v>
      </c>
      <c r="C21" s="88" t="s">
        <v>3098</v>
      </c>
      <c r="D21" s="12"/>
      <c r="E21" s="12"/>
      <c r="F21" s="12"/>
      <c r="G21" s="15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27">
        <v>10</v>
      </c>
      <c r="B22" s="76" t="s">
        <v>4307</v>
      </c>
      <c r="C22" s="88" t="s">
        <v>2220</v>
      </c>
      <c r="D22" s="12"/>
      <c r="E22" s="12"/>
      <c r="F22" s="12"/>
      <c r="G22" s="15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4308</v>
      </c>
      <c r="C23" s="88" t="s">
        <v>1917</v>
      </c>
      <c r="D23" s="12"/>
      <c r="E23" s="12"/>
      <c r="F23" s="12"/>
      <c r="G23" s="15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27">
        <v>12</v>
      </c>
      <c r="B24" s="76" t="s">
        <v>4309</v>
      </c>
      <c r="C24" s="88" t="s">
        <v>2566</v>
      </c>
      <c r="D24" s="12"/>
      <c r="E24" s="12"/>
      <c r="F24" s="12"/>
      <c r="G24" s="15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4310</v>
      </c>
      <c r="C25" s="88" t="s">
        <v>1140</v>
      </c>
      <c r="D25" s="12"/>
      <c r="E25" s="12"/>
      <c r="F25" s="12"/>
      <c r="G25" s="15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27">
        <v>14</v>
      </c>
      <c r="B26" s="76" t="s">
        <v>4311</v>
      </c>
      <c r="C26" s="88" t="s">
        <v>1330</v>
      </c>
      <c r="D26" s="12"/>
      <c r="E26" s="12"/>
      <c r="F26" s="12"/>
      <c r="G26" s="15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4312</v>
      </c>
      <c r="C27" s="88" t="s">
        <v>2688</v>
      </c>
      <c r="D27" s="12"/>
      <c r="E27" s="12"/>
      <c r="F27" s="12"/>
      <c r="G27" s="15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27">
        <v>16</v>
      </c>
      <c r="B28" s="76" t="s">
        <v>4313</v>
      </c>
      <c r="C28" s="88" t="s">
        <v>2329</v>
      </c>
      <c r="D28" s="12"/>
      <c r="E28" s="12"/>
      <c r="F28" s="12"/>
      <c r="G28" s="15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4314</v>
      </c>
      <c r="C29" s="88" t="s">
        <v>1133</v>
      </c>
      <c r="D29" s="29"/>
      <c r="E29" s="19"/>
      <c r="F29" s="19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27">
        <v>18</v>
      </c>
      <c r="B30" s="76" t="s">
        <v>4315</v>
      </c>
      <c r="C30" s="88" t="s">
        <v>961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4316</v>
      </c>
      <c r="C31" s="88" t="s">
        <v>2805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27">
        <v>20</v>
      </c>
      <c r="B32" s="76" t="s">
        <v>4317</v>
      </c>
      <c r="C32" s="88" t="s">
        <v>1059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76" t="s">
        <v>4318</v>
      </c>
      <c r="C33" s="88" t="s">
        <v>3221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27">
        <v>22</v>
      </c>
      <c r="B34" s="76" t="s">
        <v>4319</v>
      </c>
      <c r="C34" s="88" t="s">
        <v>3500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76" t="s">
        <v>4320</v>
      </c>
      <c r="C35" s="88" t="s">
        <v>3690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27">
        <v>24</v>
      </c>
      <c r="B36" s="76" t="s">
        <v>4321</v>
      </c>
      <c r="C36" s="88" t="s">
        <v>2664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76" t="s">
        <v>4322</v>
      </c>
      <c r="C37" s="88" t="s">
        <v>1976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27">
        <v>26</v>
      </c>
      <c r="B38" s="76" t="s">
        <v>4323</v>
      </c>
      <c r="C38" s="88" t="s">
        <v>3227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76" t="s">
        <v>4324</v>
      </c>
      <c r="C39" s="88" t="s">
        <v>3520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27">
        <v>28</v>
      </c>
      <c r="B40" s="76" t="s">
        <v>4325</v>
      </c>
      <c r="C40" s="88" t="s">
        <v>1031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76" t="s">
        <v>4326</v>
      </c>
      <c r="C41" s="89" t="s">
        <v>2122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T41" s="13"/>
    </row>
    <row r="42" spans="1:26" ht="15.75" customHeight="1" x14ac:dyDescent="0.25">
      <c r="A42" s="27">
        <v>30</v>
      </c>
      <c r="B42" s="99" t="s">
        <v>4327</v>
      </c>
      <c r="C42" s="114" t="s">
        <v>2710</v>
      </c>
      <c r="D42" s="14"/>
      <c r="E42" s="14"/>
      <c r="F42" s="14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48">
        <v>31</v>
      </c>
      <c r="B43" s="85" t="s">
        <v>4328</v>
      </c>
      <c r="C43" s="89" t="s">
        <v>2753</v>
      </c>
      <c r="D43" s="47"/>
      <c r="E43" s="47"/>
      <c r="F43" s="47"/>
      <c r="G43" s="20"/>
      <c r="H43" s="14"/>
      <c r="I43" s="12"/>
      <c r="J43" s="12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48">
        <v>32</v>
      </c>
      <c r="B44" s="85" t="s">
        <v>4329</v>
      </c>
      <c r="C44" s="89" t="s">
        <v>3090</v>
      </c>
      <c r="D44" s="47"/>
      <c r="E44" s="47"/>
      <c r="F44" s="47"/>
      <c r="G44" s="60"/>
      <c r="H44" s="47"/>
      <c r="I44" s="15"/>
      <c r="J44" s="12"/>
      <c r="K44" s="12"/>
      <c r="L44" s="12"/>
      <c r="M44" s="12"/>
      <c r="N44" s="12"/>
      <c r="O44" s="12"/>
      <c r="P44" s="12"/>
      <c r="Q44" s="12"/>
    </row>
    <row r="45" spans="1:26" ht="15.75" customHeight="1" x14ac:dyDescent="0.25">
      <c r="A45" s="48">
        <v>33</v>
      </c>
      <c r="B45" s="85" t="s">
        <v>4330</v>
      </c>
      <c r="C45" s="88" t="s">
        <v>1578</v>
      </c>
      <c r="D45" s="47"/>
      <c r="E45" s="47"/>
      <c r="F45" s="47"/>
      <c r="G45" s="60"/>
      <c r="H45" s="47"/>
      <c r="I45" s="15"/>
      <c r="J45" s="12"/>
      <c r="K45" s="12"/>
      <c r="L45" s="12"/>
      <c r="M45" s="12"/>
      <c r="N45" s="12"/>
      <c r="O45" s="12"/>
      <c r="P45" s="12"/>
      <c r="Q45" s="12"/>
    </row>
    <row r="46" spans="1:26" ht="15.75" customHeight="1" x14ac:dyDescent="0.25">
      <c r="A46" s="48">
        <v>34</v>
      </c>
      <c r="B46" s="50"/>
      <c r="C46" s="50"/>
      <c r="D46" s="47"/>
      <c r="E46" s="47"/>
      <c r="F46" s="47"/>
      <c r="G46" s="60"/>
      <c r="H46" s="47"/>
      <c r="I46" s="15"/>
      <c r="J46" s="12"/>
      <c r="K46" s="12"/>
      <c r="L46" s="12"/>
      <c r="M46" s="12"/>
      <c r="N46" s="12"/>
      <c r="O46" s="12"/>
      <c r="P46" s="12"/>
      <c r="Q46" s="12"/>
    </row>
    <row r="47" spans="1:26" ht="15.75" customHeight="1" x14ac:dyDescent="0.25">
      <c r="A47" s="48">
        <v>35</v>
      </c>
      <c r="B47" s="50"/>
      <c r="C47" s="50"/>
      <c r="D47" s="47"/>
      <c r="E47" s="47"/>
      <c r="F47" s="47"/>
      <c r="G47" s="60"/>
      <c r="H47" s="47"/>
      <c r="I47" s="15"/>
      <c r="J47" s="12"/>
      <c r="K47" s="12"/>
      <c r="L47" s="12"/>
      <c r="M47" s="12"/>
      <c r="N47" s="12"/>
      <c r="O47" s="12"/>
      <c r="P47" s="12"/>
      <c r="Q47" s="12"/>
    </row>
    <row r="48" spans="1:26" ht="15.75" customHeight="1" x14ac:dyDescent="0.25">
      <c r="A48" s="48">
        <v>36</v>
      </c>
      <c r="B48" s="50"/>
      <c r="C48" s="50"/>
      <c r="D48" s="47"/>
      <c r="E48" s="47"/>
      <c r="F48" s="47"/>
      <c r="G48" s="60"/>
      <c r="H48" s="47"/>
      <c r="I48" s="15"/>
      <c r="J48" s="12"/>
      <c r="K48" s="12"/>
      <c r="L48" s="12"/>
      <c r="M48" s="12"/>
      <c r="N48" s="12"/>
      <c r="O48" s="12"/>
      <c r="P48" s="12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4529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6">
    <sortCondition ref="C13:C46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6DDE8"/>
    <pageSetUpPr fitToPage="1"/>
  </sheetPr>
  <dimension ref="A1:Z1000"/>
  <sheetViews>
    <sheetView topLeftCell="A19" workbookViewId="0">
      <selection activeCell="B13" sqref="B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0.28515625" bestFit="1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52" t="s">
        <v>3996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4017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4331</v>
      </c>
      <c r="C13" s="88" t="s">
        <v>2232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4332</v>
      </c>
      <c r="C14" s="88" t="s">
        <v>955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4333</v>
      </c>
      <c r="C15" s="88" t="s">
        <v>3056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4334</v>
      </c>
      <c r="C16" s="88" t="s">
        <v>3623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4335</v>
      </c>
      <c r="C17" s="88" t="s">
        <v>3446</v>
      </c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4336</v>
      </c>
      <c r="C18" s="88" t="s">
        <v>3559</v>
      </c>
      <c r="D18" s="1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4337</v>
      </c>
      <c r="C19" s="88" t="s">
        <v>2112</v>
      </c>
      <c r="D19" s="15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4338</v>
      </c>
      <c r="C20" s="88" t="s">
        <v>1493</v>
      </c>
      <c r="D20" s="15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4339</v>
      </c>
      <c r="C21" s="88" t="s">
        <v>2420</v>
      </c>
      <c r="D21" s="15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4340</v>
      </c>
      <c r="C22" s="88" t="s">
        <v>2550</v>
      </c>
      <c r="D22" s="15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4341</v>
      </c>
      <c r="C23" s="88" t="s">
        <v>2772</v>
      </c>
      <c r="D23" s="15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4342</v>
      </c>
      <c r="C24" s="88" t="s">
        <v>616</v>
      </c>
      <c r="D24" s="15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4343</v>
      </c>
      <c r="C25" s="88" t="s">
        <v>2228</v>
      </c>
      <c r="D25" s="15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4344</v>
      </c>
      <c r="C26" s="88" t="s">
        <v>3923</v>
      </c>
      <c r="D26" s="15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4345</v>
      </c>
      <c r="C27" s="88" t="s">
        <v>3195</v>
      </c>
      <c r="D27" s="15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4346</v>
      </c>
      <c r="C28" s="88" t="s">
        <v>1727</v>
      </c>
      <c r="D28" s="15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4347</v>
      </c>
      <c r="C29" s="88" t="s">
        <v>1947</v>
      </c>
      <c r="D29" s="15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4348</v>
      </c>
      <c r="C30" s="88" t="s">
        <v>1153</v>
      </c>
      <c r="D30" s="15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4349</v>
      </c>
      <c r="C31" s="88" t="s">
        <v>3189</v>
      </c>
      <c r="D31" s="15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4350</v>
      </c>
      <c r="C32" s="88" t="s">
        <v>1162</v>
      </c>
      <c r="D32" s="15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76" t="s">
        <v>4351</v>
      </c>
      <c r="C33" s="88" t="s">
        <v>3175</v>
      </c>
      <c r="D33" s="15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76" t="s">
        <v>4352</v>
      </c>
      <c r="C34" s="88" t="s">
        <v>1526</v>
      </c>
      <c r="D34" s="15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76" t="s">
        <v>4353</v>
      </c>
      <c r="C35" s="88" t="s">
        <v>2798</v>
      </c>
      <c r="D35" s="15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76" t="s">
        <v>4354</v>
      </c>
      <c r="C36" s="88" t="s">
        <v>1416</v>
      </c>
      <c r="D36" s="15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76" t="s">
        <v>4355</v>
      </c>
      <c r="C37" s="88" t="s">
        <v>1799</v>
      </c>
      <c r="D37" s="15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9">
        <v>26</v>
      </c>
      <c r="B38" s="76" t="s">
        <v>4356</v>
      </c>
      <c r="C38" s="88" t="s">
        <v>909</v>
      </c>
      <c r="D38" s="20"/>
      <c r="E38" s="14"/>
      <c r="F38" s="14"/>
      <c r="G38" s="14"/>
      <c r="H38" s="14"/>
      <c r="I38" s="14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76" t="s">
        <v>4357</v>
      </c>
      <c r="C39" s="88" t="s">
        <v>1470</v>
      </c>
      <c r="D39" s="14"/>
      <c r="E39" s="14"/>
      <c r="F39" s="14"/>
      <c r="G39" s="12"/>
      <c r="H39" s="12"/>
      <c r="I39" s="12"/>
      <c r="J39" s="15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9">
        <v>28</v>
      </c>
      <c r="B40" s="76" t="s">
        <v>4358</v>
      </c>
      <c r="C40" s="88" t="s">
        <v>1037</v>
      </c>
      <c r="D40" s="12"/>
      <c r="E40" s="12"/>
      <c r="F40" s="12"/>
      <c r="G40" s="12"/>
      <c r="H40" s="12"/>
      <c r="I40" s="12"/>
      <c r="J40" s="15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76" t="s">
        <v>4359</v>
      </c>
      <c r="C41" s="88" t="s">
        <v>2519</v>
      </c>
      <c r="D41" s="12"/>
      <c r="E41" s="12"/>
      <c r="F41" s="12"/>
      <c r="G41" s="12"/>
      <c r="H41" s="12"/>
      <c r="I41" s="12"/>
      <c r="J41" s="15"/>
      <c r="K41" s="12"/>
      <c r="L41" s="12"/>
      <c r="M41" s="12"/>
      <c r="N41" s="12"/>
      <c r="O41" s="12"/>
      <c r="P41" s="12"/>
      <c r="Q41" s="12"/>
    </row>
    <row r="42" spans="1:26" ht="15.75" customHeight="1" x14ac:dyDescent="0.25">
      <c r="A42" s="9">
        <v>30</v>
      </c>
      <c r="B42" s="76" t="s">
        <v>4360</v>
      </c>
      <c r="C42" s="88" t="s">
        <v>3641</v>
      </c>
      <c r="D42" s="12"/>
      <c r="E42" s="12"/>
      <c r="F42" s="12"/>
      <c r="G42" s="12"/>
      <c r="H42" s="12"/>
      <c r="I42" s="12"/>
      <c r="J42" s="15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9">
        <v>31</v>
      </c>
      <c r="B43" s="76" t="s">
        <v>4361</v>
      </c>
      <c r="C43" s="88" t="s">
        <v>2439</v>
      </c>
      <c r="D43" s="12"/>
      <c r="E43" s="12"/>
      <c r="F43" s="12"/>
      <c r="G43" s="12"/>
      <c r="H43" s="12"/>
      <c r="I43" s="12"/>
      <c r="J43" s="15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27">
        <v>32</v>
      </c>
      <c r="B44" s="76" t="s">
        <v>4362</v>
      </c>
      <c r="C44" s="88" t="s">
        <v>2048</v>
      </c>
      <c r="D44" s="67"/>
      <c r="E44" s="67"/>
      <c r="F44" s="67"/>
      <c r="G44" s="14"/>
      <c r="H44" s="14"/>
      <c r="I44" s="14"/>
      <c r="J44" s="20"/>
      <c r="K44" s="12"/>
      <c r="L44" s="12"/>
      <c r="M44" s="12"/>
      <c r="N44" s="12"/>
      <c r="O44" s="12"/>
      <c r="P44" s="12"/>
      <c r="Q44" s="12"/>
    </row>
    <row r="45" spans="1:26" ht="15.75" customHeight="1" x14ac:dyDescent="0.25">
      <c r="A45" s="48">
        <v>33</v>
      </c>
      <c r="B45" s="49"/>
      <c r="C45" s="88"/>
      <c r="D45" s="47"/>
      <c r="E45" s="47"/>
      <c r="F45" s="47"/>
      <c r="G45" s="47"/>
      <c r="H45" s="47"/>
      <c r="I45" s="47"/>
      <c r="J45" s="47"/>
      <c r="K45" s="15"/>
      <c r="L45" s="12"/>
      <c r="M45" s="12"/>
      <c r="N45" s="12"/>
      <c r="O45" s="12"/>
      <c r="P45" s="12"/>
      <c r="Q45" s="12"/>
    </row>
    <row r="46" spans="1:26" ht="15.75" customHeight="1" x14ac:dyDescent="0.25">
      <c r="A46" s="48">
        <v>34</v>
      </c>
      <c r="B46" s="49"/>
      <c r="D46" s="47"/>
      <c r="E46" s="47"/>
      <c r="F46" s="47"/>
      <c r="G46" s="47"/>
      <c r="H46" s="47"/>
      <c r="I46" s="47"/>
      <c r="J46" s="47"/>
      <c r="K46" s="15"/>
      <c r="L46" s="12"/>
      <c r="M46" s="12"/>
      <c r="N46" s="12"/>
      <c r="O46" s="12"/>
      <c r="P46" s="12"/>
      <c r="Q46" s="12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48">
        <v>35</v>
      </c>
      <c r="B47" s="49"/>
      <c r="C47" s="51"/>
      <c r="D47" s="47"/>
      <c r="E47" s="47"/>
      <c r="F47" s="47"/>
      <c r="G47" s="47"/>
      <c r="H47" s="47"/>
      <c r="I47" s="47"/>
      <c r="J47" s="47"/>
      <c r="K47" s="15"/>
      <c r="L47" s="12"/>
      <c r="M47" s="12"/>
      <c r="N47" s="12"/>
      <c r="O47" s="12"/>
      <c r="P47" s="12"/>
      <c r="Q47" s="12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48">
        <v>36</v>
      </c>
      <c r="B48" s="50"/>
      <c r="C48" s="50"/>
      <c r="D48" s="47"/>
      <c r="E48" s="47"/>
      <c r="F48" s="47"/>
      <c r="G48" s="47"/>
      <c r="H48" s="47"/>
      <c r="I48" s="47"/>
      <c r="J48" s="47"/>
      <c r="K48" s="15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4062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4">
    <sortCondition ref="C13:C44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6DDE8"/>
    <pageSetUpPr fitToPage="1"/>
  </sheetPr>
  <dimension ref="A1:Z1000"/>
  <sheetViews>
    <sheetView topLeftCell="A28" workbookViewId="0">
      <selection activeCell="B41" sqref="B41:C41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6.85546875" bestFit="1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4018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4363</v>
      </c>
      <c r="C13" s="88" t="s">
        <v>1732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4364</v>
      </c>
      <c r="C14" s="88" t="s">
        <v>2778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4365</v>
      </c>
      <c r="C15" s="88" t="s">
        <v>938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4366</v>
      </c>
      <c r="C16" s="88" t="s">
        <v>3425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4367</v>
      </c>
      <c r="C17" s="88" t="s">
        <v>3131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4368</v>
      </c>
      <c r="C18" s="88" t="s">
        <v>3513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4369</v>
      </c>
      <c r="C19" s="88" t="s">
        <v>1385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4370</v>
      </c>
      <c r="C20" s="88" t="s">
        <v>1244</v>
      </c>
      <c r="D20" s="14"/>
      <c r="E20" s="14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4371</v>
      </c>
      <c r="C21" s="88" t="s">
        <v>3732</v>
      </c>
      <c r="D21" s="12"/>
      <c r="E21" s="12"/>
      <c r="F21" s="15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4372</v>
      </c>
      <c r="C22" s="88" t="s">
        <v>1988</v>
      </c>
      <c r="D22" s="12"/>
      <c r="E22" s="12"/>
      <c r="F22" s="15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4373</v>
      </c>
      <c r="C23" s="88" t="s">
        <v>2649</v>
      </c>
      <c r="D23" s="12"/>
      <c r="E23" s="12"/>
      <c r="F23" s="15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4374</v>
      </c>
      <c r="C24" s="88" t="s">
        <v>1669</v>
      </c>
      <c r="D24" s="12"/>
      <c r="E24" s="12"/>
      <c r="F24" s="15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4375</v>
      </c>
      <c r="C25" s="88" t="s">
        <v>1560</v>
      </c>
      <c r="D25" s="12"/>
      <c r="E25" s="12"/>
      <c r="F25" s="15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4376</v>
      </c>
      <c r="C26" s="88" t="s">
        <v>2143</v>
      </c>
      <c r="D26" s="19"/>
      <c r="E26" s="1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4377</v>
      </c>
      <c r="C27" s="88" t="s">
        <v>3083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4378</v>
      </c>
      <c r="C28" s="88" t="s">
        <v>3415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4379</v>
      </c>
      <c r="C29" s="88" t="s">
        <v>798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4380</v>
      </c>
      <c r="C30" s="88" t="s">
        <v>3673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4381</v>
      </c>
      <c r="C31" s="88" t="s">
        <v>3435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4382</v>
      </c>
      <c r="C32" s="88" t="s">
        <v>827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9">
        <v>21</v>
      </c>
      <c r="B33" s="76" t="s">
        <v>4383</v>
      </c>
      <c r="C33" s="88" t="s">
        <v>813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9">
        <v>22</v>
      </c>
      <c r="B34" s="76" t="s">
        <v>4384</v>
      </c>
      <c r="C34" s="88" t="s">
        <v>2088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9">
        <v>23</v>
      </c>
      <c r="B35" s="76" t="s">
        <v>4385</v>
      </c>
      <c r="C35" s="88" t="s">
        <v>3526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9">
        <v>24</v>
      </c>
      <c r="B36" s="76" t="s">
        <v>4386</v>
      </c>
      <c r="C36" s="93" t="s">
        <v>2833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26" ht="15.75" customHeight="1" x14ac:dyDescent="0.25">
      <c r="A37" s="9">
        <v>25</v>
      </c>
      <c r="B37" s="76" t="s">
        <v>4387</v>
      </c>
      <c r="C37" s="88" t="s">
        <v>1011</v>
      </c>
      <c r="D37" s="14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1:26" ht="15.75" customHeight="1" x14ac:dyDescent="0.25">
      <c r="A38" s="9">
        <v>26</v>
      </c>
      <c r="B38" s="76" t="s">
        <v>4388</v>
      </c>
      <c r="C38" s="88" t="s">
        <v>763</v>
      </c>
      <c r="D38" s="12"/>
      <c r="E38" s="15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1:26" ht="15.75" customHeight="1" x14ac:dyDescent="0.25">
      <c r="A39" s="9">
        <v>27</v>
      </c>
      <c r="B39" s="76" t="s">
        <v>4389</v>
      </c>
      <c r="C39" s="88" t="s">
        <v>944</v>
      </c>
      <c r="D39" s="14"/>
      <c r="E39" s="20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26" ht="15.75" customHeight="1" x14ac:dyDescent="0.25">
      <c r="A40" s="9">
        <v>28</v>
      </c>
      <c r="B40" s="76" t="s">
        <v>4390</v>
      </c>
      <c r="C40" s="88" t="s">
        <v>684</v>
      </c>
      <c r="D40" s="14"/>
      <c r="E40" s="14"/>
      <c r="F40" s="20"/>
      <c r="G40" s="14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26" ht="15.75" customHeight="1" x14ac:dyDescent="0.25">
      <c r="A41" s="9">
        <v>29</v>
      </c>
      <c r="B41" s="76" t="s">
        <v>4391</v>
      </c>
      <c r="C41" s="88" t="s">
        <v>4522</v>
      </c>
      <c r="D41" s="12"/>
      <c r="E41" s="12"/>
      <c r="F41" s="12"/>
      <c r="G41" s="12"/>
      <c r="H41" s="15"/>
      <c r="I41" s="12"/>
      <c r="J41" s="12"/>
      <c r="K41" s="12"/>
      <c r="L41" s="12"/>
      <c r="M41" s="12"/>
      <c r="N41" s="12"/>
      <c r="O41" s="12"/>
      <c r="P41" s="12"/>
      <c r="Q41" s="12"/>
    </row>
    <row r="42" spans="1:26" ht="15.75" customHeight="1" x14ac:dyDescent="0.25">
      <c r="A42" s="27">
        <v>30</v>
      </c>
      <c r="B42" s="76" t="s">
        <v>4392</v>
      </c>
      <c r="C42" s="88" t="s">
        <v>2986</v>
      </c>
      <c r="D42" s="14"/>
      <c r="E42" s="14"/>
      <c r="F42" s="14"/>
      <c r="G42" s="12"/>
      <c r="H42" s="15"/>
      <c r="I42" s="12"/>
      <c r="J42" s="12"/>
      <c r="K42" s="12"/>
      <c r="L42" s="12"/>
      <c r="M42" s="12"/>
      <c r="N42" s="12"/>
      <c r="O42" s="12"/>
      <c r="P42" s="12"/>
      <c r="Q42" s="12"/>
    </row>
    <row r="43" spans="1:26" ht="15.75" customHeight="1" x14ac:dyDescent="0.25">
      <c r="A43" s="48">
        <v>31</v>
      </c>
      <c r="B43" s="76" t="s">
        <v>4393</v>
      </c>
      <c r="C43" s="88" t="s">
        <v>2369</v>
      </c>
      <c r="D43" s="47"/>
      <c r="E43" s="47"/>
      <c r="F43" s="47"/>
      <c r="G43" s="15"/>
      <c r="H43" s="15"/>
      <c r="I43" s="12"/>
      <c r="J43" s="12"/>
      <c r="K43" s="12"/>
      <c r="L43" s="12"/>
      <c r="M43" s="12"/>
      <c r="N43" s="12"/>
      <c r="O43" s="12"/>
      <c r="P43" s="12"/>
      <c r="Q43" s="12"/>
    </row>
    <row r="44" spans="1:26" ht="15.75" customHeight="1" x14ac:dyDescent="0.25">
      <c r="A44" s="48">
        <v>32</v>
      </c>
      <c r="B44" s="76" t="s">
        <v>4394</v>
      </c>
      <c r="C44" s="88" t="s">
        <v>3215</v>
      </c>
      <c r="D44" s="47"/>
      <c r="E44" s="47"/>
      <c r="F44" s="47"/>
      <c r="G44" s="20"/>
      <c r="H44" s="20"/>
      <c r="I44" s="14"/>
      <c r="J44" s="14"/>
      <c r="K44" s="14"/>
      <c r="L44" s="14"/>
      <c r="M44" s="14"/>
      <c r="N44" s="14"/>
      <c r="O44" s="12"/>
      <c r="P44" s="12"/>
      <c r="Q44" s="12"/>
    </row>
    <row r="45" spans="1:26" ht="15.75" customHeight="1" x14ac:dyDescent="0.25">
      <c r="A45" s="48">
        <v>33</v>
      </c>
      <c r="B45" s="64"/>
      <c r="C45" s="88"/>
      <c r="D45" s="47"/>
      <c r="E45" s="47"/>
      <c r="F45" s="47"/>
      <c r="G45" s="15"/>
      <c r="H45" s="12"/>
      <c r="I45" s="12"/>
      <c r="J45" s="12"/>
      <c r="K45" s="12"/>
      <c r="L45" s="12"/>
      <c r="M45" s="12"/>
      <c r="N45" s="12"/>
      <c r="O45" s="15"/>
      <c r="P45" s="12"/>
      <c r="Q45" s="12"/>
    </row>
    <row r="46" spans="1:26" ht="15.75" customHeight="1" x14ac:dyDescent="0.25">
      <c r="A46" s="48">
        <v>34</v>
      </c>
      <c r="B46" s="59"/>
      <c r="C46" s="88"/>
      <c r="D46" s="47"/>
      <c r="E46" s="47"/>
      <c r="F46" s="47"/>
      <c r="G46" s="15"/>
      <c r="H46" s="12"/>
      <c r="I46" s="12"/>
      <c r="J46" s="12"/>
      <c r="K46" s="12"/>
      <c r="L46" s="12"/>
      <c r="M46" s="12"/>
      <c r="N46" s="12"/>
      <c r="O46" s="15"/>
      <c r="P46" s="12"/>
      <c r="Q46" s="12"/>
    </row>
    <row r="47" spans="1:26" ht="15.75" customHeight="1" x14ac:dyDescent="0.25">
      <c r="A47" s="48">
        <v>35</v>
      </c>
      <c r="B47" s="50"/>
      <c r="C47" s="88"/>
      <c r="D47" s="47"/>
      <c r="E47" s="47"/>
      <c r="F47" s="47"/>
      <c r="G47" s="15"/>
      <c r="H47" s="12"/>
      <c r="I47" s="12"/>
      <c r="J47" s="12"/>
      <c r="K47" s="12"/>
      <c r="L47" s="12"/>
      <c r="M47" s="12"/>
      <c r="N47" s="12"/>
      <c r="O47" s="15"/>
      <c r="P47" s="12"/>
      <c r="Q47" s="12"/>
    </row>
    <row r="48" spans="1:26" ht="15.75" customHeight="1" x14ac:dyDescent="0.25">
      <c r="A48" s="48">
        <v>36</v>
      </c>
      <c r="B48" s="50"/>
      <c r="C48" s="50"/>
      <c r="D48" s="47"/>
      <c r="E48" s="47"/>
      <c r="F48" s="47"/>
      <c r="G48" s="15"/>
      <c r="H48" s="12"/>
      <c r="I48" s="12"/>
      <c r="J48" s="12"/>
      <c r="K48" s="12"/>
      <c r="L48" s="12"/>
      <c r="M48" s="12"/>
      <c r="N48" s="12"/>
      <c r="O48" s="15"/>
      <c r="P48" s="12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4062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4">
    <sortCondition ref="C13:C44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6DDE8"/>
    <pageSetUpPr fitToPage="1"/>
  </sheetPr>
  <dimension ref="A1:Z1000"/>
  <sheetViews>
    <sheetView topLeftCell="A22" workbookViewId="0">
      <selection activeCell="C13" sqref="C13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5.425781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3998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4019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4395</v>
      </c>
      <c r="C13" s="88" t="s">
        <v>784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4396</v>
      </c>
      <c r="C14" s="88" t="s">
        <v>3250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4397</v>
      </c>
      <c r="C15" s="88" t="s">
        <v>2612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4398</v>
      </c>
      <c r="C16" s="88" t="s">
        <v>1463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26" x14ac:dyDescent="0.25">
      <c r="A17" s="9">
        <v>5</v>
      </c>
      <c r="B17" s="76" t="s">
        <v>4399</v>
      </c>
      <c r="C17" s="88" t="s">
        <v>1720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26" x14ac:dyDescent="0.25">
      <c r="A18" s="9">
        <v>6</v>
      </c>
      <c r="B18" s="76" t="s">
        <v>4400</v>
      </c>
      <c r="C18" s="88" t="s">
        <v>650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26" x14ac:dyDescent="0.25">
      <c r="A19" s="9">
        <v>7</v>
      </c>
      <c r="B19" s="76" t="s">
        <v>4401</v>
      </c>
      <c r="C19" s="88" t="s">
        <v>835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26" x14ac:dyDescent="0.25">
      <c r="A20" s="9">
        <v>8</v>
      </c>
      <c r="B20" s="76" t="s">
        <v>4402</v>
      </c>
      <c r="C20" s="88" t="s">
        <v>3629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26" ht="15.75" customHeight="1" x14ac:dyDescent="0.25">
      <c r="A21" s="27">
        <v>9</v>
      </c>
      <c r="B21" s="76" t="s">
        <v>4403</v>
      </c>
      <c r="C21" s="88" t="s">
        <v>3268</v>
      </c>
      <c r="D21" s="14"/>
      <c r="E21" s="14"/>
      <c r="F21" s="14"/>
      <c r="G21" s="14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26" ht="15.75" customHeight="1" x14ac:dyDescent="0.25">
      <c r="A22" s="48">
        <v>10</v>
      </c>
      <c r="B22" s="76" t="s">
        <v>4404</v>
      </c>
      <c r="C22" s="88" t="s">
        <v>3566</v>
      </c>
      <c r="D22" s="47"/>
      <c r="E22" s="47"/>
      <c r="F22" s="47"/>
      <c r="G22" s="47"/>
      <c r="H22" s="15"/>
      <c r="I22" s="12"/>
      <c r="J22" s="12"/>
      <c r="K22" s="12"/>
      <c r="L22" s="12"/>
      <c r="M22" s="12"/>
      <c r="N22" s="12"/>
      <c r="O22" s="12"/>
      <c r="P22" s="12"/>
      <c r="Q22" s="12"/>
    </row>
    <row r="23" spans="1:26" ht="15.75" customHeight="1" x14ac:dyDescent="0.25">
      <c r="A23" s="48">
        <v>11</v>
      </c>
      <c r="B23" s="76" t="s">
        <v>4405</v>
      </c>
      <c r="C23" s="88" t="s">
        <v>1863</v>
      </c>
      <c r="D23" s="47"/>
      <c r="E23" s="47"/>
      <c r="F23" s="47"/>
      <c r="G23" s="47"/>
      <c r="H23" s="15"/>
      <c r="I23" s="12"/>
      <c r="J23" s="12"/>
      <c r="K23" s="12"/>
      <c r="L23" s="12"/>
      <c r="M23" s="12"/>
      <c r="N23" s="12"/>
      <c r="O23" s="12"/>
      <c r="P23" s="12"/>
      <c r="Q23" s="12"/>
    </row>
    <row r="24" spans="1:26" ht="15.75" customHeight="1" x14ac:dyDescent="0.25">
      <c r="A24" s="48">
        <v>12</v>
      </c>
      <c r="B24" s="76" t="s">
        <v>4406</v>
      </c>
      <c r="C24" s="88" t="s">
        <v>675</v>
      </c>
      <c r="D24" s="47"/>
      <c r="E24" s="47"/>
      <c r="F24" s="47"/>
      <c r="G24" s="47"/>
      <c r="H24" s="15"/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48">
        <v>13</v>
      </c>
      <c r="B25" s="76" t="s">
        <v>4407</v>
      </c>
      <c r="C25" s="88" t="s">
        <v>1842</v>
      </c>
      <c r="D25" s="47"/>
      <c r="E25" s="47"/>
      <c r="F25" s="47"/>
      <c r="G25" s="47"/>
      <c r="H25" s="15"/>
      <c r="I25" s="12"/>
      <c r="J25" s="12"/>
      <c r="K25" s="12"/>
      <c r="L25" s="12"/>
      <c r="M25" s="12"/>
      <c r="N25" s="12"/>
      <c r="O25" s="12"/>
      <c r="P25" s="12"/>
      <c r="Q25" s="12"/>
    </row>
    <row r="26" spans="1:26" ht="15.75" customHeight="1" x14ac:dyDescent="0.25">
      <c r="A26" s="48">
        <v>14</v>
      </c>
      <c r="B26" s="76" t="s">
        <v>4408</v>
      </c>
      <c r="C26" s="88" t="s">
        <v>1422</v>
      </c>
      <c r="D26" s="47"/>
      <c r="E26" s="47"/>
      <c r="F26" s="47"/>
      <c r="G26" s="47"/>
      <c r="H26" s="15"/>
      <c r="I26" s="12"/>
      <c r="J26" s="12"/>
      <c r="K26" s="12"/>
      <c r="L26" s="12"/>
      <c r="M26" s="12"/>
      <c r="N26" s="12"/>
      <c r="O26" s="12"/>
      <c r="P26" s="12"/>
      <c r="Q26" s="12"/>
    </row>
    <row r="27" spans="1:26" ht="15.75" customHeight="1" x14ac:dyDescent="0.25">
      <c r="A27" s="48">
        <v>15</v>
      </c>
      <c r="B27" s="76" t="s">
        <v>4409</v>
      </c>
      <c r="C27" s="88" t="s">
        <v>2195</v>
      </c>
      <c r="D27" s="47"/>
      <c r="E27" s="47"/>
      <c r="F27" s="47"/>
      <c r="G27" s="47"/>
      <c r="H27" s="15"/>
      <c r="I27" s="12"/>
      <c r="J27" s="12"/>
      <c r="K27" s="12"/>
      <c r="L27" s="12"/>
      <c r="M27" s="12"/>
      <c r="N27" s="12"/>
      <c r="O27" s="12"/>
      <c r="P27" s="12"/>
      <c r="Q27" s="12"/>
    </row>
    <row r="28" spans="1:26" ht="15.75" customHeight="1" x14ac:dyDescent="0.25">
      <c r="A28" s="48">
        <v>16</v>
      </c>
      <c r="B28" s="76" t="s">
        <v>4410</v>
      </c>
      <c r="C28" s="88" t="s">
        <v>668</v>
      </c>
      <c r="D28" s="47"/>
      <c r="E28" s="47"/>
      <c r="F28" s="47"/>
      <c r="G28" s="47"/>
      <c r="H28" s="15"/>
      <c r="I28" s="12"/>
      <c r="J28" s="12"/>
      <c r="K28" s="12"/>
      <c r="L28" s="12"/>
      <c r="M28" s="12"/>
      <c r="N28" s="12"/>
      <c r="O28" s="12"/>
      <c r="P28" s="12"/>
      <c r="Q28" s="12"/>
    </row>
    <row r="29" spans="1:26" ht="15.75" customHeight="1" x14ac:dyDescent="0.25">
      <c r="A29" s="48">
        <v>17</v>
      </c>
      <c r="B29" s="76" t="s">
        <v>4411</v>
      </c>
      <c r="C29" s="88" t="s">
        <v>705</v>
      </c>
      <c r="D29" s="47"/>
      <c r="E29" s="47"/>
      <c r="F29" s="47"/>
      <c r="G29" s="47"/>
      <c r="H29" s="15"/>
      <c r="I29" s="12"/>
      <c r="J29" s="12"/>
      <c r="K29" s="12"/>
      <c r="L29" s="12"/>
      <c r="M29" s="12"/>
      <c r="N29" s="12"/>
      <c r="O29" s="12"/>
      <c r="P29" s="12"/>
      <c r="Q29" s="12"/>
    </row>
    <row r="30" spans="1:26" ht="15.75" customHeight="1" x14ac:dyDescent="0.25">
      <c r="A30" s="48">
        <v>18</v>
      </c>
      <c r="B30" s="76" t="s">
        <v>4412</v>
      </c>
      <c r="C30" s="88" t="s">
        <v>775</v>
      </c>
      <c r="D30" s="47"/>
      <c r="E30" s="47"/>
      <c r="F30" s="47"/>
      <c r="G30" s="47"/>
      <c r="H30" s="15"/>
      <c r="I30" s="12"/>
      <c r="J30" s="12"/>
      <c r="K30" s="12"/>
      <c r="L30" s="12"/>
      <c r="M30" s="12"/>
      <c r="N30" s="12"/>
      <c r="O30" s="12"/>
      <c r="P30" s="12"/>
      <c r="Q30" s="12"/>
    </row>
    <row r="31" spans="1:26" ht="15.75" customHeight="1" x14ac:dyDescent="0.25">
      <c r="A31" s="48">
        <v>19</v>
      </c>
      <c r="B31" s="76" t="s">
        <v>4413</v>
      </c>
      <c r="C31" s="88" t="s">
        <v>748</v>
      </c>
      <c r="D31" s="47"/>
      <c r="E31" s="47"/>
      <c r="F31" s="47"/>
      <c r="G31" s="47"/>
      <c r="H31" s="15"/>
      <c r="I31" s="12"/>
      <c r="J31" s="12"/>
      <c r="K31" s="12"/>
      <c r="L31" s="12"/>
      <c r="M31" s="12"/>
      <c r="N31" s="12"/>
      <c r="O31" s="12"/>
      <c r="P31" s="12"/>
      <c r="Q31" s="12"/>
    </row>
    <row r="32" spans="1:26" ht="15.75" customHeight="1" x14ac:dyDescent="0.25">
      <c r="A32" s="48">
        <v>20</v>
      </c>
      <c r="B32" s="76" t="s">
        <v>4414</v>
      </c>
      <c r="C32" s="88" t="s">
        <v>698</v>
      </c>
      <c r="D32" s="47"/>
      <c r="E32" s="47"/>
      <c r="F32" s="47"/>
      <c r="G32" s="47"/>
      <c r="H32" s="15"/>
      <c r="I32" s="12"/>
      <c r="J32" s="12"/>
      <c r="K32" s="12"/>
      <c r="L32" s="12"/>
      <c r="M32" s="12"/>
      <c r="N32" s="12"/>
      <c r="O32" s="12"/>
      <c r="P32" s="12"/>
      <c r="Q32" s="12"/>
    </row>
    <row r="33" spans="1:26" ht="15.75" customHeight="1" x14ac:dyDescent="0.25">
      <c r="A33" s="48">
        <v>21</v>
      </c>
      <c r="B33" s="76" t="s">
        <v>4415</v>
      </c>
      <c r="C33" s="88" t="s">
        <v>1127</v>
      </c>
      <c r="D33" s="47"/>
      <c r="E33" s="47"/>
      <c r="F33" s="47"/>
      <c r="G33" s="47"/>
      <c r="H33" s="15"/>
      <c r="I33" s="12"/>
      <c r="J33" s="12"/>
      <c r="K33" s="12"/>
      <c r="L33" s="12"/>
      <c r="M33" s="12"/>
      <c r="N33" s="12"/>
      <c r="O33" s="12"/>
      <c r="P33" s="12"/>
      <c r="Q33" s="12"/>
    </row>
    <row r="34" spans="1:26" ht="15.75" customHeight="1" x14ac:dyDescent="0.25">
      <c r="A34" s="48">
        <v>22</v>
      </c>
      <c r="B34" s="76" t="s">
        <v>4416</v>
      </c>
      <c r="C34" s="88" t="s">
        <v>2766</v>
      </c>
      <c r="D34" s="47"/>
      <c r="E34" s="47"/>
      <c r="F34" s="47"/>
      <c r="G34" s="47"/>
      <c r="H34" s="15"/>
      <c r="I34" s="12"/>
      <c r="J34" s="12"/>
      <c r="K34" s="12"/>
      <c r="L34" s="12"/>
      <c r="M34" s="12"/>
      <c r="N34" s="12"/>
      <c r="O34" s="12"/>
      <c r="P34" s="12"/>
      <c r="Q34" s="12"/>
    </row>
    <row r="35" spans="1:26" ht="15.75" customHeight="1" x14ac:dyDescent="0.25">
      <c r="A35" s="48">
        <v>23</v>
      </c>
      <c r="B35" s="76" t="s">
        <v>4417</v>
      </c>
      <c r="C35" s="44" t="s">
        <v>4052</v>
      </c>
      <c r="D35" s="47"/>
      <c r="E35" s="47"/>
      <c r="F35" s="47"/>
      <c r="G35" s="47"/>
      <c r="H35" s="20"/>
      <c r="I35" s="12"/>
      <c r="J35" s="12"/>
      <c r="K35" s="12"/>
      <c r="L35" s="12"/>
      <c r="M35" s="12"/>
      <c r="N35" s="12"/>
      <c r="O35" s="12"/>
      <c r="P35" s="12"/>
      <c r="Q35" s="12"/>
    </row>
    <row r="36" spans="1:26" ht="15.75" customHeight="1" x14ac:dyDescent="0.25">
      <c r="A36" s="48">
        <v>24</v>
      </c>
      <c r="B36" s="76" t="s">
        <v>4418</v>
      </c>
      <c r="C36" s="88" t="s">
        <v>1651</v>
      </c>
      <c r="D36" s="47"/>
      <c r="E36" s="47"/>
      <c r="F36" s="47"/>
      <c r="G36" s="47"/>
      <c r="H36" s="60"/>
      <c r="I36" s="20"/>
      <c r="J36" s="14"/>
      <c r="K36" s="14"/>
      <c r="L36" s="14"/>
      <c r="M36" s="14"/>
      <c r="N36" s="14"/>
      <c r="O36" s="14"/>
      <c r="P36" s="12"/>
      <c r="Q36" s="12"/>
    </row>
    <row r="37" spans="1:26" ht="15.75" customHeight="1" x14ac:dyDescent="0.25">
      <c r="A37" s="48">
        <v>25</v>
      </c>
      <c r="B37" s="76" t="s">
        <v>4419</v>
      </c>
      <c r="C37" s="88" t="s">
        <v>3366</v>
      </c>
      <c r="D37" s="47"/>
      <c r="E37" s="47"/>
      <c r="F37" s="47"/>
      <c r="G37" s="47"/>
      <c r="H37" s="60"/>
      <c r="I37" s="60"/>
      <c r="J37" s="47"/>
      <c r="K37" s="47"/>
      <c r="L37" s="47"/>
      <c r="M37" s="47"/>
      <c r="N37" s="47"/>
      <c r="O37" s="47"/>
      <c r="P37" s="15"/>
      <c r="Q37" s="12"/>
    </row>
    <row r="38" spans="1:26" ht="15.75" customHeight="1" x14ac:dyDescent="0.25">
      <c r="A38" s="48">
        <v>26</v>
      </c>
      <c r="B38" s="76" t="s">
        <v>4420</v>
      </c>
      <c r="C38" s="88" t="s">
        <v>3466</v>
      </c>
      <c r="D38" s="47"/>
      <c r="E38" s="47"/>
      <c r="F38" s="47"/>
      <c r="G38" s="47"/>
      <c r="H38" s="60"/>
      <c r="I38" s="60"/>
      <c r="J38" s="47"/>
      <c r="K38" s="47"/>
      <c r="L38" s="47"/>
      <c r="M38" s="47"/>
      <c r="N38" s="47"/>
      <c r="O38" s="47"/>
      <c r="P38" s="15"/>
      <c r="Q38" s="12"/>
    </row>
    <row r="39" spans="1:26" ht="15.75" customHeight="1" x14ac:dyDescent="0.25">
      <c r="A39" s="48">
        <v>27</v>
      </c>
      <c r="B39" s="76" t="s">
        <v>4421</v>
      </c>
      <c r="C39" s="88" t="s">
        <v>3030</v>
      </c>
      <c r="D39" s="47"/>
      <c r="E39" s="47"/>
      <c r="F39" s="47"/>
      <c r="G39" s="47"/>
      <c r="H39" s="60"/>
      <c r="I39" s="60"/>
      <c r="J39" s="47"/>
      <c r="K39" s="47"/>
      <c r="L39" s="47"/>
      <c r="M39" s="47"/>
      <c r="N39" s="47"/>
      <c r="O39" s="47"/>
      <c r="P39" s="15"/>
      <c r="Q39" s="12"/>
    </row>
    <row r="40" spans="1:26" ht="15.75" customHeight="1" x14ac:dyDescent="0.25">
      <c r="A40" s="48">
        <v>28</v>
      </c>
      <c r="B40" s="76" t="s">
        <v>4422</v>
      </c>
      <c r="C40" s="88" t="s">
        <v>1217</v>
      </c>
      <c r="D40" s="47"/>
      <c r="E40" s="47"/>
      <c r="F40" s="47"/>
      <c r="G40" s="47"/>
      <c r="H40" s="60"/>
      <c r="I40" s="60"/>
      <c r="J40" s="47"/>
      <c r="K40" s="47"/>
      <c r="L40" s="47"/>
      <c r="M40" s="47"/>
      <c r="N40" s="47"/>
      <c r="O40" s="47"/>
      <c r="P40" s="15"/>
      <c r="Q40" s="12"/>
    </row>
    <row r="41" spans="1:26" ht="15.75" customHeight="1" x14ac:dyDescent="0.25">
      <c r="A41" s="48">
        <v>29</v>
      </c>
      <c r="B41" s="76" t="s">
        <v>4423</v>
      </c>
      <c r="C41" s="88" t="s">
        <v>3063</v>
      </c>
      <c r="D41" s="47"/>
      <c r="E41" s="47"/>
      <c r="F41" s="47"/>
      <c r="G41" s="47"/>
      <c r="H41" s="60"/>
      <c r="I41" s="60"/>
      <c r="J41" s="47"/>
      <c r="K41" s="47"/>
      <c r="L41" s="47"/>
      <c r="M41" s="47"/>
      <c r="N41" s="47"/>
      <c r="O41" s="47"/>
      <c r="P41" s="15"/>
      <c r="Q41" s="12"/>
    </row>
    <row r="42" spans="1:26" ht="15.75" customHeight="1" x14ac:dyDescent="0.25">
      <c r="A42" s="48">
        <v>30</v>
      </c>
      <c r="B42" s="76" t="s">
        <v>4424</v>
      </c>
      <c r="C42" s="88" t="s">
        <v>991</v>
      </c>
      <c r="D42" s="47"/>
      <c r="E42" s="47"/>
      <c r="F42" s="47"/>
      <c r="G42" s="47"/>
      <c r="H42" s="60"/>
      <c r="I42" s="60"/>
      <c r="J42" s="47"/>
      <c r="K42" s="47"/>
      <c r="L42" s="47"/>
      <c r="M42" s="47"/>
      <c r="N42" s="47"/>
      <c r="O42" s="47"/>
      <c r="P42" s="15"/>
      <c r="Q42" s="12"/>
    </row>
    <row r="43" spans="1:26" ht="15.75" customHeight="1" x14ac:dyDescent="0.25">
      <c r="A43" s="48">
        <v>31</v>
      </c>
      <c r="B43" s="76" t="s">
        <v>4425</v>
      </c>
      <c r="C43" s="88" t="s">
        <v>1541</v>
      </c>
      <c r="D43" s="47"/>
      <c r="E43" s="47"/>
      <c r="F43" s="47"/>
      <c r="G43" s="47"/>
      <c r="H43" s="60"/>
      <c r="I43" s="60"/>
      <c r="J43" s="47"/>
      <c r="K43" s="47"/>
      <c r="L43" s="47"/>
      <c r="M43" s="47"/>
      <c r="N43" s="47"/>
      <c r="O43" s="47"/>
      <c r="P43" s="15"/>
      <c r="Q43" s="12"/>
    </row>
    <row r="44" spans="1:26" ht="15.75" customHeight="1" x14ac:dyDescent="0.25">
      <c r="A44" s="48">
        <v>32</v>
      </c>
      <c r="B44" s="76" t="s">
        <v>4426</v>
      </c>
      <c r="C44" s="88" t="s">
        <v>865</v>
      </c>
      <c r="D44" s="47"/>
      <c r="E44" s="47"/>
      <c r="F44" s="47"/>
      <c r="G44" s="47"/>
      <c r="H44" s="60"/>
      <c r="I44" s="60"/>
      <c r="J44" s="47"/>
      <c r="K44" s="47"/>
      <c r="L44" s="47"/>
      <c r="M44" s="47"/>
      <c r="N44" s="47"/>
      <c r="O44" s="47"/>
      <c r="P44" s="15"/>
      <c r="Q44" s="12"/>
    </row>
    <row r="45" spans="1:26" ht="15.75" customHeight="1" x14ac:dyDescent="0.25">
      <c r="A45" s="48">
        <v>33</v>
      </c>
      <c r="B45" s="76" t="s">
        <v>4427</v>
      </c>
      <c r="C45" s="88" t="s">
        <v>1237</v>
      </c>
      <c r="D45" s="47"/>
      <c r="E45" s="47"/>
      <c r="F45" s="47"/>
      <c r="G45" s="47"/>
      <c r="H45" s="60"/>
      <c r="I45" s="60"/>
      <c r="J45" s="47"/>
      <c r="K45" s="47"/>
      <c r="L45" s="47"/>
      <c r="M45" s="47"/>
      <c r="N45" s="47"/>
      <c r="O45" s="47"/>
      <c r="P45" s="15"/>
      <c r="Q45" s="12"/>
    </row>
    <row r="46" spans="1:26" ht="15.75" customHeight="1" x14ac:dyDescent="0.25">
      <c r="A46" s="48">
        <v>34</v>
      </c>
      <c r="B46" s="76" t="s">
        <v>4428</v>
      </c>
      <c r="C46" s="88" t="s">
        <v>3421</v>
      </c>
      <c r="D46" s="47"/>
      <c r="E46" s="47"/>
      <c r="F46" s="47"/>
      <c r="G46" s="47"/>
      <c r="H46" s="47"/>
      <c r="I46" s="60"/>
      <c r="J46" s="47"/>
      <c r="K46" s="47"/>
      <c r="L46" s="47"/>
      <c r="M46" s="47"/>
      <c r="N46" s="47"/>
      <c r="O46" s="47"/>
      <c r="P46" s="15"/>
      <c r="Q46" s="12"/>
    </row>
    <row r="47" spans="1:26" ht="15.75" customHeight="1" x14ac:dyDescent="0.25">
      <c r="A47" s="48">
        <v>35</v>
      </c>
      <c r="B47" s="76" t="s">
        <v>4429</v>
      </c>
      <c r="C47" s="88" t="s">
        <v>3049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15"/>
      <c r="Q47" s="12"/>
    </row>
    <row r="48" spans="1:26" ht="15.75" customHeight="1" x14ac:dyDescent="0.25">
      <c r="A48" s="48">
        <v>36</v>
      </c>
      <c r="B48" s="50"/>
      <c r="C48" s="50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15"/>
      <c r="Q48" s="12"/>
      <c r="R48" s="13"/>
      <c r="S48" s="13"/>
      <c r="T48" s="13"/>
      <c r="U48" s="13"/>
      <c r="V48" s="13"/>
      <c r="W48" s="13"/>
      <c r="X48" s="13"/>
      <c r="Y48" s="13"/>
      <c r="Z48" s="13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4058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7">
    <sortCondition ref="C13:C47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43307086614173229" bottom="0.39370078740157483" header="0" footer="0"/>
  <pageSetup paperSize="10000"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Q1000"/>
  <sheetViews>
    <sheetView topLeftCell="A13" workbookViewId="0">
      <selection activeCell="C35" sqref="C35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41.28515625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36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4020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51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4430</v>
      </c>
      <c r="C13" s="88" t="s">
        <v>2630</v>
      </c>
      <c r="D13" s="15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4431</v>
      </c>
      <c r="C14" s="88" t="s">
        <v>948</v>
      </c>
      <c r="D14" s="15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4432</v>
      </c>
      <c r="C15" s="88" t="s">
        <v>2922</v>
      </c>
      <c r="D15" s="15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4433</v>
      </c>
      <c r="C16" s="89" t="s">
        <v>3814</v>
      </c>
      <c r="D16" s="1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4434</v>
      </c>
      <c r="C17" s="89" t="s">
        <v>2384</v>
      </c>
      <c r="D17" s="20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4435</v>
      </c>
      <c r="C18" s="88" t="s">
        <v>3786</v>
      </c>
      <c r="D18" s="47"/>
      <c r="E18" s="20"/>
      <c r="F18" s="14"/>
      <c r="G18" s="14"/>
      <c r="H18" s="14"/>
      <c r="I18" s="14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4436</v>
      </c>
      <c r="C19" s="89" t="s">
        <v>4513</v>
      </c>
      <c r="D19" s="47"/>
      <c r="E19" s="60"/>
      <c r="F19" s="47"/>
      <c r="G19" s="47"/>
      <c r="H19" s="47"/>
      <c r="I19" s="47"/>
      <c r="J19" s="15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4437</v>
      </c>
      <c r="C20" s="69" t="s">
        <v>4046</v>
      </c>
      <c r="D20" s="47"/>
      <c r="E20" s="60"/>
      <c r="F20" s="47"/>
      <c r="G20" s="47"/>
      <c r="H20" s="47"/>
      <c r="I20" s="47"/>
      <c r="J20" s="15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4438</v>
      </c>
      <c r="C21" s="88" t="s">
        <v>2000</v>
      </c>
      <c r="D21" s="47"/>
      <c r="E21" s="60"/>
      <c r="F21" s="47"/>
      <c r="G21" s="47"/>
      <c r="H21" s="47"/>
      <c r="I21" s="47"/>
      <c r="J21" s="15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4439</v>
      </c>
      <c r="C22" s="89" t="s">
        <v>3373</v>
      </c>
      <c r="D22" s="47"/>
      <c r="E22" s="60"/>
      <c r="F22" s="47"/>
      <c r="G22" s="47"/>
      <c r="H22" s="47"/>
      <c r="I22" s="47"/>
      <c r="J22" s="15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4440</v>
      </c>
      <c r="C23" s="88" t="s">
        <v>3244</v>
      </c>
      <c r="D23" s="61"/>
      <c r="E23" s="47"/>
      <c r="F23" s="47"/>
      <c r="G23" s="47"/>
      <c r="H23" s="47"/>
      <c r="I23" s="47"/>
      <c r="J23" s="15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4441</v>
      </c>
      <c r="C24" s="88" t="s">
        <v>2206</v>
      </c>
      <c r="D24" s="47"/>
      <c r="E24" s="47"/>
      <c r="F24" s="47"/>
      <c r="G24" s="47"/>
      <c r="H24" s="47"/>
      <c r="I24" s="47"/>
      <c r="J24" s="15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4442</v>
      </c>
      <c r="C25" s="89" t="s">
        <v>2723</v>
      </c>
      <c r="D25" s="47"/>
      <c r="E25" s="47"/>
      <c r="F25" s="47"/>
      <c r="G25" s="47"/>
      <c r="H25" s="47"/>
      <c r="I25" s="47"/>
      <c r="J25" s="15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4443</v>
      </c>
      <c r="C26" s="89" t="s">
        <v>3506</v>
      </c>
      <c r="D26" s="47"/>
      <c r="E26" s="47"/>
      <c r="F26" s="47"/>
      <c r="G26" s="47"/>
      <c r="H26" s="47"/>
      <c r="I26" s="47"/>
      <c r="J26" s="15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4444</v>
      </c>
      <c r="C27" s="88" t="s">
        <v>2939</v>
      </c>
      <c r="D27" s="47"/>
      <c r="E27" s="47"/>
      <c r="F27" s="47"/>
      <c r="G27" s="47"/>
      <c r="H27" s="47"/>
      <c r="I27" s="47"/>
      <c r="J27" s="15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4445</v>
      </c>
      <c r="C28" s="88" t="s">
        <v>3721</v>
      </c>
      <c r="D28" s="47"/>
      <c r="E28" s="47"/>
      <c r="F28" s="47"/>
      <c r="G28" s="47"/>
      <c r="H28" s="47"/>
      <c r="I28" s="47"/>
      <c r="J28" s="15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4446</v>
      </c>
      <c r="C29" s="88" t="s">
        <v>4520</v>
      </c>
      <c r="D29" s="47"/>
      <c r="E29" s="47"/>
      <c r="F29" s="47"/>
      <c r="G29" s="47"/>
      <c r="H29" s="47"/>
      <c r="I29" s="47"/>
      <c r="J29" s="15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4447</v>
      </c>
      <c r="C30" s="88" t="s">
        <v>1434</v>
      </c>
      <c r="D30" s="72"/>
      <c r="E30" s="67"/>
      <c r="F30" s="67"/>
      <c r="G30" s="19"/>
      <c r="H30" s="19"/>
      <c r="I30" s="19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9">
        <v>19</v>
      </c>
      <c r="B31" s="76" t="s">
        <v>4448</v>
      </c>
      <c r="C31" s="88" t="s">
        <v>2672</v>
      </c>
      <c r="D31" s="47"/>
      <c r="E31" s="47"/>
      <c r="F31" s="47"/>
      <c r="G31" s="15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9">
        <v>20</v>
      </c>
      <c r="B32" s="76" t="s">
        <v>4449</v>
      </c>
      <c r="C32" s="89" t="s">
        <v>3441</v>
      </c>
      <c r="D32" s="47"/>
      <c r="E32" s="47"/>
      <c r="F32" s="47"/>
      <c r="G32" s="15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25">
      <c r="A33" s="9">
        <v>21</v>
      </c>
      <c r="B33" s="76" t="s">
        <v>4450</v>
      </c>
      <c r="C33" s="88" t="s">
        <v>3408</v>
      </c>
      <c r="D33" s="47"/>
      <c r="E33" s="47"/>
      <c r="F33" s="47"/>
      <c r="G33" s="20"/>
      <c r="H33" s="14"/>
      <c r="I33" s="14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25">
      <c r="A34" s="9">
        <v>22</v>
      </c>
      <c r="B34" s="76" t="s">
        <v>4451</v>
      </c>
      <c r="C34" s="88" t="s">
        <v>1198</v>
      </c>
      <c r="D34" s="47"/>
      <c r="E34" s="47"/>
      <c r="F34" s="47"/>
      <c r="G34" s="71"/>
      <c r="H34" s="63"/>
      <c r="I34" s="47"/>
      <c r="J34" s="15"/>
      <c r="K34" s="12"/>
      <c r="L34" s="12"/>
      <c r="M34" s="12"/>
      <c r="N34" s="12"/>
      <c r="O34" s="12"/>
      <c r="P34" s="12"/>
      <c r="Q34" s="12"/>
    </row>
    <row r="35" spans="1:17" ht="15.75" customHeight="1" x14ac:dyDescent="0.25">
      <c r="A35" s="9">
        <v>23</v>
      </c>
      <c r="B35" s="76" t="s">
        <v>4452</v>
      </c>
      <c r="C35" s="88" t="s">
        <v>3144</v>
      </c>
      <c r="D35" s="47"/>
      <c r="E35" s="47"/>
      <c r="F35" s="47"/>
      <c r="G35" s="60"/>
      <c r="H35" s="47"/>
      <c r="I35" s="60"/>
      <c r="J35" s="15"/>
      <c r="K35" s="12"/>
      <c r="L35" s="12"/>
      <c r="M35" s="12"/>
      <c r="N35" s="12"/>
      <c r="O35" s="12"/>
      <c r="P35" s="12"/>
      <c r="Q35" s="12"/>
    </row>
    <row r="36" spans="1:17" ht="15.75" customHeight="1" x14ac:dyDescent="0.25">
      <c r="A36" s="9">
        <v>24</v>
      </c>
      <c r="B36" s="76" t="s">
        <v>4453</v>
      </c>
      <c r="C36" s="88" t="s">
        <v>997</v>
      </c>
      <c r="D36" s="47"/>
      <c r="E36" s="47"/>
      <c r="F36" s="47"/>
      <c r="G36" s="60"/>
      <c r="H36" s="47"/>
      <c r="I36" s="60"/>
      <c r="J36" s="15"/>
      <c r="K36" s="12"/>
      <c r="L36" s="12"/>
      <c r="M36" s="12"/>
      <c r="N36" s="12"/>
      <c r="O36" s="12"/>
      <c r="P36" s="12"/>
      <c r="Q36" s="12"/>
    </row>
    <row r="37" spans="1:17" ht="15.75" customHeight="1" x14ac:dyDescent="0.25">
      <c r="A37" s="9">
        <v>25</v>
      </c>
      <c r="B37" s="76" t="s">
        <v>4454</v>
      </c>
      <c r="C37" s="89" t="s">
        <v>3727</v>
      </c>
      <c r="D37" s="47"/>
      <c r="E37" s="47"/>
      <c r="F37" s="47"/>
      <c r="G37" s="60"/>
      <c r="H37" s="47"/>
      <c r="I37" s="60"/>
      <c r="J37" s="15"/>
      <c r="K37" s="12"/>
      <c r="L37" s="12"/>
      <c r="M37" s="12"/>
      <c r="N37" s="12"/>
      <c r="O37" s="12"/>
      <c r="P37" s="12"/>
      <c r="Q37" s="12"/>
    </row>
    <row r="38" spans="1:17" ht="15.75" customHeight="1" x14ac:dyDescent="0.25">
      <c r="A38" s="9">
        <v>26</v>
      </c>
      <c r="B38" s="76" t="s">
        <v>4455</v>
      </c>
      <c r="C38" s="89" t="s">
        <v>3378</v>
      </c>
      <c r="D38" s="47"/>
      <c r="E38" s="47"/>
      <c r="F38" s="47"/>
      <c r="G38" s="60"/>
      <c r="H38" s="47"/>
      <c r="I38" s="60"/>
      <c r="J38" s="15"/>
      <c r="K38" s="12"/>
      <c r="L38" s="12"/>
      <c r="M38" s="12"/>
      <c r="N38" s="12"/>
      <c r="O38" s="12"/>
      <c r="P38" s="12"/>
      <c r="Q38" s="12"/>
    </row>
    <row r="39" spans="1:17" s="86" customFormat="1" ht="15.75" customHeight="1" x14ac:dyDescent="0.25">
      <c r="A39" s="9">
        <v>27</v>
      </c>
      <c r="B39" s="76" t="s">
        <v>4456</v>
      </c>
      <c r="C39" s="88" t="s">
        <v>2680</v>
      </c>
      <c r="D39" s="47"/>
      <c r="E39" s="47"/>
      <c r="F39" s="47"/>
      <c r="G39" s="60"/>
      <c r="H39" s="47"/>
      <c r="I39" s="60"/>
      <c r="J39" s="15"/>
      <c r="K39" s="12"/>
      <c r="L39" s="12"/>
      <c r="M39" s="12"/>
      <c r="N39" s="12"/>
      <c r="O39" s="12"/>
      <c r="P39" s="12"/>
      <c r="Q39" s="12"/>
    </row>
    <row r="40" spans="1:17" s="86" customFormat="1" ht="15.75" customHeight="1" x14ac:dyDescent="0.25">
      <c r="A40" s="9">
        <v>28</v>
      </c>
      <c r="B40" s="76" t="s">
        <v>4457</v>
      </c>
      <c r="C40" s="88" t="s">
        <v>3342</v>
      </c>
      <c r="D40" s="47"/>
      <c r="E40" s="47"/>
      <c r="F40" s="47"/>
      <c r="G40" s="60"/>
      <c r="H40" s="47"/>
      <c r="I40" s="60"/>
      <c r="J40" s="15"/>
      <c r="K40" s="12"/>
      <c r="L40" s="12"/>
      <c r="M40" s="12"/>
      <c r="N40" s="12"/>
      <c r="O40" s="12"/>
      <c r="P40" s="12"/>
      <c r="Q40" s="12"/>
    </row>
    <row r="41" spans="1:17" s="86" customFormat="1" ht="15.75" customHeight="1" x14ac:dyDescent="0.25">
      <c r="A41" s="9">
        <v>29</v>
      </c>
      <c r="B41" s="76" t="s">
        <v>4458</v>
      </c>
      <c r="C41" s="88" t="s">
        <v>1994</v>
      </c>
      <c r="D41" s="47"/>
      <c r="E41" s="47"/>
      <c r="F41" s="47"/>
      <c r="G41" s="60"/>
      <c r="H41" s="47"/>
      <c r="I41" s="60"/>
      <c r="J41" s="15"/>
      <c r="K41" s="12"/>
      <c r="L41" s="12"/>
      <c r="M41" s="12"/>
      <c r="N41" s="12"/>
      <c r="O41" s="12"/>
      <c r="P41" s="12"/>
      <c r="Q41" s="12"/>
    </row>
    <row r="42" spans="1:17" s="86" customFormat="1" ht="15.75" customHeight="1" x14ac:dyDescent="0.25">
      <c r="A42" s="9">
        <v>30</v>
      </c>
      <c r="B42" s="76" t="s">
        <v>4459</v>
      </c>
      <c r="C42" s="88" t="s">
        <v>1355</v>
      </c>
      <c r="D42" s="47"/>
      <c r="E42" s="47"/>
      <c r="F42" s="47"/>
      <c r="G42" s="60"/>
      <c r="H42" s="47"/>
      <c r="I42" s="60"/>
      <c r="J42" s="15"/>
      <c r="K42" s="12"/>
      <c r="L42" s="12"/>
      <c r="M42" s="12"/>
      <c r="N42" s="12"/>
      <c r="O42" s="12"/>
      <c r="P42" s="12"/>
      <c r="Q42" s="12"/>
    </row>
    <row r="43" spans="1:17" ht="15.75" customHeight="1" x14ac:dyDescent="0.25">
      <c r="A43" s="9">
        <v>31</v>
      </c>
      <c r="B43" s="76" t="s">
        <v>4460</v>
      </c>
      <c r="C43" s="89" t="s">
        <v>1621</v>
      </c>
      <c r="D43" s="47"/>
      <c r="E43" s="47"/>
      <c r="F43" s="47"/>
      <c r="G43" s="60"/>
      <c r="H43" s="47"/>
      <c r="I43" s="60"/>
      <c r="J43" s="15"/>
      <c r="K43" s="12"/>
      <c r="L43" s="12"/>
      <c r="M43" s="12"/>
      <c r="N43" s="12"/>
      <c r="O43" s="12"/>
      <c r="P43" s="12"/>
      <c r="Q43" s="12"/>
    </row>
    <row r="44" spans="1:17" ht="15.75" customHeight="1" x14ac:dyDescent="0.25">
      <c r="A44" s="9">
        <v>32</v>
      </c>
      <c r="B44" s="76" t="s">
        <v>4461</v>
      </c>
      <c r="C44" s="88" t="s">
        <v>3360</v>
      </c>
      <c r="D44" s="47"/>
      <c r="E44" s="47"/>
      <c r="F44" s="47"/>
      <c r="G44" s="60"/>
      <c r="H44" s="47"/>
      <c r="I44" s="60"/>
      <c r="J44" s="15"/>
      <c r="K44" s="12"/>
      <c r="L44" s="12"/>
      <c r="M44" s="12"/>
      <c r="N44" s="12"/>
      <c r="O44" s="12"/>
      <c r="P44" s="12"/>
      <c r="Q44" s="12"/>
    </row>
    <row r="45" spans="1:17" s="86" customFormat="1" ht="15.75" customHeight="1" x14ac:dyDescent="0.25">
      <c r="A45" s="9">
        <v>33</v>
      </c>
      <c r="B45" s="76" t="s">
        <v>4462</v>
      </c>
      <c r="C45" s="88" t="s">
        <v>2958</v>
      </c>
      <c r="D45" s="47"/>
      <c r="E45" s="47"/>
      <c r="F45" s="47"/>
      <c r="G45" s="60"/>
      <c r="H45" s="47"/>
      <c r="I45" s="60"/>
      <c r="J45" s="15"/>
      <c r="K45" s="12"/>
      <c r="L45" s="12"/>
      <c r="M45" s="12"/>
      <c r="N45" s="12"/>
      <c r="O45" s="12"/>
      <c r="P45" s="12"/>
      <c r="Q45" s="12"/>
    </row>
    <row r="46" spans="1:17" s="86" customFormat="1" ht="15.75" customHeight="1" x14ac:dyDescent="0.25">
      <c r="A46" s="9">
        <v>34</v>
      </c>
      <c r="B46" s="76" t="s">
        <v>4463</v>
      </c>
      <c r="C46" s="88" t="s">
        <v>2927</v>
      </c>
      <c r="D46" s="47"/>
      <c r="E46" s="47"/>
      <c r="F46" s="47"/>
      <c r="G46" s="60"/>
      <c r="H46" s="47"/>
      <c r="I46" s="60"/>
      <c r="J46" s="15"/>
      <c r="K46" s="12"/>
      <c r="L46" s="12"/>
      <c r="M46" s="12"/>
      <c r="N46" s="12"/>
      <c r="O46" s="12"/>
      <c r="P46" s="12"/>
      <c r="Q46" s="12"/>
    </row>
    <row r="47" spans="1:17" ht="15.75" customHeight="1" x14ac:dyDescent="0.25">
      <c r="A47" s="9">
        <v>35</v>
      </c>
      <c r="B47" s="73"/>
      <c r="C47" s="73"/>
      <c r="D47" s="47"/>
      <c r="E47" s="47"/>
      <c r="F47" s="47"/>
      <c r="G47" s="60"/>
      <c r="H47" s="47"/>
      <c r="I47" s="60"/>
      <c r="J47" s="15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9">
        <v>36</v>
      </c>
      <c r="B48" s="50"/>
      <c r="C48" s="50"/>
      <c r="D48" s="47"/>
      <c r="E48" s="47"/>
      <c r="F48" s="47"/>
      <c r="G48" s="60"/>
      <c r="H48" s="47"/>
      <c r="I48" s="29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4063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C13:C45">
    <sortCondition ref="C13:C45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39370078740157483" bottom="0.39370078740157483" header="0" footer="0"/>
  <pageSetup paperSize="10000" scale="8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36C09"/>
    <pageSetUpPr fitToPage="1"/>
  </sheetPr>
  <dimension ref="A1:Q1000"/>
  <sheetViews>
    <sheetView workbookViewId="0">
      <selection activeCell="J38" sqref="J38"/>
    </sheetView>
  </sheetViews>
  <sheetFormatPr defaultColWidth="14.42578125" defaultRowHeight="15" customHeight="1" x14ac:dyDescent="0.25"/>
  <cols>
    <col min="1" max="1" width="4.85546875" customWidth="1"/>
    <col min="2" max="2" width="8.7109375" customWidth="1"/>
    <col min="3" max="3" width="39" customWidth="1"/>
    <col min="4" max="8" width="3.5703125" customWidth="1"/>
    <col min="9" max="11" width="4.140625" customWidth="1"/>
    <col min="12" max="16" width="4.42578125" customWidth="1"/>
    <col min="17" max="17" width="5" customWidth="1"/>
    <col min="18" max="26" width="8.7109375" customWidth="1"/>
  </cols>
  <sheetData>
    <row r="1" spans="1:17" x14ac:dyDescent="0.25">
      <c r="M1" s="143" t="s">
        <v>0</v>
      </c>
      <c r="N1" s="128"/>
      <c r="O1" s="128"/>
      <c r="P1" s="128"/>
      <c r="Q1" s="129"/>
    </row>
    <row r="2" spans="1:17" x14ac:dyDescent="0.25">
      <c r="M2" s="143" t="s">
        <v>4495</v>
      </c>
      <c r="N2" s="128"/>
      <c r="O2" s="128"/>
      <c r="P2" s="128"/>
      <c r="Q2" s="129"/>
    </row>
    <row r="3" spans="1:17" ht="15.75" x14ac:dyDescent="0.3">
      <c r="A3" s="144" t="s">
        <v>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</row>
    <row r="4" spans="1:17" x14ac:dyDescent="0.25">
      <c r="A4" s="145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x14ac:dyDescent="0.25">
      <c r="A5" s="146" t="s">
        <v>3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ht="15.75" x14ac:dyDescent="0.25">
      <c r="A6" s="147" t="s">
        <v>37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ht="15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3"/>
      <c r="L8" s="2" t="s">
        <v>6</v>
      </c>
      <c r="M8" s="2"/>
      <c r="N8" s="2"/>
      <c r="O8" s="2"/>
      <c r="P8" s="2"/>
      <c r="Q8" s="2"/>
    </row>
    <row r="9" spans="1:17" ht="19.5" customHeight="1" x14ac:dyDescent="0.25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3"/>
      <c r="L9" s="4" t="s">
        <v>596</v>
      </c>
      <c r="M9" s="2"/>
      <c r="N9" s="2"/>
      <c r="O9" s="2"/>
      <c r="P9" s="2"/>
      <c r="Q9" s="2"/>
    </row>
    <row r="10" spans="1:17" ht="19.5" customHeight="1" x14ac:dyDescent="0.25">
      <c r="A10" s="2" t="s">
        <v>8</v>
      </c>
      <c r="B10" s="2"/>
      <c r="C10" s="4" t="s">
        <v>4021</v>
      </c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</row>
    <row r="11" spans="1:17" ht="15" customHeight="1" x14ac:dyDescent="0.3">
      <c r="A11" s="133" t="s">
        <v>9</v>
      </c>
      <c r="B11" s="129"/>
      <c r="C11" s="148" t="s">
        <v>10</v>
      </c>
      <c r="D11" s="134" t="s">
        <v>11</v>
      </c>
      <c r="E11" s="128"/>
      <c r="F11" s="128"/>
      <c r="G11" s="128"/>
      <c r="H11" s="129"/>
      <c r="I11" s="142" t="s">
        <v>12</v>
      </c>
      <c r="J11" s="128"/>
      <c r="K11" s="129"/>
      <c r="L11" s="142" t="s">
        <v>13</v>
      </c>
      <c r="M11" s="128"/>
      <c r="N11" s="128"/>
      <c r="O11" s="128"/>
      <c r="P11" s="129"/>
      <c r="Q11" s="150" t="s">
        <v>14</v>
      </c>
    </row>
    <row r="12" spans="1:17" ht="15" customHeight="1" x14ac:dyDescent="0.3">
      <c r="A12" s="5" t="s">
        <v>15</v>
      </c>
      <c r="B12" s="5" t="s">
        <v>16</v>
      </c>
      <c r="C12" s="149"/>
      <c r="D12" s="6"/>
      <c r="E12" s="6"/>
      <c r="F12" s="6"/>
      <c r="G12" s="6"/>
      <c r="H12" s="6"/>
      <c r="I12" s="7" t="s">
        <v>17</v>
      </c>
      <c r="J12" s="7" t="s">
        <v>18</v>
      </c>
      <c r="K12" s="7" t="s">
        <v>19</v>
      </c>
      <c r="L12" s="8">
        <v>1</v>
      </c>
      <c r="M12" s="8">
        <v>2</v>
      </c>
      <c r="N12" s="8">
        <v>3</v>
      </c>
      <c r="O12" s="8">
        <v>4</v>
      </c>
      <c r="P12" s="8">
        <v>5</v>
      </c>
      <c r="Q12" s="149"/>
    </row>
    <row r="13" spans="1:17" x14ac:dyDescent="0.25">
      <c r="A13" s="9">
        <v>1</v>
      </c>
      <c r="B13" s="76" t="s">
        <v>4464</v>
      </c>
      <c r="C13" s="89" t="s">
        <v>3862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9">
        <v>2</v>
      </c>
      <c r="B14" s="76" t="s">
        <v>4465</v>
      </c>
      <c r="C14" s="88" t="s">
        <v>3779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9">
        <v>3</v>
      </c>
      <c r="B15" s="76" t="s">
        <v>4466</v>
      </c>
      <c r="C15" s="88" t="s">
        <v>3024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25">
      <c r="A16" s="9">
        <v>4</v>
      </c>
      <c r="B16" s="76" t="s">
        <v>4467</v>
      </c>
      <c r="C16" s="88" t="s">
        <v>3928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25">
      <c r="A17" s="9">
        <v>5</v>
      </c>
      <c r="B17" s="76" t="s">
        <v>4468</v>
      </c>
      <c r="C17" s="89" t="s">
        <v>2902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25">
      <c r="A18" s="9">
        <v>6</v>
      </c>
      <c r="B18" s="76" t="s">
        <v>4469</v>
      </c>
      <c r="C18" s="89" t="s">
        <v>3855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x14ac:dyDescent="0.25">
      <c r="A19" s="9">
        <v>7</v>
      </c>
      <c r="B19" s="76" t="s">
        <v>4470</v>
      </c>
      <c r="C19" s="88" t="s">
        <v>895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25">
      <c r="A20" s="9">
        <v>8</v>
      </c>
      <c r="B20" s="76" t="s">
        <v>4471</v>
      </c>
      <c r="C20" s="88" t="s">
        <v>2478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25">
      <c r="A21" s="9">
        <v>9</v>
      </c>
      <c r="B21" s="76" t="s">
        <v>4472</v>
      </c>
      <c r="C21" s="88" t="s">
        <v>1696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5.75" customHeight="1" x14ac:dyDescent="0.25">
      <c r="A22" s="9">
        <v>10</v>
      </c>
      <c r="B22" s="76" t="s">
        <v>4473</v>
      </c>
      <c r="C22" s="89" t="s">
        <v>3742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25">
      <c r="A23" s="9">
        <v>11</v>
      </c>
      <c r="B23" s="76" t="s">
        <v>4474</v>
      </c>
      <c r="C23" s="88" t="s">
        <v>3668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25">
      <c r="A24" s="9">
        <v>12</v>
      </c>
      <c r="B24" s="76" t="s">
        <v>4475</v>
      </c>
      <c r="C24" s="88" t="s">
        <v>932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25">
      <c r="A25" s="9">
        <v>13</v>
      </c>
      <c r="B25" s="76" t="s">
        <v>4476</v>
      </c>
      <c r="C25" s="89" t="s">
        <v>2656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25">
      <c r="A26" s="9">
        <v>14</v>
      </c>
      <c r="B26" s="76" t="s">
        <v>4477</v>
      </c>
      <c r="C26" s="89" t="s">
        <v>3967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25">
      <c r="A27" s="9">
        <v>15</v>
      </c>
      <c r="B27" s="76" t="s">
        <v>4478</v>
      </c>
      <c r="C27" s="88" t="s">
        <v>3766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25">
      <c r="A28" s="9">
        <v>16</v>
      </c>
      <c r="B28" s="76" t="s">
        <v>4479</v>
      </c>
      <c r="C28" s="88" t="s">
        <v>2472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15.75" customHeight="1" x14ac:dyDescent="0.25">
      <c r="A29" s="9">
        <v>17</v>
      </c>
      <c r="B29" s="76" t="s">
        <v>4480</v>
      </c>
      <c r="C29" s="88" t="s">
        <v>3070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15.75" customHeight="1" x14ac:dyDescent="0.25">
      <c r="A30" s="9">
        <v>18</v>
      </c>
      <c r="B30" s="76" t="s">
        <v>4481</v>
      </c>
      <c r="C30" s="88" t="s">
        <v>3653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17" ht="15.75" customHeight="1" x14ac:dyDescent="0.25">
      <c r="A31" s="27">
        <v>19</v>
      </c>
      <c r="B31" s="99" t="s">
        <v>4482</v>
      </c>
      <c r="C31" s="158" t="s">
        <v>2785</v>
      </c>
      <c r="D31" s="14"/>
      <c r="E31" s="14"/>
      <c r="F31" s="14"/>
      <c r="G31" s="14"/>
      <c r="H31" s="14"/>
      <c r="I31" s="14"/>
      <c r="J31" s="14"/>
      <c r="K31" s="12"/>
      <c r="L31" s="12"/>
      <c r="M31" s="12"/>
      <c r="N31" s="12"/>
      <c r="O31" s="12"/>
      <c r="P31" s="12"/>
      <c r="Q31" s="12"/>
    </row>
    <row r="32" spans="1:17" ht="15.75" customHeight="1" x14ac:dyDescent="0.25">
      <c r="A32" s="48">
        <v>20</v>
      </c>
      <c r="B32" s="85" t="s">
        <v>4483</v>
      </c>
      <c r="C32" s="88" t="s">
        <v>3315</v>
      </c>
      <c r="D32" s="47"/>
      <c r="E32" s="47"/>
      <c r="F32" s="47"/>
      <c r="G32" s="47"/>
      <c r="H32" s="47"/>
      <c r="I32" s="47"/>
      <c r="J32" s="47"/>
      <c r="K32" s="15"/>
      <c r="L32" s="12"/>
      <c r="M32" s="12"/>
      <c r="N32" s="12"/>
      <c r="O32" s="12"/>
      <c r="P32" s="12"/>
      <c r="Q32" s="12"/>
    </row>
    <row r="33" spans="1:17" ht="15.75" customHeight="1" x14ac:dyDescent="0.25">
      <c r="A33" s="48">
        <v>21</v>
      </c>
      <c r="B33" s="85" t="s">
        <v>4484</v>
      </c>
      <c r="C33" s="89" t="s">
        <v>3004</v>
      </c>
      <c r="D33" s="47"/>
      <c r="E33" s="47"/>
      <c r="F33" s="47"/>
      <c r="G33" s="47"/>
      <c r="H33" s="47"/>
      <c r="I33" s="47"/>
      <c r="J33" s="47"/>
      <c r="K33" s="15"/>
      <c r="L33" s="12"/>
      <c r="M33" s="12"/>
      <c r="N33" s="12"/>
      <c r="O33" s="12"/>
      <c r="P33" s="12"/>
      <c r="Q33" s="12"/>
    </row>
    <row r="34" spans="1:17" ht="15.75" customHeight="1" x14ac:dyDescent="0.25">
      <c r="A34" s="48">
        <v>22</v>
      </c>
      <c r="B34" s="85" t="s">
        <v>4485</v>
      </c>
      <c r="C34" s="89" t="s">
        <v>3716</v>
      </c>
      <c r="D34" s="47"/>
      <c r="E34" s="47"/>
      <c r="F34" s="47"/>
      <c r="G34" s="47"/>
      <c r="H34" s="47"/>
      <c r="I34" s="47"/>
      <c r="J34" s="47"/>
      <c r="K34" s="15"/>
      <c r="L34" s="12"/>
      <c r="M34" s="12"/>
      <c r="N34" s="12"/>
      <c r="O34" s="12"/>
      <c r="P34" s="12"/>
      <c r="Q34" s="12"/>
    </row>
    <row r="35" spans="1:17" ht="15.75" customHeight="1" x14ac:dyDescent="0.25">
      <c r="A35" s="48">
        <v>23</v>
      </c>
      <c r="B35" s="85" t="s">
        <v>4486</v>
      </c>
      <c r="C35" s="88" t="s">
        <v>3015</v>
      </c>
      <c r="D35" s="47"/>
      <c r="E35" s="47"/>
      <c r="F35" s="47"/>
      <c r="G35" s="47"/>
      <c r="H35" s="47"/>
      <c r="I35" s="47"/>
      <c r="J35" s="47"/>
      <c r="K35" s="15"/>
      <c r="L35" s="12"/>
      <c r="M35" s="12"/>
      <c r="N35" s="12"/>
      <c r="O35" s="12"/>
      <c r="P35" s="12"/>
      <c r="Q35" s="12"/>
    </row>
    <row r="36" spans="1:17" s="86" customFormat="1" ht="15.75" customHeight="1" x14ac:dyDescent="0.25">
      <c r="A36" s="48">
        <v>24</v>
      </c>
      <c r="B36" s="85" t="s">
        <v>4487</v>
      </c>
      <c r="C36" s="88" t="s">
        <v>884</v>
      </c>
      <c r="D36" s="47"/>
      <c r="E36" s="47"/>
      <c r="F36" s="47"/>
      <c r="G36" s="47"/>
      <c r="H36" s="47"/>
      <c r="I36" s="47"/>
      <c r="J36" s="47"/>
      <c r="K36" s="15"/>
      <c r="L36" s="12"/>
      <c r="M36" s="12"/>
      <c r="N36" s="12"/>
      <c r="O36" s="12"/>
      <c r="P36" s="12"/>
      <c r="Q36" s="12"/>
    </row>
    <row r="37" spans="1:17" s="86" customFormat="1" ht="15.75" customHeight="1" x14ac:dyDescent="0.25">
      <c r="A37" s="48">
        <v>25</v>
      </c>
      <c r="B37" s="85" t="s">
        <v>4488</v>
      </c>
      <c r="C37" s="88" t="s">
        <v>2792</v>
      </c>
      <c r="D37" s="47"/>
      <c r="E37" s="47"/>
      <c r="F37" s="47"/>
      <c r="G37" s="47"/>
      <c r="H37" s="47"/>
      <c r="I37" s="47"/>
      <c r="J37" s="47"/>
      <c r="K37" s="15"/>
      <c r="L37" s="12"/>
      <c r="M37" s="12"/>
      <c r="N37" s="12"/>
      <c r="O37" s="12"/>
      <c r="P37" s="12"/>
      <c r="Q37" s="12"/>
    </row>
    <row r="38" spans="1:17" s="86" customFormat="1" ht="15.75" customHeight="1" x14ac:dyDescent="0.25">
      <c r="A38" s="48">
        <v>26</v>
      </c>
      <c r="B38" s="85" t="s">
        <v>4489</v>
      </c>
      <c r="C38" s="88" t="s">
        <v>3608</v>
      </c>
      <c r="D38" s="47"/>
      <c r="E38" s="47"/>
      <c r="F38" s="47"/>
      <c r="G38" s="47"/>
      <c r="H38" s="47"/>
      <c r="I38" s="47"/>
      <c r="J38" s="47"/>
      <c r="K38" s="15"/>
      <c r="L38" s="12"/>
      <c r="M38" s="12"/>
      <c r="N38" s="12"/>
      <c r="O38" s="12"/>
      <c r="P38" s="12"/>
      <c r="Q38" s="12"/>
    </row>
    <row r="39" spans="1:17" s="86" customFormat="1" ht="15.75" customHeight="1" x14ac:dyDescent="0.25">
      <c r="A39" s="48">
        <v>27</v>
      </c>
      <c r="B39" s="85" t="s">
        <v>4490</v>
      </c>
      <c r="C39" s="88" t="s">
        <v>1204</v>
      </c>
      <c r="D39" s="47"/>
      <c r="E39" s="47"/>
      <c r="F39" s="47"/>
      <c r="G39" s="47"/>
      <c r="H39" s="47"/>
      <c r="I39" s="47"/>
      <c r="J39" s="47"/>
      <c r="K39" s="15"/>
      <c r="L39" s="12"/>
      <c r="M39" s="12"/>
      <c r="N39" s="12"/>
      <c r="O39" s="12"/>
      <c r="P39" s="12"/>
      <c r="Q39" s="12"/>
    </row>
    <row r="40" spans="1:17" s="86" customFormat="1" ht="15.75" customHeight="1" x14ac:dyDescent="0.25">
      <c r="A40" s="48">
        <v>28</v>
      </c>
      <c r="B40" s="85" t="s">
        <v>4491</v>
      </c>
      <c r="C40" s="88" t="s">
        <v>3137</v>
      </c>
      <c r="D40" s="47"/>
      <c r="E40" s="47"/>
      <c r="F40" s="47"/>
      <c r="G40" s="47"/>
      <c r="H40" s="47"/>
      <c r="I40" s="47"/>
      <c r="J40" s="47"/>
      <c r="K40" s="15"/>
      <c r="L40" s="12"/>
      <c r="M40" s="12"/>
      <c r="N40" s="12"/>
      <c r="O40" s="12"/>
      <c r="P40" s="12"/>
      <c r="Q40" s="12"/>
    </row>
    <row r="41" spans="1:17" s="86" customFormat="1" ht="15.75" customHeight="1" x14ac:dyDescent="0.25">
      <c r="A41" s="48">
        <v>29</v>
      </c>
      <c r="B41" s="85" t="s">
        <v>4492</v>
      </c>
      <c r="C41" s="88" t="s">
        <v>1340</v>
      </c>
      <c r="D41" s="47"/>
      <c r="E41" s="47"/>
      <c r="F41" s="47"/>
      <c r="G41" s="47"/>
      <c r="H41" s="47"/>
      <c r="I41" s="47"/>
      <c r="J41" s="47"/>
      <c r="K41" s="15"/>
      <c r="L41" s="12"/>
      <c r="M41" s="12"/>
      <c r="N41" s="12"/>
      <c r="O41" s="12"/>
      <c r="P41" s="12"/>
      <c r="Q41" s="12"/>
    </row>
    <row r="42" spans="1:17" s="86" customFormat="1" ht="15.75" customHeight="1" x14ac:dyDescent="0.25">
      <c r="A42" s="48">
        <v>30</v>
      </c>
      <c r="B42" s="85" t="s">
        <v>4493</v>
      </c>
      <c r="C42" s="88" t="s">
        <v>1911</v>
      </c>
      <c r="D42" s="47"/>
      <c r="E42" s="47"/>
      <c r="F42" s="47"/>
      <c r="G42" s="47"/>
      <c r="H42" s="47"/>
      <c r="I42" s="47"/>
      <c r="J42" s="47"/>
      <c r="K42" s="15"/>
      <c r="L42" s="12"/>
      <c r="M42" s="12"/>
      <c r="N42" s="12"/>
      <c r="O42" s="12"/>
      <c r="P42" s="12"/>
      <c r="Q42" s="12"/>
    </row>
    <row r="43" spans="1:17" ht="15.75" customHeight="1" x14ac:dyDescent="0.25">
      <c r="A43" s="48">
        <v>31</v>
      </c>
      <c r="B43" s="85" t="s">
        <v>4494</v>
      </c>
      <c r="C43" s="89" t="s">
        <v>3389</v>
      </c>
      <c r="D43" s="47"/>
      <c r="E43" s="47"/>
      <c r="F43" s="47"/>
      <c r="G43" s="47"/>
      <c r="H43" s="47"/>
      <c r="I43" s="47"/>
      <c r="J43" s="47"/>
      <c r="K43" s="15"/>
      <c r="L43" s="12"/>
      <c r="M43" s="12"/>
      <c r="N43" s="12"/>
      <c r="O43" s="12"/>
      <c r="P43" s="12"/>
      <c r="Q43" s="12"/>
    </row>
    <row r="44" spans="1:17" ht="15.75" customHeight="1" x14ac:dyDescent="0.25">
      <c r="A44" s="48">
        <v>32</v>
      </c>
      <c r="B44" s="50"/>
      <c r="C44" s="50"/>
      <c r="D44" s="47"/>
      <c r="E44" s="47"/>
      <c r="F44" s="47"/>
      <c r="G44" s="47"/>
      <c r="H44" s="47"/>
      <c r="I44" s="47"/>
      <c r="J44" s="47"/>
      <c r="K44" s="15"/>
      <c r="L44" s="12"/>
      <c r="M44" s="12"/>
      <c r="N44" s="12"/>
      <c r="O44" s="12"/>
      <c r="P44" s="12"/>
      <c r="Q44" s="12"/>
    </row>
    <row r="45" spans="1:17" ht="15.75" customHeight="1" x14ac:dyDescent="0.25">
      <c r="A45" s="48">
        <v>33</v>
      </c>
      <c r="B45" s="49"/>
      <c r="C45" s="51"/>
      <c r="D45" s="47"/>
      <c r="E45" s="47"/>
      <c r="F45" s="47"/>
      <c r="G45" s="47"/>
      <c r="H45" s="47"/>
      <c r="I45" s="47"/>
      <c r="J45" s="47"/>
      <c r="K45" s="15"/>
      <c r="L45" s="12"/>
      <c r="M45" s="12"/>
      <c r="N45" s="12"/>
      <c r="O45" s="12"/>
      <c r="P45" s="12"/>
      <c r="Q45" s="12"/>
    </row>
    <row r="46" spans="1:17" ht="15.75" customHeight="1" x14ac:dyDescent="0.25">
      <c r="A46" s="48">
        <v>34</v>
      </c>
      <c r="B46" s="49"/>
      <c r="C46" s="51"/>
      <c r="D46" s="47"/>
      <c r="E46" s="47"/>
      <c r="F46" s="47"/>
      <c r="G46" s="47"/>
      <c r="H46" s="47"/>
      <c r="I46" s="47"/>
      <c r="J46" s="47"/>
      <c r="K46" s="15"/>
      <c r="L46" s="12"/>
      <c r="M46" s="12"/>
      <c r="N46" s="12"/>
      <c r="O46" s="12"/>
      <c r="P46" s="12"/>
      <c r="Q46" s="12"/>
    </row>
    <row r="47" spans="1:17" ht="15.75" customHeight="1" x14ac:dyDescent="0.25">
      <c r="A47" s="28">
        <v>35</v>
      </c>
      <c r="B47" s="16"/>
      <c r="C47" s="17"/>
      <c r="D47" s="19"/>
      <c r="E47" s="19"/>
      <c r="F47" s="19"/>
      <c r="G47" s="19"/>
      <c r="H47" s="19"/>
      <c r="I47" s="19"/>
      <c r="J47" s="19"/>
      <c r="K47" s="12"/>
      <c r="L47" s="12"/>
      <c r="M47" s="12"/>
      <c r="N47" s="12"/>
      <c r="O47" s="12"/>
      <c r="P47" s="12"/>
      <c r="Q47" s="12"/>
    </row>
    <row r="48" spans="1:17" ht="15.75" customHeight="1" x14ac:dyDescent="0.25">
      <c r="A48" s="9">
        <v>36</v>
      </c>
      <c r="B48" s="10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 ht="15.75" customHeight="1" x14ac:dyDescent="0.25">
      <c r="A49" s="2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1:17" ht="15.75" customHeight="1" x14ac:dyDescent="0.25">
      <c r="A50" s="135" t="s">
        <v>20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9"/>
      <c r="L50" s="136" t="s">
        <v>21</v>
      </c>
      <c r="M50" s="137"/>
      <c r="N50" s="137"/>
      <c r="O50" s="137"/>
      <c r="P50" s="137"/>
      <c r="Q50" s="138"/>
    </row>
    <row r="51" spans="1:17" ht="15.75" customHeight="1" x14ac:dyDescent="0.25">
      <c r="A51" s="8" t="s">
        <v>22</v>
      </c>
      <c r="B51" s="8" t="s">
        <v>23</v>
      </c>
      <c r="C51" s="22" t="s">
        <v>24</v>
      </c>
      <c r="D51" s="135" t="s">
        <v>25</v>
      </c>
      <c r="E51" s="128"/>
      <c r="F51" s="128"/>
      <c r="G51" s="128"/>
      <c r="H51" s="128"/>
      <c r="I51" s="128"/>
      <c r="J51" s="128"/>
      <c r="K51" s="129"/>
      <c r="L51" s="139"/>
      <c r="M51" s="140"/>
      <c r="N51" s="140"/>
      <c r="O51" s="140"/>
      <c r="P51" s="140"/>
      <c r="Q51" s="141"/>
    </row>
    <row r="52" spans="1:17" ht="15.75" customHeight="1" x14ac:dyDescent="0.3">
      <c r="A52" s="9">
        <v>1</v>
      </c>
      <c r="B52" s="12"/>
      <c r="C52" s="23" t="s">
        <v>26</v>
      </c>
      <c r="D52" s="127"/>
      <c r="E52" s="128"/>
      <c r="F52" s="128"/>
      <c r="G52" s="128"/>
      <c r="H52" s="128"/>
      <c r="I52" s="128"/>
      <c r="J52" s="128"/>
      <c r="K52" s="129"/>
      <c r="L52" s="9">
        <v>1</v>
      </c>
      <c r="M52" s="127"/>
      <c r="N52" s="128"/>
      <c r="O52" s="128"/>
      <c r="P52" s="128"/>
      <c r="Q52" s="129"/>
    </row>
    <row r="53" spans="1:17" ht="15.75" customHeight="1" x14ac:dyDescent="0.3">
      <c r="A53" s="9">
        <v>2</v>
      </c>
      <c r="B53" s="12"/>
      <c r="C53" s="23" t="s">
        <v>26</v>
      </c>
      <c r="D53" s="127"/>
      <c r="E53" s="128"/>
      <c r="F53" s="128"/>
      <c r="G53" s="128"/>
      <c r="H53" s="128"/>
      <c r="I53" s="128"/>
      <c r="J53" s="128"/>
      <c r="K53" s="129"/>
      <c r="L53" s="9">
        <v>2</v>
      </c>
      <c r="M53" s="127"/>
      <c r="N53" s="128"/>
      <c r="O53" s="128"/>
      <c r="P53" s="128"/>
      <c r="Q53" s="129"/>
    </row>
    <row r="54" spans="1:17" ht="15.75" customHeight="1" x14ac:dyDescent="0.3">
      <c r="A54" s="9">
        <v>3</v>
      </c>
      <c r="B54" s="12"/>
      <c r="C54" s="23" t="s">
        <v>26</v>
      </c>
      <c r="D54" s="127"/>
      <c r="E54" s="128"/>
      <c r="F54" s="128"/>
      <c r="G54" s="128"/>
      <c r="H54" s="128"/>
      <c r="I54" s="128"/>
      <c r="J54" s="128"/>
      <c r="K54" s="129"/>
      <c r="L54" s="9">
        <v>3</v>
      </c>
      <c r="M54" s="127"/>
      <c r="N54" s="128"/>
      <c r="O54" s="128"/>
      <c r="P54" s="128"/>
      <c r="Q54" s="129"/>
    </row>
    <row r="55" spans="1:17" ht="15.75" customHeight="1" x14ac:dyDescent="0.3">
      <c r="A55" s="9">
        <v>4</v>
      </c>
      <c r="B55" s="12"/>
      <c r="C55" s="23" t="s">
        <v>26</v>
      </c>
      <c r="D55" s="127"/>
      <c r="E55" s="128"/>
      <c r="F55" s="128"/>
      <c r="G55" s="128"/>
      <c r="H55" s="128"/>
      <c r="I55" s="128"/>
      <c r="J55" s="128"/>
      <c r="K55" s="129"/>
      <c r="L55" s="9">
        <v>4</v>
      </c>
      <c r="M55" s="127"/>
      <c r="N55" s="128"/>
      <c r="O55" s="128"/>
      <c r="P55" s="128"/>
      <c r="Q55" s="129"/>
    </row>
    <row r="56" spans="1:17" ht="15.75" customHeight="1" x14ac:dyDescent="0.3">
      <c r="A56" s="9">
        <v>5</v>
      </c>
      <c r="B56" s="12"/>
      <c r="C56" s="23" t="s">
        <v>26</v>
      </c>
      <c r="D56" s="127"/>
      <c r="E56" s="128"/>
      <c r="F56" s="128"/>
      <c r="G56" s="128"/>
      <c r="H56" s="128"/>
      <c r="I56" s="128"/>
      <c r="J56" s="128"/>
      <c r="K56" s="129"/>
      <c r="L56" s="9">
        <v>5</v>
      </c>
      <c r="M56" s="127"/>
      <c r="N56" s="128"/>
      <c r="O56" s="128"/>
      <c r="P56" s="128"/>
      <c r="Q56" s="129"/>
    </row>
    <row r="57" spans="1:17" ht="15.75" customHeight="1" x14ac:dyDescent="0.25">
      <c r="A57" s="24" t="s">
        <v>27</v>
      </c>
      <c r="K57" s="13" t="s">
        <v>28</v>
      </c>
    </row>
    <row r="58" spans="1:17" ht="16.5" customHeight="1" x14ac:dyDescent="0.25">
      <c r="A58" s="130" t="s">
        <v>29</v>
      </c>
      <c r="B58" s="131"/>
      <c r="C58" s="131"/>
      <c r="D58" s="131"/>
      <c r="E58" s="131"/>
      <c r="F58" s="131"/>
      <c r="G58" s="131"/>
      <c r="H58" s="131"/>
      <c r="K58" s="13" t="s">
        <v>30</v>
      </c>
    </row>
    <row r="59" spans="1:17" ht="15.75" customHeight="1" x14ac:dyDescent="0.25">
      <c r="A59" s="131"/>
      <c r="B59" s="131"/>
      <c r="C59" s="131"/>
      <c r="D59" s="131"/>
      <c r="E59" s="131"/>
      <c r="F59" s="131"/>
      <c r="G59" s="131"/>
      <c r="H59" s="131"/>
    </row>
    <row r="60" spans="1:17" ht="15.75" customHeight="1" x14ac:dyDescent="0.25">
      <c r="A60" s="132" t="s">
        <v>31</v>
      </c>
      <c r="B60" s="131"/>
      <c r="C60" s="131"/>
      <c r="D60" s="131"/>
      <c r="E60" s="131"/>
      <c r="F60" s="131"/>
      <c r="G60" s="131"/>
      <c r="H60" s="131"/>
    </row>
    <row r="61" spans="1:17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K61" s="13" t="s">
        <v>32</v>
      </c>
    </row>
    <row r="62" spans="1:17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K62" s="13" t="s">
        <v>33</v>
      </c>
    </row>
    <row r="63" spans="1:17" ht="15.75" customHeight="1" x14ac:dyDescent="0.25"/>
    <row r="64" spans="1:17" ht="15.75" customHeight="1" x14ac:dyDescent="0.25">
      <c r="A64" s="25" t="s">
        <v>4529</v>
      </c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B14:C44">
    <sortCondition ref="C14:C44"/>
  </sortState>
  <mergeCells count="27">
    <mergeCell ref="M55:Q55"/>
    <mergeCell ref="I11:K11"/>
    <mergeCell ref="L11:P11"/>
    <mergeCell ref="M1:Q1"/>
    <mergeCell ref="M2:Q2"/>
    <mergeCell ref="A3:Q3"/>
    <mergeCell ref="A4:Q4"/>
    <mergeCell ref="A5:Q5"/>
    <mergeCell ref="A6:Q6"/>
    <mergeCell ref="C11:C12"/>
    <mergeCell ref="Q11:Q12"/>
    <mergeCell ref="D56:K56"/>
    <mergeCell ref="M56:Q56"/>
    <mergeCell ref="A58:H59"/>
    <mergeCell ref="A60:H62"/>
    <mergeCell ref="A11:B11"/>
    <mergeCell ref="D11:H11"/>
    <mergeCell ref="A50:K50"/>
    <mergeCell ref="L50:Q51"/>
    <mergeCell ref="D51:K51"/>
    <mergeCell ref="D52:K52"/>
    <mergeCell ref="D53:K53"/>
    <mergeCell ref="M52:Q52"/>
    <mergeCell ref="M53:Q53"/>
    <mergeCell ref="D54:K54"/>
    <mergeCell ref="M54:Q54"/>
    <mergeCell ref="D55:K55"/>
  </mergeCells>
  <pageMargins left="0.59055118110236227" right="0.39370078740157483" top="0.19685039370078741" bottom="0.19685039370078741" header="0" footer="0"/>
  <pageSetup paperSize="10000" scale="84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98"/>
  <sheetViews>
    <sheetView workbookViewId="0">
      <selection activeCell="E4" sqref="E4"/>
    </sheetView>
  </sheetViews>
  <sheetFormatPr defaultColWidth="14.42578125" defaultRowHeight="15" customHeight="1" x14ac:dyDescent="0.25"/>
  <cols>
    <col min="1" max="1" width="5.85546875" customWidth="1"/>
    <col min="2" max="2" width="22.85546875" customWidth="1"/>
    <col min="3" max="3" width="13.140625" customWidth="1"/>
    <col min="4" max="7" width="8.7109375" customWidth="1"/>
    <col min="8" max="8" width="9.140625" customWidth="1"/>
    <col min="9" max="9" width="43.85546875" bestFit="1" customWidth="1"/>
    <col min="10" max="10" width="15.5703125" customWidth="1"/>
    <col min="11" max="13" width="8.7109375" customWidth="1"/>
  </cols>
  <sheetData>
    <row r="1" spans="1:13" ht="24.75" customHeight="1" x14ac:dyDescent="0.25">
      <c r="A1" s="94" t="s">
        <v>22</v>
      </c>
      <c r="B1" s="94" t="s">
        <v>38</v>
      </c>
      <c r="C1" s="94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24.75" customHeight="1" x14ac:dyDescent="0.25">
      <c r="A2" s="31">
        <v>1</v>
      </c>
      <c r="B2" s="31" t="s">
        <v>39</v>
      </c>
      <c r="C2" s="32">
        <f>COUNTA('TAV 1'!$C$13:$C$32)</f>
        <v>13</v>
      </c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24.75" customHeight="1" x14ac:dyDescent="0.25">
      <c r="A3" s="31">
        <v>2</v>
      </c>
      <c r="B3" s="33" t="s">
        <v>40</v>
      </c>
      <c r="C3" s="34">
        <f>COUNTA('TPM 1'!$C$13:$C$46)</f>
        <v>29</v>
      </c>
      <c r="D3" s="18"/>
      <c r="E3" s="35" t="s">
        <v>41</v>
      </c>
      <c r="F3" s="18"/>
      <c r="G3" s="18"/>
      <c r="H3" s="109" t="s">
        <v>4512</v>
      </c>
      <c r="I3" s="110" t="s">
        <v>4506</v>
      </c>
      <c r="J3" s="39" t="s">
        <v>75</v>
      </c>
      <c r="L3" s="18"/>
      <c r="M3" s="18"/>
    </row>
    <row r="4" spans="1:13" ht="24.75" customHeight="1" x14ac:dyDescent="0.25">
      <c r="A4" s="31">
        <v>3</v>
      </c>
      <c r="B4" s="33" t="s">
        <v>42</v>
      </c>
      <c r="C4" s="34">
        <f>COUNTA('TPM 2'!$C$13:$C$48)</f>
        <v>30</v>
      </c>
      <c r="D4" s="18"/>
      <c r="E4" s="18"/>
      <c r="F4" s="18"/>
      <c r="G4" s="18"/>
    </row>
    <row r="5" spans="1:13" ht="24.75" customHeight="1" x14ac:dyDescent="0.25">
      <c r="A5" s="31">
        <v>4</v>
      </c>
      <c r="B5" s="31" t="s">
        <v>4003</v>
      </c>
      <c r="C5" s="32">
        <f>COUNTA('TKR 1'!$C$13:$C$48)</f>
        <v>31</v>
      </c>
      <c r="D5" s="18"/>
      <c r="E5" s="18"/>
      <c r="F5" s="18"/>
      <c r="G5" s="18"/>
      <c r="I5" s="18"/>
      <c r="J5" s="18"/>
      <c r="K5" s="18"/>
      <c r="L5" s="18"/>
    </row>
    <row r="6" spans="1:13" ht="24.75" customHeight="1" x14ac:dyDescent="0.25">
      <c r="A6" s="31">
        <v>5</v>
      </c>
      <c r="B6" s="31" t="s">
        <v>4004</v>
      </c>
      <c r="C6" s="32">
        <f>COUNTA('TKR 2'!$C$13:$C$48)</f>
        <v>34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24.75" customHeight="1" x14ac:dyDescent="0.25">
      <c r="A7" s="31">
        <v>6</v>
      </c>
      <c r="B7" s="31" t="s">
        <v>4005</v>
      </c>
      <c r="C7" s="32">
        <f>COUNTA('TKR 3'!$C$13:$C$49)</f>
        <v>31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24.75" customHeight="1" x14ac:dyDescent="0.25">
      <c r="A8" s="31">
        <v>7</v>
      </c>
      <c r="B8" s="31" t="s">
        <v>4006</v>
      </c>
      <c r="C8" s="32">
        <f>COUNTA('TKR 4'!$C$13:$C$49)</f>
        <v>34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24.75" customHeight="1" x14ac:dyDescent="0.25">
      <c r="A9" s="31">
        <v>8</v>
      </c>
      <c r="B9" s="31" t="s">
        <v>4007</v>
      </c>
      <c r="C9" s="32">
        <f>COUNTA('TKR 5'!$C$13:$C$49)</f>
        <v>30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24.75" customHeight="1" x14ac:dyDescent="0.25">
      <c r="A10" s="31">
        <v>9</v>
      </c>
      <c r="B10" s="36" t="s">
        <v>3999</v>
      </c>
      <c r="C10" s="37">
        <f>COUNTA('TSM 1'!$C$13:$C$49)</f>
        <v>33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24.75" customHeight="1" x14ac:dyDescent="0.25">
      <c r="A11" s="31">
        <v>10</v>
      </c>
      <c r="B11" s="36" t="s">
        <v>4000</v>
      </c>
      <c r="C11" s="37">
        <f>COUNTA('TSM 2'!$C$13:$C$49)</f>
        <v>32</v>
      </c>
      <c r="D11" s="18"/>
      <c r="E11" s="18"/>
      <c r="F11" s="18"/>
      <c r="G11" s="18"/>
      <c r="J11" s="18"/>
      <c r="K11" s="18"/>
      <c r="L11" s="18"/>
      <c r="M11" s="18"/>
    </row>
    <row r="12" spans="1:13" ht="24.75" customHeight="1" x14ac:dyDescent="0.25">
      <c r="A12" s="31">
        <v>11</v>
      </c>
      <c r="B12" s="36" t="s">
        <v>4001</v>
      </c>
      <c r="C12" s="37">
        <f>COUNTA('TSM 3'!$C$13:$C$49)</f>
        <v>32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24.75" customHeight="1" x14ac:dyDescent="0.25">
      <c r="A13" s="31">
        <v>12</v>
      </c>
      <c r="B13" s="36" t="s">
        <v>4002</v>
      </c>
      <c r="C13" s="37">
        <f>COUNTA('TSM 4'!$C$13:$C$49)</f>
        <v>35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24.75" customHeight="1" x14ac:dyDescent="0.25">
      <c r="A14" s="31">
        <v>13</v>
      </c>
      <c r="B14" s="31" t="s">
        <v>43</v>
      </c>
      <c r="C14" s="32">
        <f>COUNTA('RPL 1'!$C$13:$C$48)</f>
        <v>34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24.75" customHeight="1" x14ac:dyDescent="0.25">
      <c r="A15" s="31">
        <v>14</v>
      </c>
      <c r="B15" s="31" t="s">
        <v>44</v>
      </c>
      <c r="C15" s="32">
        <f>COUNTA('RPL 2'!$C$13:$C$48)</f>
        <v>31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24.75" customHeight="1" x14ac:dyDescent="0.25">
      <c r="A16" s="38"/>
      <c r="B16" s="39" t="s">
        <v>45</v>
      </c>
      <c r="C16" s="40">
        <f>SUM(C2:C15)</f>
        <v>429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honeticPr fontId="20" type="noConversion"/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927"/>
  <sheetViews>
    <sheetView workbookViewId="0">
      <selection activeCell="O5" sqref="O5:O9"/>
    </sheetView>
  </sheetViews>
  <sheetFormatPr defaultColWidth="14.42578125" defaultRowHeight="15" customHeight="1" x14ac:dyDescent="0.25"/>
  <cols>
    <col min="1" max="1" width="4.140625" style="87" customWidth="1"/>
    <col min="2" max="2" width="7.7109375" style="87" customWidth="1"/>
    <col min="3" max="3" width="45" style="87" bestFit="1" customWidth="1"/>
    <col min="4" max="4" width="10.85546875" style="87" customWidth="1"/>
    <col min="5" max="5" width="14.28515625" style="87" customWidth="1"/>
    <col min="6" max="7" width="7.7109375" style="87" customWidth="1"/>
    <col min="8" max="8" width="9.140625" style="68" customWidth="1"/>
    <col min="9" max="9" width="10.28515625" style="68" customWidth="1"/>
    <col min="10" max="11" width="8.7109375" style="68" customWidth="1"/>
    <col min="12" max="15" width="9.140625" style="68" customWidth="1"/>
    <col min="16" max="26" width="8.7109375" style="68" customWidth="1"/>
    <col min="27" max="16384" width="14.42578125" style="68"/>
  </cols>
  <sheetData>
    <row r="1" spans="1:26" ht="30" x14ac:dyDescent="0.25">
      <c r="A1" s="74" t="s">
        <v>22</v>
      </c>
      <c r="B1" s="74" t="s">
        <v>46</v>
      </c>
      <c r="C1" s="74" t="s">
        <v>47</v>
      </c>
      <c r="D1" s="74" t="s">
        <v>38</v>
      </c>
      <c r="E1" s="74" t="s">
        <v>48</v>
      </c>
      <c r="F1" s="74" t="s">
        <v>49</v>
      </c>
      <c r="G1" s="74" t="s">
        <v>46</v>
      </c>
      <c r="H1" s="69"/>
      <c r="I1" s="75" t="s">
        <v>50</v>
      </c>
      <c r="J1" s="75" t="s">
        <v>51</v>
      </c>
      <c r="K1" s="75" t="s">
        <v>52</v>
      </c>
      <c r="L1" s="75" t="s">
        <v>53</v>
      </c>
      <c r="M1" s="75" t="s">
        <v>54</v>
      </c>
      <c r="N1" s="75" t="s">
        <v>55</v>
      </c>
      <c r="O1" s="75" t="s">
        <v>56</v>
      </c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x14ac:dyDescent="0.25">
      <c r="A2" s="105" t="s">
        <v>84</v>
      </c>
      <c r="B2" s="76" t="s">
        <v>4064</v>
      </c>
      <c r="C2" s="88" t="s">
        <v>3452</v>
      </c>
      <c r="D2" s="78" t="s">
        <v>591</v>
      </c>
      <c r="E2" s="79" t="s">
        <v>57</v>
      </c>
      <c r="F2" s="80" t="s">
        <v>53</v>
      </c>
      <c r="G2" s="76" t="s">
        <v>4064</v>
      </c>
      <c r="H2" s="69"/>
      <c r="I2" s="80" t="s">
        <v>58</v>
      </c>
      <c r="J2" s="79">
        <f>N2+O2</f>
        <v>13</v>
      </c>
      <c r="K2" s="79">
        <v>1</v>
      </c>
      <c r="L2" s="79">
        <f>COUNTIFS($E$2:$E$439,"10 TE",$F$2:$F$439,"AKTIF")</f>
        <v>13</v>
      </c>
      <c r="M2" s="79">
        <f>COUNTIFS($E$2:$E$439,"10 TE",$F$2:$F$439,"KELUAR")</f>
        <v>0</v>
      </c>
      <c r="N2" s="79">
        <f t="shared" ref="N2:O2" si="0">SUM(L2)</f>
        <v>13</v>
      </c>
      <c r="O2" s="79">
        <f t="shared" si="0"/>
        <v>0</v>
      </c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x14ac:dyDescent="0.25">
      <c r="A3" s="105" t="s">
        <v>85</v>
      </c>
      <c r="B3" s="76" t="s">
        <v>4065</v>
      </c>
      <c r="C3" s="88" t="s">
        <v>3274</v>
      </c>
      <c r="D3" s="77" t="s">
        <v>591</v>
      </c>
      <c r="E3" s="79" t="s">
        <v>57</v>
      </c>
      <c r="F3" s="80" t="s">
        <v>53</v>
      </c>
      <c r="G3" s="76" t="s">
        <v>4065</v>
      </c>
      <c r="H3" s="69"/>
      <c r="I3" s="156" t="s">
        <v>59</v>
      </c>
      <c r="J3" s="153">
        <f>N3+O3</f>
        <v>61</v>
      </c>
      <c r="K3" s="79">
        <v>1</v>
      </c>
      <c r="L3" s="79">
        <f>COUNTIFS($E$2:$E$439,"10 TM 1",$F$2:$F$439,"AKTIF")</f>
        <v>29</v>
      </c>
      <c r="M3" s="79">
        <f>COUNTIFS($E$2:$E$439,"10 TM 1",$F$2:$F$439,"KELUAR")</f>
        <v>2</v>
      </c>
      <c r="N3" s="153">
        <f t="shared" ref="N3:O3" si="1">SUM(L3:L4)</f>
        <v>59</v>
      </c>
      <c r="O3" s="153">
        <f t="shared" si="1"/>
        <v>2</v>
      </c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x14ac:dyDescent="0.25">
      <c r="A4" s="105" t="s">
        <v>86</v>
      </c>
      <c r="B4" s="76" t="s">
        <v>4066</v>
      </c>
      <c r="C4" s="51" t="s">
        <v>4032</v>
      </c>
      <c r="D4" s="77" t="s">
        <v>591</v>
      </c>
      <c r="E4" s="79" t="s">
        <v>57</v>
      </c>
      <c r="F4" s="80" t="s">
        <v>53</v>
      </c>
      <c r="G4" s="76" t="s">
        <v>4066</v>
      </c>
      <c r="H4" s="69"/>
      <c r="I4" s="155"/>
      <c r="J4" s="157"/>
      <c r="K4" s="79">
        <v>2</v>
      </c>
      <c r="L4" s="79">
        <f>COUNTIFS($E$2:$E$439,"10 TM 2",$F$2:$F$439,"AKTIF")</f>
        <v>30</v>
      </c>
      <c r="M4" s="79">
        <f>COUNTIFS($E$2:$E$439,"10 TM 2",$F$2:$F$439,"KELUAR")</f>
        <v>0</v>
      </c>
      <c r="N4" s="155"/>
      <c r="O4" s="155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x14ac:dyDescent="0.25">
      <c r="A5" s="105" t="s">
        <v>87</v>
      </c>
      <c r="B5" s="76" t="s">
        <v>4067</v>
      </c>
      <c r="C5" s="88" t="s">
        <v>3711</v>
      </c>
      <c r="D5" s="77" t="s">
        <v>591</v>
      </c>
      <c r="E5" s="79" t="s">
        <v>57</v>
      </c>
      <c r="F5" s="80" t="s">
        <v>53</v>
      </c>
      <c r="G5" s="76" t="s">
        <v>4067</v>
      </c>
      <c r="H5" s="69"/>
      <c r="I5" s="156" t="s">
        <v>60</v>
      </c>
      <c r="J5" s="153">
        <f>N5+O5</f>
        <v>161</v>
      </c>
      <c r="K5" s="79">
        <v>1</v>
      </c>
      <c r="L5" s="79">
        <f>COUNTIFS($E$2:$E$439,"10 TO 1",$F$2:$F$439,"AKTIF")</f>
        <v>31</v>
      </c>
      <c r="M5" s="79">
        <f>COUNTIFS($E$2:$E$439,"10 TO 1",$F$2:$F$439,"KELUAR")</f>
        <v>1</v>
      </c>
      <c r="N5" s="153">
        <f t="shared" ref="N5:O5" si="2">SUM(L5:L9)</f>
        <v>160</v>
      </c>
      <c r="O5" s="153">
        <f t="shared" si="2"/>
        <v>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x14ac:dyDescent="0.25">
      <c r="A6" s="105" t="s">
        <v>88</v>
      </c>
      <c r="B6" s="76" t="s">
        <v>4068</v>
      </c>
      <c r="C6" s="89" t="s">
        <v>3737</v>
      </c>
      <c r="D6" s="77" t="s">
        <v>591</v>
      </c>
      <c r="E6" s="79" t="s">
        <v>57</v>
      </c>
      <c r="F6" s="80" t="s">
        <v>53</v>
      </c>
      <c r="G6" s="76" t="s">
        <v>4068</v>
      </c>
      <c r="H6" s="69"/>
      <c r="I6" s="154"/>
      <c r="J6" s="154"/>
      <c r="K6" s="81">
        <v>2</v>
      </c>
      <c r="L6" s="79">
        <f>COUNTIFS($E$2:$E$439,"10 TO 2",$F$2:$F$439,"AKTIF")</f>
        <v>34</v>
      </c>
      <c r="M6" s="79">
        <f>COUNTIFS($E$2:$E$439,"10 TO 2",$F$2:$F$439,"KELUAR")</f>
        <v>0</v>
      </c>
      <c r="N6" s="154"/>
      <c r="O6" s="154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x14ac:dyDescent="0.25">
      <c r="A7" s="105" t="s">
        <v>89</v>
      </c>
      <c r="B7" s="76" t="s">
        <v>4069</v>
      </c>
      <c r="C7" s="88" t="s">
        <v>2070</v>
      </c>
      <c r="D7" s="77" t="s">
        <v>591</v>
      </c>
      <c r="E7" s="79" t="s">
        <v>57</v>
      </c>
      <c r="F7" s="80" t="s">
        <v>53</v>
      </c>
      <c r="G7" s="76" t="s">
        <v>4069</v>
      </c>
      <c r="H7" s="69"/>
      <c r="I7" s="154"/>
      <c r="J7" s="154"/>
      <c r="K7" s="79">
        <v>3</v>
      </c>
      <c r="L7" s="79">
        <f>COUNTIFS($E$2:$E$439,"10 TO 3",$F$2:$F$439,"AKTIF")</f>
        <v>31</v>
      </c>
      <c r="M7" s="79">
        <f>COUNTIFS($E$2:$E$439,"10 TO 3",$F$2:$F$439,"KELUAR")</f>
        <v>0</v>
      </c>
      <c r="N7" s="154"/>
      <c r="O7" s="154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x14ac:dyDescent="0.25">
      <c r="A8" s="105" t="s">
        <v>90</v>
      </c>
      <c r="B8" s="76" t="s">
        <v>4070</v>
      </c>
      <c r="C8" s="51" t="s">
        <v>4024</v>
      </c>
      <c r="D8" s="77" t="s">
        <v>591</v>
      </c>
      <c r="E8" s="79" t="s">
        <v>57</v>
      </c>
      <c r="F8" s="80" t="s">
        <v>53</v>
      </c>
      <c r="G8" s="76" t="s">
        <v>4070</v>
      </c>
      <c r="H8" s="69"/>
      <c r="I8" s="154"/>
      <c r="J8" s="154"/>
      <c r="K8" s="81">
        <v>4</v>
      </c>
      <c r="L8" s="79">
        <f>COUNTIFS($E$2:$E$439,"10 TO 4",$F$2:$F$439,"AKTIF")</f>
        <v>34</v>
      </c>
      <c r="M8" s="79">
        <f>COUNTIFS($E$2:$E$439,"10 TO 4",$F$2:$F$439,"KELUAR")</f>
        <v>0</v>
      </c>
      <c r="N8" s="154"/>
      <c r="O8" s="154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x14ac:dyDescent="0.25">
      <c r="A9" s="105" t="s">
        <v>91</v>
      </c>
      <c r="B9" s="76" t="s">
        <v>4071</v>
      </c>
      <c r="C9" s="88" t="s">
        <v>3491</v>
      </c>
      <c r="D9" s="77" t="s">
        <v>591</v>
      </c>
      <c r="E9" s="79" t="s">
        <v>57</v>
      </c>
      <c r="F9" s="80" t="s">
        <v>53</v>
      </c>
      <c r="G9" s="76" t="s">
        <v>4071</v>
      </c>
      <c r="H9" s="69"/>
      <c r="I9" s="155"/>
      <c r="J9" s="155"/>
      <c r="K9" s="79">
        <v>5</v>
      </c>
      <c r="L9" s="79">
        <f>COUNTIFS($E$2:$E$439,"10 TO 5",$F$2:$F$439,"AKTIF")</f>
        <v>30</v>
      </c>
      <c r="M9" s="79">
        <f>COUNTIFS($E$2:$E$439,"10 TO 5",$F$2:$F$439,"KELUAR")</f>
        <v>0</v>
      </c>
      <c r="N9" s="155"/>
      <c r="O9" s="155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x14ac:dyDescent="0.25">
      <c r="A10" s="105" t="s">
        <v>92</v>
      </c>
      <c r="B10" s="76" t="s">
        <v>4072</v>
      </c>
      <c r="C10" s="88" t="s">
        <v>3402</v>
      </c>
      <c r="D10" s="77" t="s">
        <v>591</v>
      </c>
      <c r="E10" s="79" t="s">
        <v>57</v>
      </c>
      <c r="F10" s="80" t="s">
        <v>53</v>
      </c>
      <c r="G10" s="76" t="s">
        <v>4072</v>
      </c>
      <c r="H10" s="69"/>
      <c r="I10" s="156" t="s">
        <v>61</v>
      </c>
      <c r="J10" s="153">
        <f>N10+O10</f>
        <v>133</v>
      </c>
      <c r="K10" s="79">
        <v>1</v>
      </c>
      <c r="L10" s="79">
        <f>COUNTIFS($E$2:$E$439,"10 TO 6",$F$2:$F$439,"AKTIF")</f>
        <v>33</v>
      </c>
      <c r="M10" s="79">
        <f>COUNTIFS($E$2:$E$439,"10 TO 6",$F$2:$F$439,"KELUAR")</f>
        <v>1</v>
      </c>
      <c r="N10" s="153">
        <f t="shared" ref="N10:O10" si="3">SUM(L10:L13)</f>
        <v>132</v>
      </c>
      <c r="O10" s="153">
        <f t="shared" si="3"/>
        <v>1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x14ac:dyDescent="0.25">
      <c r="A11" s="105" t="s">
        <v>93</v>
      </c>
      <c r="B11" s="76" t="s">
        <v>4073</v>
      </c>
      <c r="C11" s="88" t="s">
        <v>3658</v>
      </c>
      <c r="D11" s="77" t="s">
        <v>591</v>
      </c>
      <c r="E11" s="79" t="s">
        <v>57</v>
      </c>
      <c r="F11" s="80" t="s">
        <v>53</v>
      </c>
      <c r="G11" s="76" t="s">
        <v>4073</v>
      </c>
      <c r="H11" s="69"/>
      <c r="I11" s="154"/>
      <c r="J11" s="154"/>
      <c r="K11" s="81">
        <v>2</v>
      </c>
      <c r="L11" s="79">
        <f>COUNTIFS($E$2:$E$439,"10 TO 7",$F$2:$F$439,"AKTIF")</f>
        <v>32</v>
      </c>
      <c r="M11" s="79">
        <f>COUNTIFS($E$2:$E$439,"10 TO 7",$F$2:$F$439,"KELUAR")</f>
        <v>0</v>
      </c>
      <c r="N11" s="154"/>
      <c r="O11" s="154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x14ac:dyDescent="0.25">
      <c r="A12" s="105" t="s">
        <v>94</v>
      </c>
      <c r="B12" s="76" t="s">
        <v>4074</v>
      </c>
      <c r="C12" s="88" t="s">
        <v>2341</v>
      </c>
      <c r="D12" s="77" t="s">
        <v>591</v>
      </c>
      <c r="E12" s="79" t="s">
        <v>57</v>
      </c>
      <c r="F12" s="80" t="s">
        <v>53</v>
      </c>
      <c r="G12" s="76" t="s">
        <v>4074</v>
      </c>
      <c r="H12" s="69"/>
      <c r="I12" s="154"/>
      <c r="J12" s="154"/>
      <c r="K12" s="79">
        <v>3</v>
      </c>
      <c r="L12" s="79">
        <f>COUNTIFS($E$2:$E$439,"10 TO 8",$F$2:$F$439,"AKTIF")</f>
        <v>32</v>
      </c>
      <c r="M12" s="79">
        <f>COUNTIFS($E$2:$E$439,"10 TO 8",$F$2:$F$439,"KELUAR")</f>
        <v>0</v>
      </c>
      <c r="N12" s="154"/>
      <c r="O12" s="154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x14ac:dyDescent="0.25">
      <c r="A13" s="105" t="s">
        <v>95</v>
      </c>
      <c r="B13" s="76" t="s">
        <v>4075</v>
      </c>
      <c r="C13" s="88" t="s">
        <v>1882</v>
      </c>
      <c r="D13" s="77" t="s">
        <v>591</v>
      </c>
      <c r="E13" s="79" t="s">
        <v>57</v>
      </c>
      <c r="F13" s="80" t="s">
        <v>53</v>
      </c>
      <c r="G13" s="76" t="s">
        <v>4075</v>
      </c>
      <c r="H13" s="69"/>
      <c r="I13" s="155"/>
      <c r="J13" s="155"/>
      <c r="K13" s="81">
        <v>4</v>
      </c>
      <c r="L13" s="79">
        <f>COUNTIFS($E$2:$E$439,"10 TO 9",$F$2:$F$439,"AKTIF")</f>
        <v>35</v>
      </c>
      <c r="M13" s="79">
        <f>COUNTIFS($E$2:$E$439,"10 TO 9",$F$2:$F$439,"KELUAR")</f>
        <v>0</v>
      </c>
      <c r="N13" s="155"/>
      <c r="O13" s="155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x14ac:dyDescent="0.25">
      <c r="A14" s="105" t="s">
        <v>96</v>
      </c>
      <c r="B14" s="76" t="s">
        <v>4076</v>
      </c>
      <c r="C14" s="88" t="s">
        <v>3647</v>
      </c>
      <c r="D14" s="77" t="s">
        <v>591</v>
      </c>
      <c r="E14" s="79" t="s">
        <v>57</v>
      </c>
      <c r="F14" s="80" t="s">
        <v>53</v>
      </c>
      <c r="G14" s="76" t="s">
        <v>4076</v>
      </c>
      <c r="H14" s="69"/>
      <c r="I14" s="156" t="s">
        <v>62</v>
      </c>
      <c r="J14" s="153">
        <f>N14+O14</f>
        <v>65</v>
      </c>
      <c r="K14" s="79">
        <v>1</v>
      </c>
      <c r="L14" s="79">
        <f>COUNTIFS($E$2:$E$439,"10 PPLG 1",$F$2:$F$439,"AKTIF")</f>
        <v>34</v>
      </c>
      <c r="M14" s="79">
        <f>COUNTIFS($E$2:$E$439,"10 PPLG 1",$F$2:$F$439,"KELUAR")</f>
        <v>0</v>
      </c>
      <c r="N14" s="153">
        <f>SUM(L14:L15)</f>
        <v>65</v>
      </c>
      <c r="O14" s="153">
        <f>SUM(M14:M15)</f>
        <v>0</v>
      </c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x14ac:dyDescent="0.25">
      <c r="A15" s="105" t="s">
        <v>97</v>
      </c>
      <c r="B15" s="76" t="s">
        <v>4077</v>
      </c>
      <c r="C15" s="88" t="s">
        <v>3321</v>
      </c>
      <c r="D15" s="77" t="s">
        <v>592</v>
      </c>
      <c r="E15" s="79" t="s">
        <v>63</v>
      </c>
      <c r="F15" s="80" t="s">
        <v>53</v>
      </c>
      <c r="G15" s="76" t="s">
        <v>4077</v>
      </c>
      <c r="H15" s="69"/>
      <c r="I15" s="154"/>
      <c r="J15" s="154"/>
      <c r="K15" s="79">
        <v>2</v>
      </c>
      <c r="L15" s="79">
        <f>COUNTIFS($E$2:$E$439,"10 PPLG 2",$F$2:$F$439,"AKTIF")</f>
        <v>31</v>
      </c>
      <c r="M15" s="79">
        <f>COUNTIFS($E$2:$E$439,"10 PPLG 2",$F$2:$F$439,"KELUAR")</f>
        <v>0</v>
      </c>
      <c r="N15" s="154"/>
      <c r="O15" s="154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x14ac:dyDescent="0.25">
      <c r="A16" s="105" t="s">
        <v>98</v>
      </c>
      <c r="B16" s="76" t="s">
        <v>4078</v>
      </c>
      <c r="C16" s="88" t="s">
        <v>1790</v>
      </c>
      <c r="D16" s="77" t="s">
        <v>592</v>
      </c>
      <c r="E16" s="79" t="s">
        <v>63</v>
      </c>
      <c r="F16" s="80" t="s">
        <v>53</v>
      </c>
      <c r="G16" s="76" t="s">
        <v>4078</v>
      </c>
      <c r="H16" s="69"/>
      <c r="I16" s="82" t="s">
        <v>45</v>
      </c>
      <c r="J16" s="74">
        <f>SUM(J2:J14)</f>
        <v>433</v>
      </c>
      <c r="K16" s="74">
        <f>COUNTA(K2:K15)</f>
        <v>14</v>
      </c>
      <c r="L16" s="74">
        <f>SUM(L2:L15)</f>
        <v>429</v>
      </c>
      <c r="M16" s="74">
        <f>SUM(M2:M15)</f>
        <v>4</v>
      </c>
      <c r="N16" s="74">
        <f>SUM(N2:N15)</f>
        <v>429</v>
      </c>
      <c r="O16" s="74">
        <f>SUM(O2:O15)</f>
        <v>4</v>
      </c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x14ac:dyDescent="0.25">
      <c r="A17" s="105" t="s">
        <v>99</v>
      </c>
      <c r="B17" s="76" t="s">
        <v>4079</v>
      </c>
      <c r="C17" s="88" t="s">
        <v>2510</v>
      </c>
      <c r="D17" s="77" t="s">
        <v>592</v>
      </c>
      <c r="E17" s="79" t="s">
        <v>63</v>
      </c>
      <c r="F17" s="80" t="s">
        <v>53</v>
      </c>
      <c r="G17" s="76" t="s">
        <v>4079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x14ac:dyDescent="0.25">
      <c r="A18" s="105" t="s">
        <v>100</v>
      </c>
      <c r="B18" s="76" t="s">
        <v>4080</v>
      </c>
      <c r="C18" s="88" t="s">
        <v>4518</v>
      </c>
      <c r="D18" s="77" t="s">
        <v>592</v>
      </c>
      <c r="E18" s="79" t="s">
        <v>63</v>
      </c>
      <c r="F18" s="80" t="s">
        <v>53</v>
      </c>
      <c r="G18" s="76" t="s">
        <v>4080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x14ac:dyDescent="0.25">
      <c r="A19" s="105" t="s">
        <v>101</v>
      </c>
      <c r="B19" s="76" t="s">
        <v>4081</v>
      </c>
      <c r="C19" s="88" t="s">
        <v>2200</v>
      </c>
      <c r="D19" s="77" t="s">
        <v>592</v>
      </c>
      <c r="E19" s="79" t="s">
        <v>63</v>
      </c>
      <c r="F19" s="80" t="s">
        <v>53</v>
      </c>
      <c r="G19" s="76" t="s">
        <v>4081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.75" customHeight="1" x14ac:dyDescent="0.25">
      <c r="A20" s="105" t="s">
        <v>102</v>
      </c>
      <c r="B20" s="76" t="s">
        <v>4082</v>
      </c>
      <c r="C20" s="88" t="s">
        <v>2363</v>
      </c>
      <c r="D20" s="77" t="s">
        <v>592</v>
      </c>
      <c r="E20" s="79" t="s">
        <v>63</v>
      </c>
      <c r="F20" s="80" t="s">
        <v>53</v>
      </c>
      <c r="G20" s="76" t="s">
        <v>4082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25">
      <c r="A21" s="105" t="s">
        <v>103</v>
      </c>
      <c r="B21" s="76" t="s">
        <v>4083</v>
      </c>
      <c r="C21" s="88" t="s">
        <v>1657</v>
      </c>
      <c r="D21" s="77" t="s">
        <v>592</v>
      </c>
      <c r="E21" s="79" t="s">
        <v>63</v>
      </c>
      <c r="F21" s="80" t="s">
        <v>53</v>
      </c>
      <c r="G21" s="76" t="s">
        <v>4083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 customHeight="1" x14ac:dyDescent="0.25">
      <c r="A22" s="105" t="s">
        <v>104</v>
      </c>
      <c r="B22" s="76" t="s">
        <v>4084</v>
      </c>
      <c r="C22" s="88" t="s">
        <v>1812</v>
      </c>
      <c r="D22" s="77" t="s">
        <v>592</v>
      </c>
      <c r="E22" s="79" t="s">
        <v>63</v>
      </c>
      <c r="F22" s="80" t="s">
        <v>53</v>
      </c>
      <c r="G22" s="76" t="s">
        <v>4084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25">
      <c r="A23" s="105" t="s">
        <v>105</v>
      </c>
      <c r="B23" s="76" t="s">
        <v>4085</v>
      </c>
      <c r="C23" s="88" t="s">
        <v>2998</v>
      </c>
      <c r="D23" s="77" t="s">
        <v>592</v>
      </c>
      <c r="E23" s="79" t="s">
        <v>63</v>
      </c>
      <c r="F23" s="80" t="s">
        <v>53</v>
      </c>
      <c r="G23" s="76" t="s">
        <v>4085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25">
      <c r="A24" s="105" t="s">
        <v>106</v>
      </c>
      <c r="B24" s="76" t="s">
        <v>4086</v>
      </c>
      <c r="C24" s="88" t="s">
        <v>1146</v>
      </c>
      <c r="D24" s="77" t="s">
        <v>592</v>
      </c>
      <c r="E24" s="79" t="s">
        <v>63</v>
      </c>
      <c r="F24" s="80" t="s">
        <v>53</v>
      </c>
      <c r="G24" s="76" t="s">
        <v>4086</v>
      </c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25">
      <c r="A25" s="105" t="s">
        <v>107</v>
      </c>
      <c r="B25" s="76" t="s">
        <v>4087</v>
      </c>
      <c r="C25" s="88" t="s">
        <v>3833</v>
      </c>
      <c r="D25" s="77" t="s">
        <v>592</v>
      </c>
      <c r="E25" s="79" t="s">
        <v>63</v>
      </c>
      <c r="F25" s="80" t="s">
        <v>53</v>
      </c>
      <c r="G25" s="76" t="s">
        <v>4087</v>
      </c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25">
      <c r="A26" s="105" t="s">
        <v>108</v>
      </c>
      <c r="B26" s="76" t="s">
        <v>4088</v>
      </c>
      <c r="C26" s="88" t="s">
        <v>1169</v>
      </c>
      <c r="D26" s="77" t="s">
        <v>592</v>
      </c>
      <c r="E26" s="79" t="s">
        <v>63</v>
      </c>
      <c r="F26" s="80" t="s">
        <v>53</v>
      </c>
      <c r="G26" s="76" t="s">
        <v>4088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 spans="1:26" ht="15.75" customHeight="1" x14ac:dyDescent="0.25">
      <c r="A27" s="105" t="s">
        <v>109</v>
      </c>
      <c r="B27" s="76" t="s">
        <v>4089</v>
      </c>
      <c r="C27" s="88" t="s">
        <v>1900</v>
      </c>
      <c r="D27" s="77" t="s">
        <v>592</v>
      </c>
      <c r="E27" s="79" t="s">
        <v>63</v>
      </c>
      <c r="F27" s="80" t="s">
        <v>53</v>
      </c>
      <c r="G27" s="76" t="s">
        <v>4089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25">
      <c r="A28" s="105" t="s">
        <v>110</v>
      </c>
      <c r="B28" s="76" t="s">
        <v>4090</v>
      </c>
      <c r="C28" s="88" t="s">
        <v>2138</v>
      </c>
      <c r="D28" s="77" t="s">
        <v>592</v>
      </c>
      <c r="E28" s="79" t="s">
        <v>63</v>
      </c>
      <c r="F28" s="80" t="s">
        <v>53</v>
      </c>
      <c r="G28" s="76" t="s">
        <v>4090</v>
      </c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25">
      <c r="A29" s="105" t="s">
        <v>111</v>
      </c>
      <c r="B29" s="122" t="s">
        <v>4496</v>
      </c>
      <c r="C29" s="123" t="s">
        <v>4498</v>
      </c>
      <c r="D29" s="124" t="s">
        <v>592</v>
      </c>
      <c r="E29" s="125" t="s">
        <v>63</v>
      </c>
      <c r="F29" s="126" t="s">
        <v>54</v>
      </c>
      <c r="G29" s="122" t="s">
        <v>4496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25">
      <c r="A30" s="105" t="s">
        <v>112</v>
      </c>
      <c r="B30" s="76" t="s">
        <v>4091</v>
      </c>
      <c r="C30" s="88" t="s">
        <v>3168</v>
      </c>
      <c r="D30" s="77" t="s">
        <v>592</v>
      </c>
      <c r="E30" s="79" t="s">
        <v>63</v>
      </c>
      <c r="F30" s="80" t="s">
        <v>53</v>
      </c>
      <c r="G30" s="76" t="s">
        <v>4091</v>
      </c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 customHeight="1" x14ac:dyDescent="0.25">
      <c r="A31" s="105" t="s">
        <v>113</v>
      </c>
      <c r="B31" s="76" t="s">
        <v>4092</v>
      </c>
      <c r="C31" s="88" t="s">
        <v>1572</v>
      </c>
      <c r="D31" s="77" t="s">
        <v>592</v>
      </c>
      <c r="E31" s="79" t="s">
        <v>63</v>
      </c>
      <c r="F31" s="80" t="s">
        <v>53</v>
      </c>
      <c r="G31" s="76" t="s">
        <v>4092</v>
      </c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25">
      <c r="A32" s="105" t="s">
        <v>114</v>
      </c>
      <c r="B32" s="76" t="s">
        <v>4093</v>
      </c>
      <c r="C32" s="88" t="s">
        <v>3125</v>
      </c>
      <c r="D32" s="77" t="s">
        <v>592</v>
      </c>
      <c r="E32" s="79" t="s">
        <v>63</v>
      </c>
      <c r="F32" s="80" t="s">
        <v>53</v>
      </c>
      <c r="G32" s="76" t="s">
        <v>4093</v>
      </c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25">
      <c r="A33" s="105" t="s">
        <v>115</v>
      </c>
      <c r="B33" s="76" t="s">
        <v>4094</v>
      </c>
      <c r="C33" s="88" t="s">
        <v>3202</v>
      </c>
      <c r="D33" s="77" t="s">
        <v>592</v>
      </c>
      <c r="E33" s="79" t="s">
        <v>63</v>
      </c>
      <c r="F33" s="80" t="s">
        <v>53</v>
      </c>
      <c r="G33" s="76" t="s">
        <v>4094</v>
      </c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25">
      <c r="A34" s="105" t="s">
        <v>116</v>
      </c>
      <c r="B34" s="76" t="s">
        <v>4095</v>
      </c>
      <c r="C34" s="88" t="s">
        <v>1546</v>
      </c>
      <c r="D34" s="77" t="s">
        <v>592</v>
      </c>
      <c r="E34" s="79" t="s">
        <v>63</v>
      </c>
      <c r="F34" s="80" t="s">
        <v>53</v>
      </c>
      <c r="G34" s="76" t="s">
        <v>4095</v>
      </c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25">
      <c r="A35" s="105" t="s">
        <v>117</v>
      </c>
      <c r="B35" s="76" t="s">
        <v>4096</v>
      </c>
      <c r="C35" s="88" t="s">
        <v>1078</v>
      </c>
      <c r="D35" s="77" t="s">
        <v>592</v>
      </c>
      <c r="E35" s="79" t="s">
        <v>63</v>
      </c>
      <c r="F35" s="80" t="s">
        <v>53</v>
      </c>
      <c r="G35" s="76" t="s">
        <v>4096</v>
      </c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25">
      <c r="A36" s="105" t="s">
        <v>118</v>
      </c>
      <c r="B36" s="76" t="s">
        <v>4097</v>
      </c>
      <c r="C36" s="88" t="s">
        <v>3839</v>
      </c>
      <c r="D36" s="77" t="s">
        <v>592</v>
      </c>
      <c r="E36" s="79" t="s">
        <v>63</v>
      </c>
      <c r="F36" s="80" t="s">
        <v>53</v>
      </c>
      <c r="G36" s="76" t="s">
        <v>4097</v>
      </c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25">
      <c r="A37" s="105" t="s">
        <v>119</v>
      </c>
      <c r="B37" s="76" t="s">
        <v>4098</v>
      </c>
      <c r="C37" s="88" t="s">
        <v>2934</v>
      </c>
      <c r="D37" s="77" t="s">
        <v>592</v>
      </c>
      <c r="E37" s="79" t="s">
        <v>63</v>
      </c>
      <c r="F37" s="80" t="s">
        <v>53</v>
      </c>
      <c r="G37" s="76" t="s">
        <v>4098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25">
      <c r="A38" s="105" t="s">
        <v>120</v>
      </c>
      <c r="B38" s="115" t="s">
        <v>4099</v>
      </c>
      <c r="C38" s="116" t="s">
        <v>3916</v>
      </c>
      <c r="D38" s="117" t="s">
        <v>592</v>
      </c>
      <c r="E38" s="118" t="s">
        <v>63</v>
      </c>
      <c r="F38" s="119" t="s">
        <v>54</v>
      </c>
      <c r="G38" s="115" t="s">
        <v>4099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25">
      <c r="A39" s="105" t="s">
        <v>121</v>
      </c>
      <c r="B39" s="76" t="s">
        <v>4100</v>
      </c>
      <c r="C39" s="88" t="s">
        <v>1941</v>
      </c>
      <c r="D39" s="77" t="s">
        <v>592</v>
      </c>
      <c r="E39" s="79" t="s">
        <v>63</v>
      </c>
      <c r="F39" s="80" t="s">
        <v>53</v>
      </c>
      <c r="G39" s="76" t="s">
        <v>4100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25">
      <c r="A40" s="105" t="s">
        <v>122</v>
      </c>
      <c r="B40" s="76" t="s">
        <v>4101</v>
      </c>
      <c r="C40" s="88" t="s">
        <v>2524</v>
      </c>
      <c r="D40" s="77" t="s">
        <v>592</v>
      </c>
      <c r="E40" s="79" t="s">
        <v>63</v>
      </c>
      <c r="F40" s="80" t="s">
        <v>53</v>
      </c>
      <c r="G40" s="76" t="s">
        <v>4101</v>
      </c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25">
      <c r="A41" s="105" t="s">
        <v>123</v>
      </c>
      <c r="B41" s="76" t="s">
        <v>4102</v>
      </c>
      <c r="C41" s="88" t="s">
        <v>3106</v>
      </c>
      <c r="D41" s="77" t="s">
        <v>592</v>
      </c>
      <c r="E41" s="79" t="s">
        <v>63</v>
      </c>
      <c r="F41" s="80" t="s">
        <v>53</v>
      </c>
      <c r="G41" s="76" t="s">
        <v>4102</v>
      </c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25">
      <c r="A42" s="105" t="s">
        <v>124</v>
      </c>
      <c r="B42" s="76" t="s">
        <v>4103</v>
      </c>
      <c r="C42" s="88" t="s">
        <v>1589</v>
      </c>
      <c r="D42" s="77" t="s">
        <v>592</v>
      </c>
      <c r="E42" s="79" t="s">
        <v>63</v>
      </c>
      <c r="F42" s="80" t="s">
        <v>53</v>
      </c>
      <c r="G42" s="76" t="s">
        <v>4103</v>
      </c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25">
      <c r="A43" s="105" t="s">
        <v>125</v>
      </c>
      <c r="B43" s="76" t="s">
        <v>4104</v>
      </c>
      <c r="C43" s="88" t="s">
        <v>2302</v>
      </c>
      <c r="D43" s="77" t="s">
        <v>592</v>
      </c>
      <c r="E43" s="79" t="s">
        <v>63</v>
      </c>
      <c r="F43" s="80" t="s">
        <v>53</v>
      </c>
      <c r="G43" s="76" t="s">
        <v>4104</v>
      </c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25">
      <c r="A44" s="105" t="s">
        <v>126</v>
      </c>
      <c r="B44" s="76" t="s">
        <v>4105</v>
      </c>
      <c r="C44" s="88" t="s">
        <v>724</v>
      </c>
      <c r="D44" s="77" t="s">
        <v>592</v>
      </c>
      <c r="E44" s="79" t="s">
        <v>63</v>
      </c>
      <c r="F44" s="80" t="s">
        <v>53</v>
      </c>
      <c r="G44" s="76" t="s">
        <v>4105</v>
      </c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25">
      <c r="A45" s="105" t="s">
        <v>127</v>
      </c>
      <c r="B45" s="76" t="s">
        <v>4106</v>
      </c>
      <c r="C45" s="88" t="s">
        <v>2295</v>
      </c>
      <c r="D45" s="83" t="s">
        <v>592</v>
      </c>
      <c r="E45" s="84" t="s">
        <v>63</v>
      </c>
      <c r="F45" s="80" t="s">
        <v>53</v>
      </c>
      <c r="G45" s="76" t="s">
        <v>4106</v>
      </c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25">
      <c r="A46" s="105" t="s">
        <v>128</v>
      </c>
      <c r="B46" s="76" t="s">
        <v>4107</v>
      </c>
      <c r="C46" s="88" t="s">
        <v>1097</v>
      </c>
      <c r="D46" s="77" t="s">
        <v>593</v>
      </c>
      <c r="E46" s="79" t="s">
        <v>64</v>
      </c>
      <c r="F46" s="80" t="s">
        <v>53</v>
      </c>
      <c r="G46" s="76" t="s">
        <v>4107</v>
      </c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25">
      <c r="A47" s="105" t="s">
        <v>129</v>
      </c>
      <c r="B47" s="76" t="s">
        <v>4108</v>
      </c>
      <c r="C47" s="88" t="s">
        <v>2978</v>
      </c>
      <c r="D47" s="77" t="s">
        <v>593</v>
      </c>
      <c r="E47" s="79" t="s">
        <v>64</v>
      </c>
      <c r="F47" s="80" t="s">
        <v>53</v>
      </c>
      <c r="G47" s="76" t="s">
        <v>4108</v>
      </c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25">
      <c r="A48" s="105" t="s">
        <v>130</v>
      </c>
      <c r="B48" s="76" t="s">
        <v>4109</v>
      </c>
      <c r="C48" s="88" t="s">
        <v>1376</v>
      </c>
      <c r="D48" s="77" t="s">
        <v>593</v>
      </c>
      <c r="E48" s="79" t="s">
        <v>64</v>
      </c>
      <c r="F48" s="80" t="s">
        <v>53</v>
      </c>
      <c r="G48" s="76" t="s">
        <v>4109</v>
      </c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25">
      <c r="A49" s="105" t="s">
        <v>131</v>
      </c>
      <c r="B49" s="76" t="s">
        <v>4110</v>
      </c>
      <c r="C49" s="88" t="s">
        <v>2390</v>
      </c>
      <c r="D49" s="77" t="s">
        <v>593</v>
      </c>
      <c r="E49" s="79" t="s">
        <v>64</v>
      </c>
      <c r="F49" s="80" t="s">
        <v>53</v>
      </c>
      <c r="G49" s="76" t="s">
        <v>4110</v>
      </c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25">
      <c r="A50" s="105" t="s">
        <v>132</v>
      </c>
      <c r="B50" s="76" t="s">
        <v>4111</v>
      </c>
      <c r="C50" s="88" t="s">
        <v>3933</v>
      </c>
      <c r="D50" s="77" t="s">
        <v>593</v>
      </c>
      <c r="E50" s="79" t="s">
        <v>64</v>
      </c>
      <c r="F50" s="80" t="s">
        <v>53</v>
      </c>
      <c r="G50" s="76" t="s">
        <v>4111</v>
      </c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25">
      <c r="A51" s="105" t="s">
        <v>133</v>
      </c>
      <c r="B51" s="76" t="s">
        <v>4112</v>
      </c>
      <c r="C51" s="88" t="s">
        <v>3119</v>
      </c>
      <c r="D51" s="77" t="s">
        <v>593</v>
      </c>
      <c r="E51" s="79" t="s">
        <v>64</v>
      </c>
      <c r="F51" s="80" t="s">
        <v>53</v>
      </c>
      <c r="G51" s="76" t="s">
        <v>4112</v>
      </c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25">
      <c r="A52" s="105" t="s">
        <v>134</v>
      </c>
      <c r="B52" s="76" t="s">
        <v>4113</v>
      </c>
      <c r="C52" s="88" t="s">
        <v>844</v>
      </c>
      <c r="D52" s="77" t="s">
        <v>593</v>
      </c>
      <c r="E52" s="79" t="s">
        <v>64</v>
      </c>
      <c r="F52" s="80" t="s">
        <v>53</v>
      </c>
      <c r="G52" s="76" t="s">
        <v>4113</v>
      </c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25">
      <c r="A53" s="105" t="s">
        <v>135</v>
      </c>
      <c r="B53" s="76" t="s">
        <v>4114</v>
      </c>
      <c r="C53" s="88" t="s">
        <v>1676</v>
      </c>
      <c r="D53" s="77" t="s">
        <v>593</v>
      </c>
      <c r="E53" s="79" t="s">
        <v>64</v>
      </c>
      <c r="F53" s="80" t="s">
        <v>53</v>
      </c>
      <c r="G53" s="76" t="s">
        <v>4114</v>
      </c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25">
      <c r="A54" s="105" t="s">
        <v>136</v>
      </c>
      <c r="B54" s="76" t="s">
        <v>4115</v>
      </c>
      <c r="C54" s="88" t="s">
        <v>2403</v>
      </c>
      <c r="D54" s="77" t="s">
        <v>593</v>
      </c>
      <c r="E54" s="79" t="s">
        <v>64</v>
      </c>
      <c r="F54" s="80" t="s">
        <v>53</v>
      </c>
      <c r="G54" s="76" t="s">
        <v>4115</v>
      </c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25">
      <c r="A55" s="105" t="s">
        <v>137</v>
      </c>
      <c r="B55" s="76" t="s">
        <v>4116</v>
      </c>
      <c r="C55" s="88" t="s">
        <v>710</v>
      </c>
      <c r="D55" s="77" t="s">
        <v>593</v>
      </c>
      <c r="E55" s="79" t="s">
        <v>64</v>
      </c>
      <c r="F55" s="80" t="s">
        <v>53</v>
      </c>
      <c r="G55" s="76" t="s">
        <v>4116</v>
      </c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25">
      <c r="A56" s="105" t="s">
        <v>138</v>
      </c>
      <c r="B56" s="76" t="s">
        <v>4117</v>
      </c>
      <c r="C56" s="88" t="s">
        <v>1600</v>
      </c>
      <c r="D56" s="77" t="s">
        <v>593</v>
      </c>
      <c r="E56" s="79" t="s">
        <v>64</v>
      </c>
      <c r="F56" s="80" t="s">
        <v>53</v>
      </c>
      <c r="G56" s="76" t="s">
        <v>4117</v>
      </c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25">
      <c r="A57" s="105" t="s">
        <v>139</v>
      </c>
      <c r="B57" s="76" t="s">
        <v>4118</v>
      </c>
      <c r="C57" s="88" t="s">
        <v>2562</v>
      </c>
      <c r="D57" s="77" t="s">
        <v>593</v>
      </c>
      <c r="E57" s="79" t="s">
        <v>64</v>
      </c>
      <c r="F57" s="80" t="s">
        <v>53</v>
      </c>
      <c r="G57" s="76" t="s">
        <v>4118</v>
      </c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25">
      <c r="A58" s="105" t="s">
        <v>140</v>
      </c>
      <c r="B58" s="76" t="s">
        <v>4119</v>
      </c>
      <c r="C58" s="88" t="s">
        <v>3010</v>
      </c>
      <c r="D58" s="77" t="s">
        <v>593</v>
      </c>
      <c r="E58" s="79" t="s">
        <v>64</v>
      </c>
      <c r="F58" s="80" t="s">
        <v>53</v>
      </c>
      <c r="G58" s="76" t="s">
        <v>4119</v>
      </c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25">
      <c r="A59" s="105" t="s">
        <v>141</v>
      </c>
      <c r="B59" s="76" t="s">
        <v>4120</v>
      </c>
      <c r="C59" s="88" t="s">
        <v>858</v>
      </c>
      <c r="D59" s="77" t="s">
        <v>593</v>
      </c>
      <c r="E59" s="79" t="s">
        <v>64</v>
      </c>
      <c r="F59" s="80" t="s">
        <v>53</v>
      </c>
      <c r="G59" s="76" t="s">
        <v>4120</v>
      </c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25">
      <c r="A60" s="105" t="s">
        <v>142</v>
      </c>
      <c r="B60" s="76" t="s">
        <v>4121</v>
      </c>
      <c r="C60" s="88" t="s">
        <v>2407</v>
      </c>
      <c r="D60" s="77" t="s">
        <v>593</v>
      </c>
      <c r="E60" s="79" t="s">
        <v>64</v>
      </c>
      <c r="F60" s="80" t="s">
        <v>53</v>
      </c>
      <c r="G60" s="76" t="s">
        <v>4121</v>
      </c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25">
      <c r="A61" s="105" t="s">
        <v>143</v>
      </c>
      <c r="B61" s="76" t="s">
        <v>4122</v>
      </c>
      <c r="C61" s="88" t="s">
        <v>3848</v>
      </c>
      <c r="D61" s="77" t="s">
        <v>593</v>
      </c>
      <c r="E61" s="79" t="s">
        <v>64</v>
      </c>
      <c r="F61" s="80" t="s">
        <v>53</v>
      </c>
      <c r="G61" s="76" t="s">
        <v>4122</v>
      </c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25">
      <c r="A62" s="105" t="s">
        <v>144</v>
      </c>
      <c r="B62" s="76" t="s">
        <v>4123</v>
      </c>
      <c r="C62" s="88" t="s">
        <v>1265</v>
      </c>
      <c r="D62" s="77" t="s">
        <v>593</v>
      </c>
      <c r="E62" s="79" t="s">
        <v>64</v>
      </c>
      <c r="F62" s="80" t="s">
        <v>53</v>
      </c>
      <c r="G62" s="76" t="s">
        <v>4123</v>
      </c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25">
      <c r="A63" s="105" t="s">
        <v>145</v>
      </c>
      <c r="B63" s="76" t="s">
        <v>4124</v>
      </c>
      <c r="C63" s="88" t="s">
        <v>2759</v>
      </c>
      <c r="D63" s="77" t="s">
        <v>593</v>
      </c>
      <c r="E63" s="79" t="s">
        <v>64</v>
      </c>
      <c r="F63" s="80" t="s">
        <v>53</v>
      </c>
      <c r="G63" s="76" t="s">
        <v>4124</v>
      </c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25">
      <c r="A64" s="105" t="s">
        <v>146</v>
      </c>
      <c r="B64" s="76" t="s">
        <v>4125</v>
      </c>
      <c r="C64" s="88" t="s">
        <v>732</v>
      </c>
      <c r="D64" s="77" t="s">
        <v>593</v>
      </c>
      <c r="E64" s="79" t="s">
        <v>64</v>
      </c>
      <c r="F64" s="80" t="s">
        <v>53</v>
      </c>
      <c r="G64" s="76" t="s">
        <v>4125</v>
      </c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25">
      <c r="A65" s="105" t="s">
        <v>147</v>
      </c>
      <c r="B65" s="76" t="s">
        <v>4126</v>
      </c>
      <c r="C65" s="88" t="s">
        <v>3886</v>
      </c>
      <c r="D65" s="77" t="s">
        <v>593</v>
      </c>
      <c r="E65" s="79" t="s">
        <v>64</v>
      </c>
      <c r="F65" s="80" t="s">
        <v>53</v>
      </c>
      <c r="G65" s="76" t="s">
        <v>4126</v>
      </c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25">
      <c r="A66" s="105" t="s">
        <v>148</v>
      </c>
      <c r="B66" s="76" t="s">
        <v>4127</v>
      </c>
      <c r="C66" s="88" t="s">
        <v>1347</v>
      </c>
      <c r="D66" s="77" t="s">
        <v>593</v>
      </c>
      <c r="E66" s="79" t="s">
        <v>64</v>
      </c>
      <c r="F66" s="80" t="s">
        <v>53</v>
      </c>
      <c r="G66" s="76" t="s">
        <v>4127</v>
      </c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25">
      <c r="A67" s="105" t="s">
        <v>149</v>
      </c>
      <c r="B67" s="76" t="s">
        <v>4128</v>
      </c>
      <c r="C67" s="88" t="s">
        <v>3825</v>
      </c>
      <c r="D67" s="77" t="s">
        <v>593</v>
      </c>
      <c r="E67" s="79" t="s">
        <v>64</v>
      </c>
      <c r="F67" s="80" t="s">
        <v>53</v>
      </c>
      <c r="G67" s="76" t="s">
        <v>4128</v>
      </c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25">
      <c r="A68" s="105" t="s">
        <v>150</v>
      </c>
      <c r="B68" s="76" t="s">
        <v>4129</v>
      </c>
      <c r="C68" s="88" t="s">
        <v>1107</v>
      </c>
      <c r="D68" s="83" t="s">
        <v>593</v>
      </c>
      <c r="E68" s="84" t="s">
        <v>64</v>
      </c>
      <c r="F68" s="80" t="s">
        <v>53</v>
      </c>
      <c r="G68" s="76" t="s">
        <v>4129</v>
      </c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25">
      <c r="A69" s="105" t="s">
        <v>151</v>
      </c>
      <c r="B69" s="76" t="s">
        <v>4130</v>
      </c>
      <c r="C69" s="88" t="s">
        <v>1567</v>
      </c>
      <c r="D69" s="77" t="s">
        <v>593</v>
      </c>
      <c r="E69" s="79" t="s">
        <v>64</v>
      </c>
      <c r="F69" s="80" t="s">
        <v>53</v>
      </c>
      <c r="G69" s="76" t="s">
        <v>4130</v>
      </c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25">
      <c r="A70" s="105" t="s">
        <v>152</v>
      </c>
      <c r="B70" s="76" t="s">
        <v>4131</v>
      </c>
      <c r="C70" s="88" t="s">
        <v>2606</v>
      </c>
      <c r="D70" s="77" t="s">
        <v>593</v>
      </c>
      <c r="E70" s="79" t="s">
        <v>64</v>
      </c>
      <c r="F70" s="80" t="s">
        <v>53</v>
      </c>
      <c r="G70" s="76" t="s">
        <v>4131</v>
      </c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25">
      <c r="A71" s="105" t="s">
        <v>153</v>
      </c>
      <c r="B71" s="76" t="s">
        <v>4132</v>
      </c>
      <c r="C71" s="88" t="s">
        <v>3161</v>
      </c>
      <c r="D71" s="77" t="s">
        <v>593</v>
      </c>
      <c r="E71" s="79" t="s">
        <v>64</v>
      </c>
      <c r="F71" s="80" t="s">
        <v>53</v>
      </c>
      <c r="G71" s="76" t="s">
        <v>4132</v>
      </c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25">
      <c r="A72" s="105" t="s">
        <v>154</v>
      </c>
      <c r="B72" s="76" t="s">
        <v>4133</v>
      </c>
      <c r="C72" s="88" t="s">
        <v>2539</v>
      </c>
      <c r="D72" s="77" t="s">
        <v>593</v>
      </c>
      <c r="E72" s="79" t="s">
        <v>64</v>
      </c>
      <c r="F72" s="80" t="s">
        <v>53</v>
      </c>
      <c r="G72" s="76" t="s">
        <v>4133</v>
      </c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25">
      <c r="A73" s="105" t="s">
        <v>155</v>
      </c>
      <c r="B73" s="76" t="s">
        <v>4134</v>
      </c>
      <c r="C73" s="88" t="s">
        <v>1018</v>
      </c>
      <c r="D73" s="77" t="s">
        <v>593</v>
      </c>
      <c r="E73" s="79" t="s">
        <v>64</v>
      </c>
      <c r="F73" s="80" t="s">
        <v>53</v>
      </c>
      <c r="G73" s="76" t="s">
        <v>4134</v>
      </c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25">
      <c r="A74" s="105" t="s">
        <v>156</v>
      </c>
      <c r="B74" s="76" t="s">
        <v>4135</v>
      </c>
      <c r="C74" s="88" t="s">
        <v>1447</v>
      </c>
      <c r="D74" s="77" t="s">
        <v>593</v>
      </c>
      <c r="E74" s="79" t="s">
        <v>64</v>
      </c>
      <c r="F74" s="80" t="s">
        <v>53</v>
      </c>
      <c r="G74" s="76" t="s">
        <v>4135</v>
      </c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25">
      <c r="A75" s="105" t="s">
        <v>157</v>
      </c>
      <c r="B75" s="76" t="s">
        <v>4136</v>
      </c>
      <c r="C75" s="88" t="s">
        <v>3793</v>
      </c>
      <c r="D75" s="77" t="s">
        <v>593</v>
      </c>
      <c r="E75" s="79" t="s">
        <v>64</v>
      </c>
      <c r="F75" s="80" t="s">
        <v>53</v>
      </c>
      <c r="G75" s="76" t="s">
        <v>4136</v>
      </c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25">
      <c r="A76" s="105" t="s">
        <v>158</v>
      </c>
      <c r="B76" s="76" t="s">
        <v>4137</v>
      </c>
      <c r="C76" s="88" t="s">
        <v>2598</v>
      </c>
      <c r="D76" s="77" t="s">
        <v>3980</v>
      </c>
      <c r="E76" s="79" t="s">
        <v>65</v>
      </c>
      <c r="F76" s="80" t="s">
        <v>53</v>
      </c>
      <c r="G76" s="76" t="s">
        <v>4137</v>
      </c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25">
      <c r="A77" s="105" t="s">
        <v>159</v>
      </c>
      <c r="B77" s="76" t="s">
        <v>4138</v>
      </c>
      <c r="C77" s="88" t="s">
        <v>2280</v>
      </c>
      <c r="D77" s="77" t="s">
        <v>3980</v>
      </c>
      <c r="E77" s="79" t="s">
        <v>65</v>
      </c>
      <c r="F77" s="80" t="s">
        <v>53</v>
      </c>
      <c r="G77" s="76" t="s">
        <v>4138</v>
      </c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25">
      <c r="A78" s="105" t="s">
        <v>160</v>
      </c>
      <c r="B78" s="76" t="s">
        <v>4139</v>
      </c>
      <c r="C78" s="88" t="s">
        <v>1408</v>
      </c>
      <c r="D78" s="77" t="s">
        <v>3980</v>
      </c>
      <c r="E78" s="79" t="s">
        <v>65</v>
      </c>
      <c r="F78" s="80" t="s">
        <v>53</v>
      </c>
      <c r="G78" s="76" t="s">
        <v>4139</v>
      </c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25">
      <c r="A79" s="105" t="s">
        <v>161</v>
      </c>
      <c r="B79" s="76" t="s">
        <v>4140</v>
      </c>
      <c r="C79" s="88" t="s">
        <v>3279</v>
      </c>
      <c r="D79" s="77" t="s">
        <v>3980</v>
      </c>
      <c r="E79" s="79" t="s">
        <v>65</v>
      </c>
      <c r="F79" s="80" t="s">
        <v>53</v>
      </c>
      <c r="G79" s="76" t="s">
        <v>4140</v>
      </c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25">
      <c r="A80" s="105" t="s">
        <v>162</v>
      </c>
      <c r="B80" s="76" t="s">
        <v>4141</v>
      </c>
      <c r="C80" s="88" t="s">
        <v>2620</v>
      </c>
      <c r="D80" s="77" t="s">
        <v>3980</v>
      </c>
      <c r="E80" s="79" t="s">
        <v>65</v>
      </c>
      <c r="F80" s="80" t="s">
        <v>53</v>
      </c>
      <c r="G80" s="76" t="s">
        <v>4141</v>
      </c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25">
      <c r="A81" s="105" t="s">
        <v>163</v>
      </c>
      <c r="B81" s="76" t="s">
        <v>4142</v>
      </c>
      <c r="C81" s="88" t="s">
        <v>2972</v>
      </c>
      <c r="D81" s="77" t="s">
        <v>3980</v>
      </c>
      <c r="E81" s="79" t="s">
        <v>65</v>
      </c>
      <c r="F81" s="80" t="s">
        <v>53</v>
      </c>
      <c r="G81" s="76" t="s">
        <v>4142</v>
      </c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25">
      <c r="A82" s="105" t="s">
        <v>164</v>
      </c>
      <c r="B82" s="76" t="s">
        <v>4143</v>
      </c>
      <c r="C82" s="88" t="s">
        <v>2100</v>
      </c>
      <c r="D82" s="77" t="s">
        <v>3980</v>
      </c>
      <c r="E82" s="79" t="s">
        <v>65</v>
      </c>
      <c r="F82" s="80" t="s">
        <v>53</v>
      </c>
      <c r="G82" s="76" t="s">
        <v>4143</v>
      </c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25">
      <c r="A83" s="105" t="s">
        <v>165</v>
      </c>
      <c r="B83" s="76" t="s">
        <v>4144</v>
      </c>
      <c r="C83" s="88" t="s">
        <v>3684</v>
      </c>
      <c r="D83" s="77" t="s">
        <v>3980</v>
      </c>
      <c r="E83" s="79" t="s">
        <v>65</v>
      </c>
      <c r="F83" s="80" t="s">
        <v>53</v>
      </c>
      <c r="G83" s="76" t="s">
        <v>4144</v>
      </c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25">
      <c r="A84" s="105" t="s">
        <v>166</v>
      </c>
      <c r="B84" s="76" t="s">
        <v>4145</v>
      </c>
      <c r="C84" s="88" t="s">
        <v>1280</v>
      </c>
      <c r="D84" s="77" t="s">
        <v>3980</v>
      </c>
      <c r="E84" s="79" t="s">
        <v>65</v>
      </c>
      <c r="F84" s="80" t="s">
        <v>53</v>
      </c>
      <c r="G84" s="76" t="s">
        <v>4145</v>
      </c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25">
      <c r="A85" s="105" t="s">
        <v>167</v>
      </c>
      <c r="B85" s="76" t="s">
        <v>4146</v>
      </c>
      <c r="C85" s="88" t="s">
        <v>1073</v>
      </c>
      <c r="D85" s="77" t="s">
        <v>3980</v>
      </c>
      <c r="E85" s="79" t="s">
        <v>65</v>
      </c>
      <c r="F85" s="80" t="s">
        <v>53</v>
      </c>
      <c r="G85" s="76" t="s">
        <v>4146</v>
      </c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25">
      <c r="A86" s="105" t="s">
        <v>168</v>
      </c>
      <c r="B86" s="76" t="s">
        <v>4147</v>
      </c>
      <c r="C86" s="93" t="s">
        <v>3962</v>
      </c>
      <c r="D86" s="77" t="s">
        <v>3980</v>
      </c>
      <c r="E86" s="79" t="s">
        <v>65</v>
      </c>
      <c r="F86" s="80" t="s">
        <v>53</v>
      </c>
      <c r="G86" s="76" t="s">
        <v>4147</v>
      </c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25">
      <c r="A87" s="105" t="s">
        <v>169</v>
      </c>
      <c r="B87" s="76" t="s">
        <v>4148</v>
      </c>
      <c r="C87" s="88" t="s">
        <v>756</v>
      </c>
      <c r="D87" s="77" t="s">
        <v>3980</v>
      </c>
      <c r="E87" s="79" t="s">
        <v>65</v>
      </c>
      <c r="F87" s="80" t="s">
        <v>53</v>
      </c>
      <c r="G87" s="76" t="s">
        <v>4148</v>
      </c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25">
      <c r="A88" s="105" t="s">
        <v>170</v>
      </c>
      <c r="B88" s="76" t="s">
        <v>4149</v>
      </c>
      <c r="C88" s="88" t="s">
        <v>3772</v>
      </c>
      <c r="D88" s="77" t="s">
        <v>3980</v>
      </c>
      <c r="E88" s="79" t="s">
        <v>65</v>
      </c>
      <c r="F88" s="80" t="s">
        <v>53</v>
      </c>
      <c r="G88" s="76" t="s">
        <v>4149</v>
      </c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25">
      <c r="A89" s="105" t="s">
        <v>171</v>
      </c>
      <c r="B89" s="76" t="s">
        <v>4150</v>
      </c>
      <c r="C89" s="88" t="s">
        <v>1701</v>
      </c>
      <c r="D89" s="77" t="s">
        <v>3980</v>
      </c>
      <c r="E89" s="79" t="s">
        <v>65</v>
      </c>
      <c r="F89" s="80" t="s">
        <v>53</v>
      </c>
      <c r="G89" s="76" t="s">
        <v>4150</v>
      </c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25">
      <c r="A90" s="105" t="s">
        <v>172</v>
      </c>
      <c r="B90" s="76" t="s">
        <v>4151</v>
      </c>
      <c r="C90" s="88" t="s">
        <v>3939</v>
      </c>
      <c r="D90" s="77" t="s">
        <v>3980</v>
      </c>
      <c r="E90" s="79" t="s">
        <v>65</v>
      </c>
      <c r="F90" s="80" t="s">
        <v>53</v>
      </c>
      <c r="G90" s="76" t="s">
        <v>4151</v>
      </c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25">
      <c r="A91" s="105" t="s">
        <v>173</v>
      </c>
      <c r="B91" s="76" t="s">
        <v>4152</v>
      </c>
      <c r="C91" s="88" t="s">
        <v>1805</v>
      </c>
      <c r="D91" s="77" t="s">
        <v>3980</v>
      </c>
      <c r="E91" s="79" t="s">
        <v>65</v>
      </c>
      <c r="F91" s="80" t="s">
        <v>53</v>
      </c>
      <c r="G91" s="76" t="s">
        <v>4152</v>
      </c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25">
      <c r="A92" s="105" t="s">
        <v>174</v>
      </c>
      <c r="B92" s="76" t="s">
        <v>4153</v>
      </c>
      <c r="C92" s="88" t="s">
        <v>924</v>
      </c>
      <c r="D92" s="77" t="s">
        <v>3980</v>
      </c>
      <c r="E92" s="79" t="s">
        <v>65</v>
      </c>
      <c r="F92" s="80" t="s">
        <v>53</v>
      </c>
      <c r="G92" s="76" t="s">
        <v>4153</v>
      </c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25">
      <c r="A93" s="105" t="s">
        <v>175</v>
      </c>
      <c r="B93" s="76" t="s">
        <v>4154</v>
      </c>
      <c r="C93" s="88" t="s">
        <v>3869</v>
      </c>
      <c r="D93" s="77" t="s">
        <v>3980</v>
      </c>
      <c r="E93" s="79" t="s">
        <v>65</v>
      </c>
      <c r="F93" s="80" t="s">
        <v>53</v>
      </c>
      <c r="G93" s="76" t="s">
        <v>4154</v>
      </c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25">
      <c r="A94" s="105" t="s">
        <v>176</v>
      </c>
      <c r="B94" s="76" t="s">
        <v>4155</v>
      </c>
      <c r="C94" s="88" t="s">
        <v>2492</v>
      </c>
      <c r="D94" s="77" t="s">
        <v>3980</v>
      </c>
      <c r="E94" s="79" t="s">
        <v>65</v>
      </c>
      <c r="F94" s="80" t="s">
        <v>53</v>
      </c>
      <c r="G94" s="76" t="s">
        <v>4155</v>
      </c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25">
      <c r="A95" s="105" t="s">
        <v>177</v>
      </c>
      <c r="B95" s="76" t="s">
        <v>4156</v>
      </c>
      <c r="C95" s="88" t="s">
        <v>1737</v>
      </c>
      <c r="D95" s="77" t="s">
        <v>3980</v>
      </c>
      <c r="E95" s="79" t="s">
        <v>65</v>
      </c>
      <c r="F95" s="80" t="s">
        <v>53</v>
      </c>
      <c r="G95" s="76" t="s">
        <v>4156</v>
      </c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25">
      <c r="A96" s="105" t="s">
        <v>178</v>
      </c>
      <c r="B96" s="76" t="s">
        <v>4157</v>
      </c>
      <c r="C96" s="88" t="s">
        <v>2578</v>
      </c>
      <c r="D96" s="77" t="s">
        <v>3980</v>
      </c>
      <c r="E96" s="79" t="s">
        <v>65</v>
      </c>
      <c r="F96" s="80" t="s">
        <v>53</v>
      </c>
      <c r="G96" s="76" t="s">
        <v>4157</v>
      </c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25">
      <c r="A97" s="105" t="s">
        <v>179</v>
      </c>
      <c r="B97" s="76" t="s">
        <v>4158</v>
      </c>
      <c r="C97" s="88" t="s">
        <v>1929</v>
      </c>
      <c r="D97" s="77" t="s">
        <v>3980</v>
      </c>
      <c r="E97" s="79" t="s">
        <v>65</v>
      </c>
      <c r="F97" s="80" t="s">
        <v>53</v>
      </c>
      <c r="G97" s="76" t="s">
        <v>4158</v>
      </c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25">
      <c r="A98" s="105" t="s">
        <v>180</v>
      </c>
      <c r="B98" s="76" t="s">
        <v>4159</v>
      </c>
      <c r="C98" s="88" t="s">
        <v>3262</v>
      </c>
      <c r="D98" s="77" t="s">
        <v>3980</v>
      </c>
      <c r="E98" s="79" t="s">
        <v>65</v>
      </c>
      <c r="F98" s="80" t="s">
        <v>53</v>
      </c>
      <c r="G98" s="76" t="s">
        <v>4159</v>
      </c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25">
      <c r="A99" s="105" t="s">
        <v>181</v>
      </c>
      <c r="B99" s="76" t="s">
        <v>4160</v>
      </c>
      <c r="C99" s="88" t="s">
        <v>3430</v>
      </c>
      <c r="D99" s="77" t="s">
        <v>3980</v>
      </c>
      <c r="E99" s="79" t="s">
        <v>65</v>
      </c>
      <c r="F99" s="80" t="s">
        <v>53</v>
      </c>
      <c r="G99" s="76" t="s">
        <v>4160</v>
      </c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25">
      <c r="A100" s="105" t="s">
        <v>182</v>
      </c>
      <c r="B100" s="76" t="s">
        <v>4161</v>
      </c>
      <c r="C100" s="88" t="s">
        <v>1211</v>
      </c>
      <c r="D100" s="77" t="s">
        <v>3980</v>
      </c>
      <c r="E100" s="79" t="s">
        <v>65</v>
      </c>
      <c r="F100" s="80" t="s">
        <v>53</v>
      </c>
      <c r="G100" s="76" t="s">
        <v>4161</v>
      </c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25">
      <c r="A101" s="105" t="s">
        <v>183</v>
      </c>
      <c r="B101" s="76" t="s">
        <v>4162</v>
      </c>
      <c r="C101" s="88" t="s">
        <v>4516</v>
      </c>
      <c r="D101" s="77" t="s">
        <v>3980</v>
      </c>
      <c r="E101" s="79" t="s">
        <v>65</v>
      </c>
      <c r="F101" s="80" t="s">
        <v>53</v>
      </c>
      <c r="G101" s="76" t="s">
        <v>4162</v>
      </c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25">
      <c r="A102" s="105" t="s">
        <v>184</v>
      </c>
      <c r="B102" s="76" t="s">
        <v>4163</v>
      </c>
      <c r="C102" s="88" t="s">
        <v>3396</v>
      </c>
      <c r="D102" s="77" t="s">
        <v>3980</v>
      </c>
      <c r="E102" s="79" t="s">
        <v>65</v>
      </c>
      <c r="F102" s="80" t="s">
        <v>53</v>
      </c>
      <c r="G102" s="76" t="s">
        <v>4163</v>
      </c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25">
      <c r="A103" s="105" t="s">
        <v>185</v>
      </c>
      <c r="B103" s="115" t="s">
        <v>4164</v>
      </c>
      <c r="C103" s="121" t="s">
        <v>4039</v>
      </c>
      <c r="D103" s="117" t="s">
        <v>3980</v>
      </c>
      <c r="E103" s="118" t="s">
        <v>65</v>
      </c>
      <c r="F103" s="119" t="s">
        <v>54</v>
      </c>
      <c r="G103" s="115" t="s">
        <v>4164</v>
      </c>
      <c r="H103" s="69"/>
      <c r="I103" s="69"/>
      <c r="J103" s="69"/>
      <c r="K103" s="69"/>
      <c r="L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25">
      <c r="A104" s="105" t="s">
        <v>186</v>
      </c>
      <c r="B104" s="76" t="s">
        <v>4165</v>
      </c>
      <c r="C104" s="88" t="s">
        <v>1714</v>
      </c>
      <c r="D104" s="77" t="s">
        <v>3980</v>
      </c>
      <c r="E104" s="79" t="s">
        <v>65</v>
      </c>
      <c r="F104" s="80" t="s">
        <v>53</v>
      </c>
      <c r="G104" s="76" t="s">
        <v>4165</v>
      </c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25">
      <c r="A105" s="105" t="s">
        <v>187</v>
      </c>
      <c r="B105" s="76" t="s">
        <v>4166</v>
      </c>
      <c r="C105" s="88" t="s">
        <v>2322</v>
      </c>
      <c r="D105" s="77" t="s">
        <v>3980</v>
      </c>
      <c r="E105" s="79" t="s">
        <v>65</v>
      </c>
      <c r="F105" s="80" t="s">
        <v>53</v>
      </c>
      <c r="G105" s="76" t="s">
        <v>4166</v>
      </c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25">
      <c r="A106" s="105" t="s">
        <v>188</v>
      </c>
      <c r="B106" s="76" t="s">
        <v>4167</v>
      </c>
      <c r="C106" s="88" t="s">
        <v>1401</v>
      </c>
      <c r="D106" s="77" t="s">
        <v>3980</v>
      </c>
      <c r="E106" s="79" t="s">
        <v>65</v>
      </c>
      <c r="F106" s="80" t="s">
        <v>53</v>
      </c>
      <c r="G106" s="76" t="s">
        <v>4167</v>
      </c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25">
      <c r="A107" s="105" t="s">
        <v>189</v>
      </c>
      <c r="B107" s="76" t="s">
        <v>4168</v>
      </c>
      <c r="C107" s="88" t="s">
        <v>1512</v>
      </c>
      <c r="D107" s="77" t="s">
        <v>3980</v>
      </c>
      <c r="E107" s="79" t="s">
        <v>65</v>
      </c>
      <c r="F107" s="80" t="s">
        <v>53</v>
      </c>
      <c r="G107" s="76" t="s">
        <v>4168</v>
      </c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25">
      <c r="A108" s="105" t="s">
        <v>190</v>
      </c>
      <c r="B108" s="76" t="s">
        <v>4169</v>
      </c>
      <c r="C108" s="93" t="s">
        <v>1776</v>
      </c>
      <c r="D108" s="77" t="s">
        <v>3981</v>
      </c>
      <c r="E108" s="79" t="s">
        <v>66</v>
      </c>
      <c r="F108" s="80" t="s">
        <v>53</v>
      </c>
      <c r="G108" s="76" t="s">
        <v>4169</v>
      </c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25">
      <c r="A109" s="105" t="s">
        <v>191</v>
      </c>
      <c r="B109" s="76" t="s">
        <v>4170</v>
      </c>
      <c r="C109" s="93" t="s">
        <v>717</v>
      </c>
      <c r="D109" s="77" t="s">
        <v>3981</v>
      </c>
      <c r="E109" s="79" t="s">
        <v>66</v>
      </c>
      <c r="F109" s="80" t="s">
        <v>53</v>
      </c>
      <c r="G109" s="76" t="s">
        <v>4170</v>
      </c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25">
      <c r="A110" s="105" t="s">
        <v>192</v>
      </c>
      <c r="B110" s="76" t="s">
        <v>4171</v>
      </c>
      <c r="C110" s="93" t="s">
        <v>1259</v>
      </c>
      <c r="D110" s="77" t="s">
        <v>3981</v>
      </c>
      <c r="E110" s="79" t="s">
        <v>66</v>
      </c>
      <c r="F110" s="80" t="s">
        <v>53</v>
      </c>
      <c r="G110" s="76" t="s">
        <v>4171</v>
      </c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25">
      <c r="A111" s="105" t="s">
        <v>193</v>
      </c>
      <c r="B111" s="76" t="s">
        <v>4172</v>
      </c>
      <c r="C111" s="93" t="s">
        <v>789</v>
      </c>
      <c r="D111" s="77" t="s">
        <v>3981</v>
      </c>
      <c r="E111" s="79" t="s">
        <v>66</v>
      </c>
      <c r="F111" s="80" t="s">
        <v>53</v>
      </c>
      <c r="G111" s="76" t="s">
        <v>4172</v>
      </c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25">
      <c r="A112" s="105" t="s">
        <v>194</v>
      </c>
      <c r="B112" s="76" t="s">
        <v>4173</v>
      </c>
      <c r="C112" s="93" t="s">
        <v>1191</v>
      </c>
      <c r="D112" s="77" t="s">
        <v>3981</v>
      </c>
      <c r="E112" s="79" t="s">
        <v>66</v>
      </c>
      <c r="F112" s="80" t="s">
        <v>53</v>
      </c>
      <c r="G112" s="76" t="s">
        <v>4173</v>
      </c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25">
      <c r="A113" s="105" t="s">
        <v>195</v>
      </c>
      <c r="B113" s="76" t="s">
        <v>4174</v>
      </c>
      <c r="C113" s="93" t="s">
        <v>1553</v>
      </c>
      <c r="D113" s="77" t="s">
        <v>3981</v>
      </c>
      <c r="E113" s="79" t="s">
        <v>66</v>
      </c>
      <c r="F113" s="80" t="s">
        <v>53</v>
      </c>
      <c r="G113" s="76" t="s">
        <v>4174</v>
      </c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25">
      <c r="A114" s="105" t="s">
        <v>196</v>
      </c>
      <c r="B114" s="76" t="s">
        <v>4175</v>
      </c>
      <c r="C114" s="93" t="s">
        <v>1085</v>
      </c>
      <c r="D114" s="77" t="s">
        <v>3981</v>
      </c>
      <c r="E114" s="79" t="s">
        <v>66</v>
      </c>
      <c r="F114" s="80" t="s">
        <v>53</v>
      </c>
      <c r="G114" s="76" t="s">
        <v>4175</v>
      </c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25">
      <c r="A115" s="105" t="s">
        <v>197</v>
      </c>
      <c r="B115" s="76" t="s">
        <v>4176</v>
      </c>
      <c r="C115" s="93" t="s">
        <v>1255</v>
      </c>
      <c r="D115" s="77" t="s">
        <v>3981</v>
      </c>
      <c r="E115" s="79" t="s">
        <v>66</v>
      </c>
      <c r="F115" s="80" t="s">
        <v>53</v>
      </c>
      <c r="G115" s="76" t="s">
        <v>4176</v>
      </c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25">
      <c r="A116" s="105" t="s">
        <v>198</v>
      </c>
      <c r="B116" s="76" t="s">
        <v>4177</v>
      </c>
      <c r="C116" s="93" t="s">
        <v>1583</v>
      </c>
      <c r="D116" s="77" t="s">
        <v>3981</v>
      </c>
      <c r="E116" s="79" t="s">
        <v>66</v>
      </c>
      <c r="F116" s="80" t="s">
        <v>53</v>
      </c>
      <c r="G116" s="76" t="s">
        <v>4177</v>
      </c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25">
      <c r="A117" s="105" t="s">
        <v>199</v>
      </c>
      <c r="B117" s="76" t="s">
        <v>4178</v>
      </c>
      <c r="C117" s="93" t="s">
        <v>1439</v>
      </c>
      <c r="D117" s="77" t="s">
        <v>3981</v>
      </c>
      <c r="E117" s="79" t="s">
        <v>66</v>
      </c>
      <c r="F117" s="80" t="s">
        <v>53</v>
      </c>
      <c r="G117" s="76" t="s">
        <v>4178</v>
      </c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25">
      <c r="A118" s="105" t="s">
        <v>200</v>
      </c>
      <c r="B118" s="111" t="s">
        <v>4512</v>
      </c>
      <c r="C118" s="112" t="s">
        <v>4506</v>
      </c>
      <c r="D118" s="77" t="s">
        <v>3981</v>
      </c>
      <c r="E118" s="79" t="s">
        <v>66</v>
      </c>
      <c r="F118" s="80" t="s">
        <v>53</v>
      </c>
      <c r="G118" s="111" t="s">
        <v>4512</v>
      </c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25">
      <c r="A119" s="105" t="s">
        <v>201</v>
      </c>
      <c r="B119" s="76" t="s">
        <v>4179</v>
      </c>
      <c r="C119" s="93" t="s">
        <v>4060</v>
      </c>
      <c r="D119" s="77" t="s">
        <v>3981</v>
      </c>
      <c r="E119" s="79" t="s">
        <v>66</v>
      </c>
      <c r="F119" s="80" t="s">
        <v>53</v>
      </c>
      <c r="G119" s="76" t="s">
        <v>4179</v>
      </c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25">
      <c r="A120" s="105" t="s">
        <v>202</v>
      </c>
      <c r="B120" s="76" t="s">
        <v>4180</v>
      </c>
      <c r="C120" s="93" t="s">
        <v>822</v>
      </c>
      <c r="D120" s="77" t="s">
        <v>3981</v>
      </c>
      <c r="E120" s="79" t="s">
        <v>66</v>
      </c>
      <c r="F120" s="80" t="s">
        <v>53</v>
      </c>
      <c r="G120" s="76" t="s">
        <v>4180</v>
      </c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25">
      <c r="A121" s="105" t="s">
        <v>203</v>
      </c>
      <c r="B121" s="76" t="s">
        <v>4181</v>
      </c>
      <c r="C121" s="93" t="s">
        <v>918</v>
      </c>
      <c r="D121" s="77" t="s">
        <v>3981</v>
      </c>
      <c r="E121" s="79" t="s">
        <v>66</v>
      </c>
      <c r="F121" s="80" t="s">
        <v>53</v>
      </c>
      <c r="G121" s="76" t="s">
        <v>4181</v>
      </c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25">
      <c r="A122" s="105" t="s">
        <v>204</v>
      </c>
      <c r="B122" s="76" t="s">
        <v>4182</v>
      </c>
      <c r="C122" s="93" t="s">
        <v>1533</v>
      </c>
      <c r="D122" s="77" t="s">
        <v>3981</v>
      </c>
      <c r="E122" s="79" t="s">
        <v>66</v>
      </c>
      <c r="F122" s="80" t="s">
        <v>53</v>
      </c>
      <c r="G122" s="76" t="s">
        <v>4182</v>
      </c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25">
      <c r="A123" s="105" t="s">
        <v>205</v>
      </c>
      <c r="B123" s="76" t="s">
        <v>4183</v>
      </c>
      <c r="C123" s="93" t="s">
        <v>1065</v>
      </c>
      <c r="D123" s="77" t="s">
        <v>3981</v>
      </c>
      <c r="E123" s="79" t="s">
        <v>66</v>
      </c>
      <c r="F123" s="80" t="s">
        <v>53</v>
      </c>
      <c r="G123" s="76" t="s">
        <v>4183</v>
      </c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25">
      <c r="A124" s="105" t="s">
        <v>206</v>
      </c>
      <c r="B124" s="76" t="s">
        <v>4184</v>
      </c>
      <c r="C124" s="93" t="s">
        <v>1118</v>
      </c>
      <c r="D124" s="77" t="s">
        <v>3981</v>
      </c>
      <c r="E124" s="79" t="s">
        <v>66</v>
      </c>
      <c r="F124" s="80" t="s">
        <v>53</v>
      </c>
      <c r="G124" s="76" t="s">
        <v>4184</v>
      </c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25">
      <c r="A125" s="105" t="s">
        <v>207</v>
      </c>
      <c r="B125" s="76" t="s">
        <v>4185</v>
      </c>
      <c r="C125" s="93" t="s">
        <v>1770</v>
      </c>
      <c r="D125" s="77" t="s">
        <v>3981</v>
      </c>
      <c r="E125" s="79" t="s">
        <v>66</v>
      </c>
      <c r="F125" s="80" t="s">
        <v>53</v>
      </c>
      <c r="G125" s="76" t="s">
        <v>4185</v>
      </c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25">
      <c r="A126" s="105" t="s">
        <v>208</v>
      </c>
      <c r="B126" s="76" t="s">
        <v>4186</v>
      </c>
      <c r="C126" s="93" t="s">
        <v>878</v>
      </c>
      <c r="D126" s="77" t="s">
        <v>3981</v>
      </c>
      <c r="E126" s="79" t="s">
        <v>66</v>
      </c>
      <c r="F126" s="80" t="s">
        <v>53</v>
      </c>
      <c r="G126" s="76" t="s">
        <v>4186</v>
      </c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25">
      <c r="A127" s="105" t="s">
        <v>209</v>
      </c>
      <c r="B127" s="76" t="s">
        <v>4187</v>
      </c>
      <c r="C127" s="93" t="s">
        <v>1309</v>
      </c>
      <c r="D127" s="77" t="s">
        <v>3981</v>
      </c>
      <c r="E127" s="79" t="s">
        <v>66</v>
      </c>
      <c r="F127" s="80" t="s">
        <v>53</v>
      </c>
      <c r="G127" s="76" t="s">
        <v>4187</v>
      </c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25">
      <c r="A128" s="105" t="s">
        <v>210</v>
      </c>
      <c r="B128" s="76" t="s">
        <v>4188</v>
      </c>
      <c r="C128" s="93" t="s">
        <v>1888</v>
      </c>
      <c r="D128" s="77" t="s">
        <v>3981</v>
      </c>
      <c r="E128" s="79" t="s">
        <v>66</v>
      </c>
      <c r="F128" s="80" t="s">
        <v>53</v>
      </c>
      <c r="G128" s="76" t="s">
        <v>4188</v>
      </c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25">
      <c r="A129" s="105" t="s">
        <v>211</v>
      </c>
      <c r="B129" s="76" t="s">
        <v>4189</v>
      </c>
      <c r="C129" s="93" t="s">
        <v>850</v>
      </c>
      <c r="D129" s="77" t="s">
        <v>3981</v>
      </c>
      <c r="E129" s="79" t="s">
        <v>66</v>
      </c>
      <c r="F129" s="80" t="s">
        <v>53</v>
      </c>
      <c r="G129" s="76" t="s">
        <v>4189</v>
      </c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25">
      <c r="A130" s="105" t="s">
        <v>212</v>
      </c>
      <c r="B130" s="76" t="s">
        <v>4190</v>
      </c>
      <c r="C130" s="93" t="s">
        <v>1856</v>
      </c>
      <c r="D130" s="77" t="s">
        <v>3981</v>
      </c>
      <c r="E130" s="79" t="s">
        <v>66</v>
      </c>
      <c r="F130" s="80" t="s">
        <v>53</v>
      </c>
      <c r="G130" s="76" t="s">
        <v>4190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25">
      <c r="A131" s="105" t="s">
        <v>213</v>
      </c>
      <c r="B131" s="76" t="s">
        <v>4191</v>
      </c>
      <c r="C131" s="93" t="s">
        <v>1004</v>
      </c>
      <c r="D131" s="77" t="s">
        <v>3981</v>
      </c>
      <c r="E131" s="79" t="s">
        <v>66</v>
      </c>
      <c r="F131" s="80" t="s">
        <v>53</v>
      </c>
      <c r="G131" s="76" t="s">
        <v>4191</v>
      </c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25">
      <c r="A132" s="105" t="s">
        <v>214</v>
      </c>
      <c r="B132" s="76" t="s">
        <v>4192</v>
      </c>
      <c r="C132" s="93" t="s">
        <v>1486</v>
      </c>
      <c r="D132" s="77" t="s">
        <v>3981</v>
      </c>
      <c r="E132" s="79" t="s">
        <v>66</v>
      </c>
      <c r="F132" s="80" t="s">
        <v>53</v>
      </c>
      <c r="G132" s="76" t="s">
        <v>4192</v>
      </c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25">
      <c r="A133" s="105" t="s">
        <v>215</v>
      </c>
      <c r="B133" s="76" t="s">
        <v>4193</v>
      </c>
      <c r="C133" s="93" t="s">
        <v>1091</v>
      </c>
      <c r="D133" s="77" t="s">
        <v>3981</v>
      </c>
      <c r="E133" s="79" t="s">
        <v>66</v>
      </c>
      <c r="F133" s="80" t="s">
        <v>53</v>
      </c>
      <c r="G133" s="76" t="s">
        <v>4193</v>
      </c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25">
      <c r="A134" s="105" t="s">
        <v>216</v>
      </c>
      <c r="B134" s="76" t="s">
        <v>4194</v>
      </c>
      <c r="C134" s="93" t="s">
        <v>1707</v>
      </c>
      <c r="D134" s="77" t="s">
        <v>3981</v>
      </c>
      <c r="E134" s="79" t="s">
        <v>66</v>
      </c>
      <c r="F134" s="80" t="s">
        <v>53</v>
      </c>
      <c r="G134" s="76" t="s">
        <v>4194</v>
      </c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25">
      <c r="A135" s="105" t="s">
        <v>217</v>
      </c>
      <c r="B135" s="76" t="s">
        <v>4195</v>
      </c>
      <c r="C135" s="93" t="s">
        <v>1232</v>
      </c>
      <c r="D135" s="77" t="s">
        <v>3981</v>
      </c>
      <c r="E135" s="79" t="s">
        <v>66</v>
      </c>
      <c r="F135" s="80" t="s">
        <v>53</v>
      </c>
      <c r="G135" s="76" t="s">
        <v>4195</v>
      </c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25">
      <c r="A136" s="105" t="s">
        <v>218</v>
      </c>
      <c r="B136" s="76" t="s">
        <v>4196</v>
      </c>
      <c r="C136" s="93" t="s">
        <v>902</v>
      </c>
      <c r="D136" s="77" t="s">
        <v>3981</v>
      </c>
      <c r="E136" s="79" t="s">
        <v>66</v>
      </c>
      <c r="F136" s="80" t="s">
        <v>53</v>
      </c>
      <c r="G136" s="76" t="s">
        <v>4196</v>
      </c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25">
      <c r="A137" s="105" t="s">
        <v>219</v>
      </c>
      <c r="B137" s="76" t="s">
        <v>4197</v>
      </c>
      <c r="C137" s="93" t="s">
        <v>659</v>
      </c>
      <c r="D137" s="77" t="s">
        <v>3981</v>
      </c>
      <c r="E137" s="79" t="s">
        <v>66</v>
      </c>
      <c r="F137" s="80" t="s">
        <v>53</v>
      </c>
      <c r="G137" s="76" t="s">
        <v>4197</v>
      </c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25">
      <c r="A138" s="105" t="s">
        <v>220</v>
      </c>
      <c r="B138" s="76" t="s">
        <v>4198</v>
      </c>
      <c r="C138" s="93" t="s">
        <v>804</v>
      </c>
      <c r="D138" s="77" t="s">
        <v>3981</v>
      </c>
      <c r="E138" s="79" t="s">
        <v>66</v>
      </c>
      <c r="F138" s="80" t="s">
        <v>53</v>
      </c>
      <c r="G138" s="76" t="s">
        <v>4198</v>
      </c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25">
      <c r="A139" s="105" t="s">
        <v>221</v>
      </c>
      <c r="B139" s="76" t="s">
        <v>4199</v>
      </c>
      <c r="C139" s="93" t="s">
        <v>1182</v>
      </c>
      <c r="D139" s="77" t="s">
        <v>3981</v>
      </c>
      <c r="E139" s="79" t="s">
        <v>66</v>
      </c>
      <c r="F139" s="80" t="s">
        <v>53</v>
      </c>
      <c r="G139" s="76" t="s">
        <v>4199</v>
      </c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25">
      <c r="A140" s="105" t="s">
        <v>222</v>
      </c>
      <c r="B140" s="76" t="s">
        <v>4200</v>
      </c>
      <c r="C140" s="93" t="s">
        <v>1750</v>
      </c>
      <c r="D140" s="77" t="s">
        <v>3981</v>
      </c>
      <c r="E140" s="79" t="s">
        <v>66</v>
      </c>
      <c r="F140" s="80" t="s">
        <v>53</v>
      </c>
      <c r="G140" s="76" t="s">
        <v>4200</v>
      </c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25">
      <c r="A141" s="105" t="s">
        <v>223</v>
      </c>
      <c r="B141" s="76" t="s">
        <v>4201</v>
      </c>
      <c r="C141" s="93" t="s">
        <v>1316</v>
      </c>
      <c r="D141" s="77" t="s">
        <v>3981</v>
      </c>
      <c r="E141" s="79" t="s">
        <v>66</v>
      </c>
      <c r="F141" s="80" t="s">
        <v>53</v>
      </c>
      <c r="G141" s="76" t="s">
        <v>4201</v>
      </c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25">
      <c r="A142" s="105" t="s">
        <v>224</v>
      </c>
      <c r="B142" s="76" t="s">
        <v>4202</v>
      </c>
      <c r="C142" s="93" t="s">
        <v>1637</v>
      </c>
      <c r="D142" s="77" t="s">
        <v>3982</v>
      </c>
      <c r="E142" s="79" t="s">
        <v>67</v>
      </c>
      <c r="F142" s="80" t="s">
        <v>53</v>
      </c>
      <c r="G142" s="76" t="s">
        <v>4202</v>
      </c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25">
      <c r="A143" s="105" t="s">
        <v>225</v>
      </c>
      <c r="B143" s="76" t="s">
        <v>4203</v>
      </c>
      <c r="C143" s="93" t="s">
        <v>2014</v>
      </c>
      <c r="D143" s="77" t="s">
        <v>3982</v>
      </c>
      <c r="E143" s="79" t="s">
        <v>67</v>
      </c>
      <c r="F143" s="80" t="s">
        <v>53</v>
      </c>
      <c r="G143" s="76" t="s">
        <v>4203</v>
      </c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25">
      <c r="A144" s="105" t="s">
        <v>226</v>
      </c>
      <c r="B144" s="76" t="s">
        <v>4204</v>
      </c>
      <c r="C144" s="93" t="s">
        <v>2909</v>
      </c>
      <c r="D144" s="77" t="s">
        <v>3982</v>
      </c>
      <c r="E144" s="79" t="s">
        <v>67</v>
      </c>
      <c r="F144" s="80" t="s">
        <v>53</v>
      </c>
      <c r="G144" s="76" t="s">
        <v>4204</v>
      </c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25">
      <c r="A145" s="105" t="s">
        <v>227</v>
      </c>
      <c r="B145" s="76" t="s">
        <v>4205</v>
      </c>
      <c r="C145" s="93" t="s">
        <v>2258</v>
      </c>
      <c r="D145" s="77" t="s">
        <v>3982</v>
      </c>
      <c r="E145" s="79" t="s">
        <v>67</v>
      </c>
      <c r="F145" s="80" t="s">
        <v>53</v>
      </c>
      <c r="G145" s="76" t="s">
        <v>4205</v>
      </c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25">
      <c r="A146" s="105" t="s">
        <v>228</v>
      </c>
      <c r="B146" s="76" t="s">
        <v>4206</v>
      </c>
      <c r="C146" s="93" t="s">
        <v>2117</v>
      </c>
      <c r="D146" s="77" t="s">
        <v>3982</v>
      </c>
      <c r="E146" s="79" t="s">
        <v>67</v>
      </c>
      <c r="F146" s="80" t="s">
        <v>53</v>
      </c>
      <c r="G146" s="76" t="s">
        <v>4206</v>
      </c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25">
      <c r="A147" s="105" t="s">
        <v>229</v>
      </c>
      <c r="B147" s="76" t="s">
        <v>4207</v>
      </c>
      <c r="C147" s="93" t="s">
        <v>3112</v>
      </c>
      <c r="D147" s="77" t="s">
        <v>3982</v>
      </c>
      <c r="E147" s="79" t="s">
        <v>67</v>
      </c>
      <c r="F147" s="80" t="s">
        <v>53</v>
      </c>
      <c r="G147" s="76" t="s">
        <v>4207</v>
      </c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25">
      <c r="A148" s="105" t="s">
        <v>230</v>
      </c>
      <c r="B148" s="76" t="s">
        <v>4208</v>
      </c>
      <c r="C148" s="93" t="s">
        <v>2865</v>
      </c>
      <c r="D148" s="77" t="s">
        <v>3982</v>
      </c>
      <c r="E148" s="79" t="s">
        <v>67</v>
      </c>
      <c r="F148" s="80" t="s">
        <v>53</v>
      </c>
      <c r="G148" s="76" t="s">
        <v>4208</v>
      </c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25">
      <c r="A149" s="105" t="s">
        <v>231</v>
      </c>
      <c r="B149" s="76" t="s">
        <v>4209</v>
      </c>
      <c r="C149" s="93" t="s">
        <v>2027</v>
      </c>
      <c r="D149" s="77" t="s">
        <v>3982</v>
      </c>
      <c r="E149" s="79" t="s">
        <v>67</v>
      </c>
      <c r="F149" s="80" t="s">
        <v>53</v>
      </c>
      <c r="G149" s="76" t="s">
        <v>4209</v>
      </c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25">
      <c r="A150" s="105" t="s">
        <v>232</v>
      </c>
      <c r="B150" s="76" t="s">
        <v>4210</v>
      </c>
      <c r="C150" s="93" t="s">
        <v>2891</v>
      </c>
      <c r="D150" s="77" t="s">
        <v>3982</v>
      </c>
      <c r="E150" s="79" t="s">
        <v>67</v>
      </c>
      <c r="F150" s="80" t="s">
        <v>53</v>
      </c>
      <c r="G150" s="76" t="s">
        <v>4210</v>
      </c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25">
      <c r="A151" s="105" t="s">
        <v>233</v>
      </c>
      <c r="B151" s="76" t="s">
        <v>4211</v>
      </c>
      <c r="C151" s="93" t="s">
        <v>2313</v>
      </c>
      <c r="D151" s="77" t="s">
        <v>3982</v>
      </c>
      <c r="E151" s="79" t="s">
        <v>67</v>
      </c>
      <c r="F151" s="80" t="s">
        <v>53</v>
      </c>
      <c r="G151" s="76" t="s">
        <v>4211</v>
      </c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25">
      <c r="A152" s="105" t="s">
        <v>234</v>
      </c>
      <c r="B152" s="76" t="s">
        <v>4212</v>
      </c>
      <c r="C152" s="93" t="s">
        <v>2105</v>
      </c>
      <c r="D152" s="77" t="s">
        <v>3982</v>
      </c>
      <c r="E152" s="79" t="s">
        <v>67</v>
      </c>
      <c r="F152" s="80" t="s">
        <v>53</v>
      </c>
      <c r="G152" s="76" t="s">
        <v>4212</v>
      </c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25">
      <c r="A153" s="105" t="s">
        <v>235</v>
      </c>
      <c r="B153" s="76" t="s">
        <v>4213</v>
      </c>
      <c r="C153" s="93" t="s">
        <v>1906</v>
      </c>
      <c r="D153" s="77" t="s">
        <v>3982</v>
      </c>
      <c r="E153" s="79" t="s">
        <v>67</v>
      </c>
      <c r="F153" s="80" t="s">
        <v>53</v>
      </c>
      <c r="G153" s="76" t="s">
        <v>4213</v>
      </c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25">
      <c r="A154" s="105" t="s">
        <v>236</v>
      </c>
      <c r="B154" s="76" t="s">
        <v>4214</v>
      </c>
      <c r="C154" s="93" t="s">
        <v>2824</v>
      </c>
      <c r="D154" s="77" t="s">
        <v>3982</v>
      </c>
      <c r="E154" s="79" t="s">
        <v>67</v>
      </c>
      <c r="F154" s="80" t="s">
        <v>53</v>
      </c>
      <c r="G154" s="76" t="s">
        <v>4214</v>
      </c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25">
      <c r="A155" s="105" t="s">
        <v>237</v>
      </c>
      <c r="B155" s="76" t="s">
        <v>4215</v>
      </c>
      <c r="C155" s="93" t="s">
        <v>2811</v>
      </c>
      <c r="D155" s="77" t="s">
        <v>3982</v>
      </c>
      <c r="E155" s="79" t="s">
        <v>67</v>
      </c>
      <c r="F155" s="80" t="s">
        <v>53</v>
      </c>
      <c r="G155" s="76" t="s">
        <v>4215</v>
      </c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25">
      <c r="A156" s="105" t="s">
        <v>238</v>
      </c>
      <c r="B156" s="76" t="s">
        <v>4216</v>
      </c>
      <c r="C156" s="93" t="s">
        <v>3077</v>
      </c>
      <c r="D156" s="77" t="s">
        <v>3982</v>
      </c>
      <c r="E156" s="79" t="s">
        <v>67</v>
      </c>
      <c r="F156" s="80" t="s">
        <v>53</v>
      </c>
      <c r="G156" s="76" t="s">
        <v>4216</v>
      </c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25">
      <c r="A157" s="105" t="s">
        <v>239</v>
      </c>
      <c r="B157" s="76" t="s">
        <v>4217</v>
      </c>
      <c r="C157" s="93" t="s">
        <v>4519</v>
      </c>
      <c r="D157" s="77" t="s">
        <v>3982</v>
      </c>
      <c r="E157" s="79" t="s">
        <v>67</v>
      </c>
      <c r="F157" s="80" t="s">
        <v>53</v>
      </c>
      <c r="G157" s="76" t="s">
        <v>4217</v>
      </c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25">
      <c r="A158" s="105" t="s">
        <v>240</v>
      </c>
      <c r="B158" s="76" t="s">
        <v>4218</v>
      </c>
      <c r="C158" s="93" t="s">
        <v>2377</v>
      </c>
      <c r="D158" s="77" t="s">
        <v>3982</v>
      </c>
      <c r="E158" s="79" t="s">
        <v>67</v>
      </c>
      <c r="F158" s="80" t="s">
        <v>53</v>
      </c>
      <c r="G158" s="76" t="s">
        <v>4218</v>
      </c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25">
      <c r="A159" s="105" t="s">
        <v>241</v>
      </c>
      <c r="B159" s="76" t="s">
        <v>4219</v>
      </c>
      <c r="C159" s="93" t="s">
        <v>2251</v>
      </c>
      <c r="D159" s="77" t="s">
        <v>3982</v>
      </c>
      <c r="E159" s="79" t="s">
        <v>67</v>
      </c>
      <c r="F159" s="80" t="s">
        <v>53</v>
      </c>
      <c r="G159" s="76" t="s">
        <v>4219</v>
      </c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25">
      <c r="A160" s="105" t="s">
        <v>242</v>
      </c>
      <c r="B160" s="76" t="s">
        <v>4220</v>
      </c>
      <c r="C160" s="93" t="s">
        <v>2693</v>
      </c>
      <c r="D160" s="77" t="s">
        <v>3982</v>
      </c>
      <c r="E160" s="79" t="s">
        <v>67</v>
      </c>
      <c r="F160" s="80" t="s">
        <v>53</v>
      </c>
      <c r="G160" s="76" t="s">
        <v>4220</v>
      </c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25">
      <c r="A161" s="105" t="s">
        <v>243</v>
      </c>
      <c r="B161" s="76" t="s">
        <v>4221</v>
      </c>
      <c r="C161" s="93" t="s">
        <v>2055</v>
      </c>
      <c r="D161" s="77" t="s">
        <v>3982</v>
      </c>
      <c r="E161" s="79" t="s">
        <v>67</v>
      </c>
      <c r="F161" s="80" t="s">
        <v>53</v>
      </c>
      <c r="G161" s="76" t="s">
        <v>4221</v>
      </c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25">
      <c r="A162" s="105" t="s">
        <v>244</v>
      </c>
      <c r="B162" s="76" t="s">
        <v>4222</v>
      </c>
      <c r="C162" s="93" t="s">
        <v>2271</v>
      </c>
      <c r="D162" s="77" t="s">
        <v>3982</v>
      </c>
      <c r="E162" s="79" t="s">
        <v>67</v>
      </c>
      <c r="F162" s="80" t="s">
        <v>53</v>
      </c>
      <c r="G162" s="76" t="s">
        <v>4222</v>
      </c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25">
      <c r="A163" s="105" t="s">
        <v>245</v>
      </c>
      <c r="B163" s="76" t="s">
        <v>4223</v>
      </c>
      <c r="C163" s="93" t="s">
        <v>2873</v>
      </c>
      <c r="D163" s="77" t="s">
        <v>3982</v>
      </c>
      <c r="E163" s="79" t="s">
        <v>67</v>
      </c>
      <c r="F163" s="80" t="s">
        <v>53</v>
      </c>
      <c r="G163" s="76" t="s">
        <v>4223</v>
      </c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25">
      <c r="A164" s="105" t="s">
        <v>246</v>
      </c>
      <c r="B164" s="76" t="s">
        <v>4224</v>
      </c>
      <c r="C164" s="93" t="s">
        <v>2398</v>
      </c>
      <c r="D164" s="77" t="s">
        <v>3982</v>
      </c>
      <c r="E164" s="79" t="s">
        <v>67</v>
      </c>
      <c r="F164" s="80" t="s">
        <v>53</v>
      </c>
      <c r="G164" s="76" t="s">
        <v>4224</v>
      </c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25">
      <c r="A165" s="105" t="s">
        <v>247</v>
      </c>
      <c r="B165" s="76" t="s">
        <v>4225</v>
      </c>
      <c r="C165" s="93" t="s">
        <v>2704</v>
      </c>
      <c r="D165" s="77" t="s">
        <v>3982</v>
      </c>
      <c r="E165" s="79" t="s">
        <v>67</v>
      </c>
      <c r="F165" s="80" t="s">
        <v>53</v>
      </c>
      <c r="G165" s="76" t="s">
        <v>4225</v>
      </c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25">
      <c r="A166" s="105" t="s">
        <v>248</v>
      </c>
      <c r="B166" s="76" t="s">
        <v>4226</v>
      </c>
      <c r="C166" s="93" t="s">
        <v>2167</v>
      </c>
      <c r="D166" s="77" t="s">
        <v>3982</v>
      </c>
      <c r="E166" s="79" t="s">
        <v>67</v>
      </c>
      <c r="F166" s="80" t="s">
        <v>53</v>
      </c>
      <c r="G166" s="76" t="s">
        <v>4226</v>
      </c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25">
      <c r="A167" s="105" t="s">
        <v>249</v>
      </c>
      <c r="B167" s="76" t="s">
        <v>4227</v>
      </c>
      <c r="C167" s="93" t="s">
        <v>2020</v>
      </c>
      <c r="D167" s="77" t="s">
        <v>3982</v>
      </c>
      <c r="E167" s="79" t="s">
        <v>67</v>
      </c>
      <c r="F167" s="80" t="s">
        <v>53</v>
      </c>
      <c r="G167" s="76" t="s">
        <v>4227</v>
      </c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25">
      <c r="A168" s="105" t="s">
        <v>250</v>
      </c>
      <c r="B168" s="76" t="s">
        <v>4228</v>
      </c>
      <c r="C168" s="93" t="s">
        <v>2729</v>
      </c>
      <c r="D168" s="77" t="s">
        <v>3982</v>
      </c>
      <c r="E168" s="79" t="s">
        <v>67</v>
      </c>
      <c r="F168" s="80" t="s">
        <v>53</v>
      </c>
      <c r="G168" s="76" t="s">
        <v>4228</v>
      </c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25">
      <c r="A169" s="105" t="s">
        <v>251</v>
      </c>
      <c r="B169" s="76" t="s">
        <v>4229</v>
      </c>
      <c r="C169" s="93" t="s">
        <v>2354</v>
      </c>
      <c r="D169" s="77" t="s">
        <v>3982</v>
      </c>
      <c r="E169" s="79" t="s">
        <v>67</v>
      </c>
      <c r="F169" s="80" t="s">
        <v>53</v>
      </c>
      <c r="G169" s="76" t="s">
        <v>4229</v>
      </c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25">
      <c r="A170" s="105" t="s">
        <v>252</v>
      </c>
      <c r="B170" s="76" t="s">
        <v>4230</v>
      </c>
      <c r="C170" s="93" t="s">
        <v>2035</v>
      </c>
      <c r="D170" s="77" t="s">
        <v>3982</v>
      </c>
      <c r="E170" s="79" t="s">
        <v>67</v>
      </c>
      <c r="F170" s="80" t="s">
        <v>53</v>
      </c>
      <c r="G170" s="76" t="s">
        <v>4230</v>
      </c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25">
      <c r="A171" s="105" t="s">
        <v>253</v>
      </c>
      <c r="B171" s="76" t="s">
        <v>4231</v>
      </c>
      <c r="C171" s="93" t="s">
        <v>2897</v>
      </c>
      <c r="D171" s="77" t="s">
        <v>3982</v>
      </c>
      <c r="E171" s="79" t="s">
        <v>67</v>
      </c>
      <c r="F171" s="80" t="s">
        <v>53</v>
      </c>
      <c r="G171" s="76" t="s">
        <v>4231</v>
      </c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25">
      <c r="A172" s="105" t="s">
        <v>254</v>
      </c>
      <c r="B172" s="76" t="s">
        <v>4232</v>
      </c>
      <c r="C172" s="93" t="s">
        <v>2334</v>
      </c>
      <c r="D172" s="77" t="s">
        <v>3982</v>
      </c>
      <c r="E172" s="79" t="s">
        <v>67</v>
      </c>
      <c r="F172" s="80" t="s">
        <v>53</v>
      </c>
      <c r="G172" s="76" t="s">
        <v>4232</v>
      </c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25">
      <c r="A173" s="105" t="s">
        <v>255</v>
      </c>
      <c r="B173" s="76" t="s">
        <v>4233</v>
      </c>
      <c r="C173" s="88" t="s">
        <v>1894</v>
      </c>
      <c r="D173" s="77" t="s">
        <v>3983</v>
      </c>
      <c r="E173" s="79" t="s">
        <v>68</v>
      </c>
      <c r="F173" s="80" t="s">
        <v>53</v>
      </c>
      <c r="G173" s="76" t="s">
        <v>4233</v>
      </c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25">
      <c r="A174" s="105" t="s">
        <v>256</v>
      </c>
      <c r="B174" s="76" t="s">
        <v>4234</v>
      </c>
      <c r="C174" s="88" t="s">
        <v>1478</v>
      </c>
      <c r="D174" s="77" t="s">
        <v>3983</v>
      </c>
      <c r="E174" s="79" t="s">
        <v>68</v>
      </c>
      <c r="F174" s="80" t="s">
        <v>53</v>
      </c>
      <c r="G174" s="76" t="s">
        <v>4234</v>
      </c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25">
      <c r="A175" s="105" t="s">
        <v>257</v>
      </c>
      <c r="B175" s="76" t="s">
        <v>4235</v>
      </c>
      <c r="C175" s="88" t="s">
        <v>1744</v>
      </c>
      <c r="D175" s="77" t="s">
        <v>3983</v>
      </c>
      <c r="E175" s="79" t="s">
        <v>68</v>
      </c>
      <c r="F175" s="80" t="s">
        <v>53</v>
      </c>
      <c r="G175" s="76" t="s">
        <v>4235</v>
      </c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25">
      <c r="A176" s="105" t="s">
        <v>258</v>
      </c>
      <c r="B176" s="76" t="s">
        <v>4236</v>
      </c>
      <c r="C176" s="88" t="s">
        <v>3477</v>
      </c>
      <c r="D176" s="77" t="s">
        <v>3983</v>
      </c>
      <c r="E176" s="79" t="s">
        <v>68</v>
      </c>
      <c r="F176" s="80" t="s">
        <v>53</v>
      </c>
      <c r="G176" s="76" t="s">
        <v>4236</v>
      </c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25">
      <c r="A177" s="105" t="s">
        <v>259</v>
      </c>
      <c r="B177" s="76" t="s">
        <v>4237</v>
      </c>
      <c r="C177" s="88" t="s">
        <v>3891</v>
      </c>
      <c r="D177" s="77" t="s">
        <v>3983</v>
      </c>
      <c r="E177" s="79" t="s">
        <v>68</v>
      </c>
      <c r="F177" s="80" t="s">
        <v>53</v>
      </c>
      <c r="G177" s="76" t="s">
        <v>4237</v>
      </c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25">
      <c r="A178" s="105" t="s">
        <v>260</v>
      </c>
      <c r="B178" s="76" t="s">
        <v>4238</v>
      </c>
      <c r="C178" s="88" t="s">
        <v>3802</v>
      </c>
      <c r="D178" s="77" t="s">
        <v>3983</v>
      </c>
      <c r="E178" s="79" t="s">
        <v>68</v>
      </c>
      <c r="F178" s="80" t="s">
        <v>53</v>
      </c>
      <c r="G178" s="76" t="s">
        <v>4238</v>
      </c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25">
      <c r="A179" s="105" t="s">
        <v>261</v>
      </c>
      <c r="B179" s="76" t="s">
        <v>4239</v>
      </c>
      <c r="C179" s="88" t="s">
        <v>2446</v>
      </c>
      <c r="D179" s="77" t="s">
        <v>3983</v>
      </c>
      <c r="E179" s="79" t="s">
        <v>68</v>
      </c>
      <c r="F179" s="80" t="s">
        <v>53</v>
      </c>
      <c r="G179" s="76" t="s">
        <v>4239</v>
      </c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25">
      <c r="A180" s="105" t="s">
        <v>262</v>
      </c>
      <c r="B180" s="76" t="s">
        <v>4240</v>
      </c>
      <c r="C180" s="89" t="s">
        <v>1288</v>
      </c>
      <c r="D180" s="77" t="s">
        <v>3983</v>
      </c>
      <c r="E180" s="79" t="s">
        <v>68</v>
      </c>
      <c r="F180" s="80" t="s">
        <v>53</v>
      </c>
      <c r="G180" s="76" t="s">
        <v>4240</v>
      </c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25">
      <c r="A181" s="105" t="s">
        <v>263</v>
      </c>
      <c r="B181" s="76" t="s">
        <v>4241</v>
      </c>
      <c r="C181" s="88" t="s">
        <v>3483</v>
      </c>
      <c r="D181" s="77" t="s">
        <v>3983</v>
      </c>
      <c r="E181" s="79" t="s">
        <v>68</v>
      </c>
      <c r="F181" s="80" t="s">
        <v>53</v>
      </c>
      <c r="G181" s="76" t="s">
        <v>4241</v>
      </c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25">
      <c r="A182" s="105" t="s">
        <v>264</v>
      </c>
      <c r="B182" s="76" t="s">
        <v>4242</v>
      </c>
      <c r="C182" s="88" t="s">
        <v>3880</v>
      </c>
      <c r="D182" s="77" t="s">
        <v>3983</v>
      </c>
      <c r="E182" s="79" t="s">
        <v>68</v>
      </c>
      <c r="F182" s="80" t="s">
        <v>53</v>
      </c>
      <c r="G182" s="76" t="s">
        <v>4242</v>
      </c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25">
      <c r="A183" s="105" t="s">
        <v>265</v>
      </c>
      <c r="B183" s="76" t="s">
        <v>4243</v>
      </c>
      <c r="C183" s="88" t="s">
        <v>3819</v>
      </c>
      <c r="D183" s="77" t="s">
        <v>3983</v>
      </c>
      <c r="E183" s="79" t="s">
        <v>68</v>
      </c>
      <c r="F183" s="80" t="s">
        <v>53</v>
      </c>
      <c r="G183" s="76" t="s">
        <v>4243</v>
      </c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25">
      <c r="A184" s="105" t="s">
        <v>266</v>
      </c>
      <c r="B184" s="76" t="s">
        <v>4244</v>
      </c>
      <c r="C184" s="88" t="s">
        <v>1923</v>
      </c>
      <c r="D184" s="77" t="s">
        <v>3983</v>
      </c>
      <c r="E184" s="79" t="s">
        <v>68</v>
      </c>
      <c r="F184" s="80" t="s">
        <v>53</v>
      </c>
      <c r="G184" s="76" t="s">
        <v>4244</v>
      </c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25">
      <c r="A185" s="105" t="s">
        <v>267</v>
      </c>
      <c r="B185" s="76" t="s">
        <v>4245</v>
      </c>
      <c r="C185" s="88" t="s">
        <v>3748</v>
      </c>
      <c r="D185" s="77" t="s">
        <v>3983</v>
      </c>
      <c r="E185" s="79" t="s">
        <v>68</v>
      </c>
      <c r="F185" s="80" t="s">
        <v>53</v>
      </c>
      <c r="G185" s="76" t="s">
        <v>4245</v>
      </c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25">
      <c r="A186" s="105" t="s">
        <v>268</v>
      </c>
      <c r="B186" s="76" t="s">
        <v>4246</v>
      </c>
      <c r="C186" s="88" t="s">
        <v>1517</v>
      </c>
      <c r="D186" s="77" t="s">
        <v>3983</v>
      </c>
      <c r="E186" s="79" t="s">
        <v>68</v>
      </c>
      <c r="F186" s="80" t="s">
        <v>53</v>
      </c>
      <c r="G186" s="76" t="s">
        <v>4246</v>
      </c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25">
      <c r="A187" s="105" t="s">
        <v>269</v>
      </c>
      <c r="B187" s="76" t="s">
        <v>4247</v>
      </c>
      <c r="C187" s="88" t="s">
        <v>3695</v>
      </c>
      <c r="D187" s="77" t="s">
        <v>3983</v>
      </c>
      <c r="E187" s="79" t="s">
        <v>68</v>
      </c>
      <c r="F187" s="80" t="s">
        <v>53</v>
      </c>
      <c r="G187" s="76" t="s">
        <v>4247</v>
      </c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25">
      <c r="A188" s="105" t="s">
        <v>270</v>
      </c>
      <c r="B188" s="76" t="s">
        <v>4248</v>
      </c>
      <c r="C188" s="88" t="s">
        <v>2636</v>
      </c>
      <c r="D188" s="77" t="s">
        <v>3983</v>
      </c>
      <c r="E188" s="79" t="s">
        <v>68</v>
      </c>
      <c r="F188" s="80" t="s">
        <v>53</v>
      </c>
      <c r="G188" s="76" t="s">
        <v>4248</v>
      </c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25">
      <c r="A189" s="105" t="s">
        <v>271</v>
      </c>
      <c r="B189" s="76" t="s">
        <v>4249</v>
      </c>
      <c r="C189" s="88" t="s">
        <v>3955</v>
      </c>
      <c r="D189" s="77" t="s">
        <v>3983</v>
      </c>
      <c r="E189" s="79" t="s">
        <v>68</v>
      </c>
      <c r="F189" s="80" t="s">
        <v>53</v>
      </c>
      <c r="G189" s="76" t="s">
        <v>4249</v>
      </c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25">
      <c r="A190" s="105" t="s">
        <v>272</v>
      </c>
      <c r="B190" s="76" t="s">
        <v>4250</v>
      </c>
      <c r="C190" s="89" t="s">
        <v>739</v>
      </c>
      <c r="D190" s="77" t="s">
        <v>3983</v>
      </c>
      <c r="E190" s="79" t="s">
        <v>68</v>
      </c>
      <c r="F190" s="80" t="s">
        <v>53</v>
      </c>
      <c r="G190" s="76" t="s">
        <v>4250</v>
      </c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25">
      <c r="A191" s="105" t="s">
        <v>273</v>
      </c>
      <c r="B191" s="76" t="s">
        <v>4251</v>
      </c>
      <c r="C191" s="88" t="s">
        <v>1499</v>
      </c>
      <c r="D191" s="77" t="s">
        <v>3983</v>
      </c>
      <c r="E191" s="79" t="s">
        <v>68</v>
      </c>
      <c r="F191" s="80" t="s">
        <v>53</v>
      </c>
      <c r="G191" s="76" t="s">
        <v>4251</v>
      </c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25">
      <c r="A192" s="105" t="s">
        <v>274</v>
      </c>
      <c r="B192" s="76" t="s">
        <v>4252</v>
      </c>
      <c r="C192" s="88" t="s">
        <v>2544</v>
      </c>
      <c r="D192" s="77" t="s">
        <v>3983</v>
      </c>
      <c r="E192" s="79" t="s">
        <v>68</v>
      </c>
      <c r="F192" s="80" t="s">
        <v>53</v>
      </c>
      <c r="G192" s="76" t="s">
        <v>4252</v>
      </c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25">
      <c r="A193" s="105" t="s">
        <v>275</v>
      </c>
      <c r="B193" s="76" t="s">
        <v>4253</v>
      </c>
      <c r="C193" s="88" t="s">
        <v>3948</v>
      </c>
      <c r="D193" s="77" t="s">
        <v>3983</v>
      </c>
      <c r="E193" s="79" t="s">
        <v>68</v>
      </c>
      <c r="F193" s="80" t="s">
        <v>53</v>
      </c>
      <c r="G193" s="76" t="s">
        <v>4253</v>
      </c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25">
      <c r="A194" s="105" t="s">
        <v>276</v>
      </c>
      <c r="B194" s="76" t="s">
        <v>4254</v>
      </c>
      <c r="C194" s="88" t="s">
        <v>1428</v>
      </c>
      <c r="D194" s="77" t="s">
        <v>3983</v>
      </c>
      <c r="E194" s="79" t="s">
        <v>68</v>
      </c>
      <c r="F194" s="80" t="s">
        <v>53</v>
      </c>
      <c r="G194" s="76" t="s">
        <v>4254</v>
      </c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25">
      <c r="A195" s="105" t="s">
        <v>277</v>
      </c>
      <c r="B195" s="76" t="s">
        <v>4255</v>
      </c>
      <c r="C195" s="88" t="s">
        <v>3542</v>
      </c>
      <c r="D195" s="77" t="s">
        <v>3983</v>
      </c>
      <c r="E195" s="79" t="s">
        <v>68</v>
      </c>
      <c r="F195" s="80" t="s">
        <v>53</v>
      </c>
      <c r="G195" s="76" t="s">
        <v>4255</v>
      </c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25">
      <c r="A196" s="105" t="s">
        <v>278</v>
      </c>
      <c r="B196" s="76" t="s">
        <v>4256</v>
      </c>
      <c r="C196" s="88" t="s">
        <v>3531</v>
      </c>
      <c r="D196" s="77" t="s">
        <v>3983</v>
      </c>
      <c r="E196" s="79" t="s">
        <v>68</v>
      </c>
      <c r="F196" s="80" t="s">
        <v>53</v>
      </c>
      <c r="G196" s="76" t="s">
        <v>4256</v>
      </c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25">
      <c r="A197" s="105" t="s">
        <v>279</v>
      </c>
      <c r="B197" s="76" t="s">
        <v>4257</v>
      </c>
      <c r="C197" s="88" t="s">
        <v>3678</v>
      </c>
      <c r="D197" s="77" t="s">
        <v>3983</v>
      </c>
      <c r="E197" s="79" t="s">
        <v>68</v>
      </c>
      <c r="F197" s="80" t="s">
        <v>53</v>
      </c>
      <c r="G197" s="76" t="s">
        <v>4257</v>
      </c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25">
      <c r="A198" s="105" t="s">
        <v>280</v>
      </c>
      <c r="B198" s="76" t="s">
        <v>4258</v>
      </c>
      <c r="C198" s="88" t="s">
        <v>3182</v>
      </c>
      <c r="D198" s="77" t="s">
        <v>3983</v>
      </c>
      <c r="E198" s="79" t="s">
        <v>68</v>
      </c>
      <c r="F198" s="80" t="s">
        <v>53</v>
      </c>
      <c r="G198" s="76" t="s">
        <v>4258</v>
      </c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25">
      <c r="A199" s="105" t="s">
        <v>281</v>
      </c>
      <c r="B199" s="76" t="s">
        <v>4259</v>
      </c>
      <c r="C199" s="88" t="s">
        <v>2187</v>
      </c>
      <c r="D199" s="77" t="s">
        <v>3983</v>
      </c>
      <c r="E199" s="79" t="s">
        <v>68</v>
      </c>
      <c r="F199" s="80" t="s">
        <v>53</v>
      </c>
      <c r="G199" s="76" t="s">
        <v>4259</v>
      </c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25">
      <c r="A200" s="105" t="s">
        <v>282</v>
      </c>
      <c r="B200" s="76" t="s">
        <v>4260</v>
      </c>
      <c r="C200" s="88" t="s">
        <v>3755</v>
      </c>
      <c r="D200" s="77" t="s">
        <v>3983</v>
      </c>
      <c r="E200" s="79" t="s">
        <v>68</v>
      </c>
      <c r="F200" s="80" t="s">
        <v>53</v>
      </c>
      <c r="G200" s="76" t="s">
        <v>4260</v>
      </c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25">
      <c r="A201" s="105" t="s">
        <v>283</v>
      </c>
      <c r="B201" s="76" t="s">
        <v>4261</v>
      </c>
      <c r="C201" s="88" t="s">
        <v>2132</v>
      </c>
      <c r="D201" s="77" t="s">
        <v>3983</v>
      </c>
      <c r="E201" s="79" t="s">
        <v>68</v>
      </c>
      <c r="F201" s="80" t="s">
        <v>53</v>
      </c>
      <c r="G201" s="76" t="s">
        <v>4261</v>
      </c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25">
      <c r="A202" s="105" t="s">
        <v>284</v>
      </c>
      <c r="B202" s="76" t="s">
        <v>4262</v>
      </c>
      <c r="C202" s="88" t="s">
        <v>3354</v>
      </c>
      <c r="D202" s="77" t="s">
        <v>3983</v>
      </c>
      <c r="E202" s="79" t="s">
        <v>68</v>
      </c>
      <c r="F202" s="80" t="s">
        <v>53</v>
      </c>
      <c r="G202" s="76" t="s">
        <v>4262</v>
      </c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25">
      <c r="A203" s="105" t="s">
        <v>285</v>
      </c>
      <c r="B203" s="76" t="s">
        <v>4263</v>
      </c>
      <c r="C203" s="88" t="s">
        <v>3903</v>
      </c>
      <c r="D203" s="77" t="s">
        <v>3983</v>
      </c>
      <c r="E203" s="79" t="s">
        <v>68</v>
      </c>
      <c r="F203" s="80" t="s">
        <v>53</v>
      </c>
      <c r="G203" s="76" t="s">
        <v>4263</v>
      </c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25">
      <c r="A204" s="105" t="s">
        <v>286</v>
      </c>
      <c r="B204" s="76" t="s">
        <v>4264</v>
      </c>
      <c r="C204" s="88" t="s">
        <v>769</v>
      </c>
      <c r="D204" s="77" t="s">
        <v>3983</v>
      </c>
      <c r="E204" s="79" t="s">
        <v>68</v>
      </c>
      <c r="F204" s="80" t="s">
        <v>53</v>
      </c>
      <c r="G204" s="76" t="s">
        <v>4264</v>
      </c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25">
      <c r="A205" s="105" t="s">
        <v>287</v>
      </c>
      <c r="B205" s="76" t="s">
        <v>4265</v>
      </c>
      <c r="C205" s="88" t="s">
        <v>3460</v>
      </c>
      <c r="D205" s="77" t="s">
        <v>3983</v>
      </c>
      <c r="E205" s="79" t="s">
        <v>68</v>
      </c>
      <c r="F205" s="80" t="s">
        <v>53</v>
      </c>
      <c r="G205" s="76" t="s">
        <v>4265</v>
      </c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25">
      <c r="A206" s="105" t="s">
        <v>288</v>
      </c>
      <c r="B206" s="76" t="s">
        <v>4266</v>
      </c>
      <c r="C206" s="88" t="s">
        <v>1616</v>
      </c>
      <c r="D206" s="77" t="s">
        <v>3983</v>
      </c>
      <c r="E206" s="79" t="s">
        <v>68</v>
      </c>
      <c r="F206" s="80" t="s">
        <v>53</v>
      </c>
      <c r="G206" s="76" t="s">
        <v>4266</v>
      </c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25">
      <c r="A207" s="105" t="s">
        <v>289</v>
      </c>
      <c r="B207" s="76" t="s">
        <v>4267</v>
      </c>
      <c r="C207" s="93" t="s">
        <v>2817</v>
      </c>
      <c r="D207" s="77" t="s">
        <v>3984</v>
      </c>
      <c r="E207" s="79" t="s">
        <v>69</v>
      </c>
      <c r="F207" s="80" t="s">
        <v>53</v>
      </c>
      <c r="G207" s="76" t="s">
        <v>4267</v>
      </c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25">
      <c r="A208" s="105" t="s">
        <v>290</v>
      </c>
      <c r="B208" s="76" t="s">
        <v>4268</v>
      </c>
      <c r="C208" s="93" t="s">
        <v>2007</v>
      </c>
      <c r="D208" s="77" t="s">
        <v>3984</v>
      </c>
      <c r="E208" s="79" t="s">
        <v>69</v>
      </c>
      <c r="F208" s="80" t="s">
        <v>53</v>
      </c>
      <c r="G208" s="76" t="s">
        <v>4268</v>
      </c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25">
      <c r="A209" s="105" t="s">
        <v>291</v>
      </c>
      <c r="B209" s="76" t="s">
        <v>4269</v>
      </c>
      <c r="C209" s="93" t="s">
        <v>2276</v>
      </c>
      <c r="D209" s="77" t="s">
        <v>3984</v>
      </c>
      <c r="E209" s="79" t="s">
        <v>69</v>
      </c>
      <c r="F209" s="80" t="s">
        <v>53</v>
      </c>
      <c r="G209" s="76" t="s">
        <v>4269</v>
      </c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25">
      <c r="A210" s="105" t="s">
        <v>292</v>
      </c>
      <c r="B210" s="76" t="s">
        <v>4270</v>
      </c>
      <c r="C210" s="93" t="s">
        <v>2498</v>
      </c>
      <c r="D210" s="77" t="s">
        <v>3984</v>
      </c>
      <c r="E210" s="79" t="s">
        <v>69</v>
      </c>
      <c r="F210" s="80" t="s">
        <v>53</v>
      </c>
      <c r="G210" s="76" t="s">
        <v>4270</v>
      </c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25">
      <c r="A211" s="105" t="s">
        <v>293</v>
      </c>
      <c r="B211" s="76" t="s">
        <v>4271</v>
      </c>
      <c r="C211" s="93" t="s">
        <v>2063</v>
      </c>
      <c r="D211" s="77" t="s">
        <v>3984</v>
      </c>
      <c r="E211" s="79" t="s">
        <v>69</v>
      </c>
      <c r="F211" s="80" t="s">
        <v>53</v>
      </c>
      <c r="G211" s="76" t="s">
        <v>4271</v>
      </c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25">
      <c r="A212" s="105" t="s">
        <v>294</v>
      </c>
      <c r="B212" s="76" t="s">
        <v>4272</v>
      </c>
      <c r="C212" s="93" t="s">
        <v>2238</v>
      </c>
      <c r="D212" s="77" t="s">
        <v>3984</v>
      </c>
      <c r="E212" s="79" t="s">
        <v>69</v>
      </c>
      <c r="F212" s="80" t="s">
        <v>53</v>
      </c>
      <c r="G212" s="76" t="s">
        <v>4272</v>
      </c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25">
      <c r="A213" s="105" t="s">
        <v>295</v>
      </c>
      <c r="B213" s="76" t="s">
        <v>4273</v>
      </c>
      <c r="C213" s="93" t="s">
        <v>2460</v>
      </c>
      <c r="D213" s="77" t="s">
        <v>3984</v>
      </c>
      <c r="E213" s="79" t="s">
        <v>69</v>
      </c>
      <c r="F213" s="80" t="s">
        <v>53</v>
      </c>
      <c r="G213" s="76" t="s">
        <v>4273</v>
      </c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25">
      <c r="A214" s="105" t="s">
        <v>296</v>
      </c>
      <c r="B214" s="76" t="s">
        <v>4274</v>
      </c>
      <c r="C214" s="93" t="s">
        <v>691</v>
      </c>
      <c r="D214" s="77" t="s">
        <v>3984</v>
      </c>
      <c r="E214" s="79" t="s">
        <v>69</v>
      </c>
      <c r="F214" s="80" t="s">
        <v>53</v>
      </c>
      <c r="G214" s="76" t="s">
        <v>4274</v>
      </c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25">
      <c r="A215" s="105" t="s">
        <v>297</v>
      </c>
      <c r="B215" s="76" t="s">
        <v>4275</v>
      </c>
      <c r="C215" s="93" t="s">
        <v>3700</v>
      </c>
      <c r="D215" s="77" t="s">
        <v>3984</v>
      </c>
      <c r="E215" s="79" t="s">
        <v>69</v>
      </c>
      <c r="F215" s="80" t="s">
        <v>53</v>
      </c>
      <c r="G215" s="76" t="s">
        <v>4275</v>
      </c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25">
      <c r="A216" s="105" t="s">
        <v>298</v>
      </c>
      <c r="B216" s="76" t="s">
        <v>4276</v>
      </c>
      <c r="C216" s="93" t="s">
        <v>1849</v>
      </c>
      <c r="D216" s="77" t="s">
        <v>3984</v>
      </c>
      <c r="E216" s="79" t="s">
        <v>69</v>
      </c>
      <c r="F216" s="80" t="s">
        <v>53</v>
      </c>
      <c r="G216" s="76" t="s">
        <v>4276</v>
      </c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25">
      <c r="A217" s="105" t="s">
        <v>299</v>
      </c>
      <c r="B217" s="76" t="s">
        <v>4277</v>
      </c>
      <c r="C217" s="93" t="s">
        <v>2746</v>
      </c>
      <c r="D217" s="77" t="s">
        <v>3984</v>
      </c>
      <c r="E217" s="79" t="s">
        <v>69</v>
      </c>
      <c r="F217" s="80" t="s">
        <v>53</v>
      </c>
      <c r="G217" s="76" t="s">
        <v>4277</v>
      </c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25">
      <c r="A218" s="105" t="s">
        <v>300</v>
      </c>
      <c r="B218" s="76" t="s">
        <v>4278</v>
      </c>
      <c r="C218" s="93" t="s">
        <v>2466</v>
      </c>
      <c r="D218" s="77" t="s">
        <v>3984</v>
      </c>
      <c r="E218" s="79" t="s">
        <v>69</v>
      </c>
      <c r="F218" s="80" t="s">
        <v>53</v>
      </c>
      <c r="G218" s="76" t="s">
        <v>4278</v>
      </c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25">
      <c r="A219" s="105" t="s">
        <v>301</v>
      </c>
      <c r="B219" s="76" t="s">
        <v>4279</v>
      </c>
      <c r="C219" s="93" t="s">
        <v>2289</v>
      </c>
      <c r="D219" s="77" t="s">
        <v>3984</v>
      </c>
      <c r="E219" s="79" t="s">
        <v>69</v>
      </c>
      <c r="F219" s="80" t="s">
        <v>53</v>
      </c>
      <c r="G219" s="76" t="s">
        <v>4279</v>
      </c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25">
      <c r="A220" s="105" t="s">
        <v>302</v>
      </c>
      <c r="B220" s="76" t="s">
        <v>4280</v>
      </c>
      <c r="C220" s="93" t="s">
        <v>1935</v>
      </c>
      <c r="D220" s="77" t="s">
        <v>3984</v>
      </c>
      <c r="E220" s="79" t="s">
        <v>69</v>
      </c>
      <c r="F220" s="80" t="s">
        <v>53</v>
      </c>
      <c r="G220" s="76" t="s">
        <v>4280</v>
      </c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25">
      <c r="A221" s="105" t="s">
        <v>303</v>
      </c>
      <c r="B221" s="76" t="s">
        <v>4281</v>
      </c>
      <c r="C221" s="93" t="s">
        <v>1250</v>
      </c>
      <c r="D221" s="77" t="s">
        <v>3984</v>
      </c>
      <c r="E221" s="79" t="s">
        <v>69</v>
      </c>
      <c r="F221" s="80" t="s">
        <v>53</v>
      </c>
      <c r="G221" s="76" t="s">
        <v>4281</v>
      </c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25">
      <c r="A222" s="105" t="s">
        <v>304</v>
      </c>
      <c r="B222" s="76" t="s">
        <v>4282</v>
      </c>
      <c r="C222" s="93" t="s">
        <v>1053</v>
      </c>
      <c r="D222" s="77" t="s">
        <v>3984</v>
      </c>
      <c r="E222" s="79" t="s">
        <v>69</v>
      </c>
      <c r="F222" s="80" t="s">
        <v>53</v>
      </c>
      <c r="G222" s="76" t="s">
        <v>4282</v>
      </c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25">
      <c r="A223" s="105" t="s">
        <v>305</v>
      </c>
      <c r="B223" s="76" t="s">
        <v>4283</v>
      </c>
      <c r="C223" s="93" t="s">
        <v>4521</v>
      </c>
      <c r="D223" s="77" t="s">
        <v>3984</v>
      </c>
      <c r="E223" s="79" t="s">
        <v>69</v>
      </c>
      <c r="F223" s="80" t="s">
        <v>53</v>
      </c>
      <c r="G223" s="76" t="s">
        <v>4283</v>
      </c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25">
      <c r="A224" s="105" t="s">
        <v>306</v>
      </c>
      <c r="B224" s="76" t="s">
        <v>4284</v>
      </c>
      <c r="C224" s="93" t="s">
        <v>2433</v>
      </c>
      <c r="D224" s="77" t="s">
        <v>3984</v>
      </c>
      <c r="E224" s="79" t="s">
        <v>69</v>
      </c>
      <c r="F224" s="80" t="s">
        <v>53</v>
      </c>
      <c r="G224" s="76" t="s">
        <v>4284</v>
      </c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25">
      <c r="A225" s="105" t="s">
        <v>307</v>
      </c>
      <c r="B225" s="76" t="s">
        <v>4285</v>
      </c>
      <c r="C225" s="93" t="s">
        <v>1982</v>
      </c>
      <c r="D225" s="77" t="s">
        <v>3984</v>
      </c>
      <c r="E225" s="79" t="s">
        <v>69</v>
      </c>
      <c r="F225" s="80" t="s">
        <v>53</v>
      </c>
      <c r="G225" s="76" t="s">
        <v>4285</v>
      </c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25">
      <c r="A226" s="105" t="s">
        <v>308</v>
      </c>
      <c r="B226" s="76" t="s">
        <v>4286</v>
      </c>
      <c r="C226" s="93" t="s">
        <v>1324</v>
      </c>
      <c r="D226" s="77" t="s">
        <v>3984</v>
      </c>
      <c r="E226" s="79" t="s">
        <v>69</v>
      </c>
      <c r="F226" s="80" t="s">
        <v>53</v>
      </c>
      <c r="G226" s="76" t="s">
        <v>4286</v>
      </c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25">
      <c r="A227" s="105" t="s">
        <v>309</v>
      </c>
      <c r="B227" s="76" t="s">
        <v>4287</v>
      </c>
      <c r="C227" s="93" t="s">
        <v>1969</v>
      </c>
      <c r="D227" s="77" t="s">
        <v>3984</v>
      </c>
      <c r="E227" s="79" t="s">
        <v>69</v>
      </c>
      <c r="F227" s="80" t="s">
        <v>53</v>
      </c>
      <c r="G227" s="76" t="s">
        <v>4287</v>
      </c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25">
      <c r="A228" s="105" t="s">
        <v>310</v>
      </c>
      <c r="B228" s="76" t="s">
        <v>4288</v>
      </c>
      <c r="C228" s="93" t="s">
        <v>2503</v>
      </c>
      <c r="D228" s="77" t="s">
        <v>3984</v>
      </c>
      <c r="E228" s="79" t="s">
        <v>69</v>
      </c>
      <c r="F228" s="80" t="s">
        <v>53</v>
      </c>
      <c r="G228" s="76" t="s">
        <v>4288</v>
      </c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25">
      <c r="A229" s="105" t="s">
        <v>311</v>
      </c>
      <c r="B229" s="76" t="s">
        <v>4289</v>
      </c>
      <c r="C229" s="93" t="s">
        <v>977</v>
      </c>
      <c r="D229" s="77" t="s">
        <v>3984</v>
      </c>
      <c r="E229" s="79" t="s">
        <v>69</v>
      </c>
      <c r="F229" s="80" t="s">
        <v>53</v>
      </c>
      <c r="G229" s="76" t="s">
        <v>4289</v>
      </c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25">
      <c r="A230" s="105" t="s">
        <v>312</v>
      </c>
      <c r="B230" s="76" t="s">
        <v>4290</v>
      </c>
      <c r="C230" s="93" t="s">
        <v>1223</v>
      </c>
      <c r="D230" s="77" t="s">
        <v>3984</v>
      </c>
      <c r="E230" s="79" t="s">
        <v>69</v>
      </c>
      <c r="F230" s="80" t="s">
        <v>53</v>
      </c>
      <c r="G230" s="76" t="s">
        <v>4290</v>
      </c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25">
      <c r="A231" s="105" t="s">
        <v>313</v>
      </c>
      <c r="B231" s="76" t="s">
        <v>4291</v>
      </c>
      <c r="C231" s="93" t="s">
        <v>1370</v>
      </c>
      <c r="D231" s="77" t="s">
        <v>3984</v>
      </c>
      <c r="E231" s="79" t="s">
        <v>69</v>
      </c>
      <c r="F231" s="80" t="s">
        <v>53</v>
      </c>
      <c r="G231" s="76" t="s">
        <v>4291</v>
      </c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25">
      <c r="A232" s="105" t="s">
        <v>314</v>
      </c>
      <c r="B232" s="76" t="s">
        <v>4292</v>
      </c>
      <c r="C232" s="93" t="s">
        <v>2454</v>
      </c>
      <c r="D232" s="77" t="s">
        <v>3984</v>
      </c>
      <c r="E232" s="79" t="s">
        <v>69</v>
      </c>
      <c r="F232" s="80" t="s">
        <v>53</v>
      </c>
      <c r="G232" s="76" t="s">
        <v>4292</v>
      </c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25">
      <c r="A233" s="105" t="s">
        <v>315</v>
      </c>
      <c r="B233" s="76" t="s">
        <v>4293</v>
      </c>
      <c r="C233" s="93" t="s">
        <v>3332</v>
      </c>
      <c r="D233" s="77" t="s">
        <v>3984</v>
      </c>
      <c r="E233" s="79" t="s">
        <v>69</v>
      </c>
      <c r="F233" s="80" t="s">
        <v>53</v>
      </c>
      <c r="G233" s="76" t="s">
        <v>4293</v>
      </c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25">
      <c r="A234" s="105" t="s">
        <v>316</v>
      </c>
      <c r="B234" s="76" t="s">
        <v>4294</v>
      </c>
      <c r="C234" s="93" t="s">
        <v>4515</v>
      </c>
      <c r="D234" s="77" t="s">
        <v>3984</v>
      </c>
      <c r="E234" s="79" t="s">
        <v>69</v>
      </c>
      <c r="F234" s="80" t="s">
        <v>53</v>
      </c>
      <c r="G234" s="76" t="s">
        <v>4294</v>
      </c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25">
      <c r="A235" s="105" t="s">
        <v>317</v>
      </c>
      <c r="B235" s="76" t="s">
        <v>4295</v>
      </c>
      <c r="C235" s="93" t="s">
        <v>1456</v>
      </c>
      <c r="D235" s="77" t="s">
        <v>3984</v>
      </c>
      <c r="E235" s="79" t="s">
        <v>69</v>
      </c>
      <c r="F235" s="80" t="s">
        <v>53</v>
      </c>
      <c r="G235" s="76" t="s">
        <v>4295</v>
      </c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25">
      <c r="A236" s="105" t="s">
        <v>318</v>
      </c>
      <c r="B236" s="76" t="s">
        <v>4296</v>
      </c>
      <c r="C236" s="93" t="s">
        <v>2212</v>
      </c>
      <c r="D236" s="77" t="s">
        <v>3984</v>
      </c>
      <c r="E236" s="79" t="s">
        <v>69</v>
      </c>
      <c r="F236" s="80" t="s">
        <v>53</v>
      </c>
      <c r="G236" s="76" t="s">
        <v>4296</v>
      </c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25">
      <c r="A237" s="105" t="s">
        <v>319</v>
      </c>
      <c r="B237" s="76" t="s">
        <v>4297</v>
      </c>
      <c r="C237" s="88" t="s">
        <v>871</v>
      </c>
      <c r="D237" s="77" t="s">
        <v>3985</v>
      </c>
      <c r="E237" s="79" t="s">
        <v>70</v>
      </c>
      <c r="F237" s="80" t="s">
        <v>53</v>
      </c>
      <c r="G237" s="76" t="s">
        <v>4297</v>
      </c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25">
      <c r="A238" s="105" t="s">
        <v>320</v>
      </c>
      <c r="B238" s="76" t="s">
        <v>4298</v>
      </c>
      <c r="C238" s="88" t="s">
        <v>631</v>
      </c>
      <c r="D238" s="77" t="s">
        <v>3985</v>
      </c>
      <c r="E238" s="79" t="s">
        <v>70</v>
      </c>
      <c r="F238" s="80" t="s">
        <v>53</v>
      </c>
      <c r="G238" s="76" t="s">
        <v>4298</v>
      </c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25">
      <c r="A239" s="105" t="s">
        <v>321</v>
      </c>
      <c r="B239" s="76" t="s">
        <v>4299</v>
      </c>
      <c r="C239" s="88" t="s">
        <v>1392</v>
      </c>
      <c r="D239" s="77" t="s">
        <v>3985</v>
      </c>
      <c r="E239" s="79" t="s">
        <v>70</v>
      </c>
      <c r="F239" s="80" t="s">
        <v>53</v>
      </c>
      <c r="G239" s="76" t="s">
        <v>4299</v>
      </c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25">
      <c r="A240" s="105" t="s">
        <v>322</v>
      </c>
      <c r="B240" s="76" t="s">
        <v>4300</v>
      </c>
      <c r="C240" s="89" t="s">
        <v>3326</v>
      </c>
      <c r="D240" s="77" t="s">
        <v>3985</v>
      </c>
      <c r="E240" s="79" t="s">
        <v>70</v>
      </c>
      <c r="F240" s="80" t="s">
        <v>53</v>
      </c>
      <c r="G240" s="76" t="s">
        <v>4300</v>
      </c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25">
      <c r="A241" s="105" t="s">
        <v>323</v>
      </c>
      <c r="B241" s="76" t="s">
        <v>4301</v>
      </c>
      <c r="C241" s="88" t="s">
        <v>970</v>
      </c>
      <c r="D241" s="77" t="s">
        <v>3985</v>
      </c>
      <c r="E241" s="79" t="s">
        <v>70</v>
      </c>
      <c r="F241" s="80" t="s">
        <v>53</v>
      </c>
      <c r="G241" s="76" t="s">
        <v>4301</v>
      </c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25">
      <c r="A242" s="105" t="s">
        <v>324</v>
      </c>
      <c r="B242" s="76" t="s">
        <v>4302</v>
      </c>
      <c r="C242" s="88" t="s">
        <v>1962</v>
      </c>
      <c r="D242" s="77" t="s">
        <v>3985</v>
      </c>
      <c r="E242" s="79" t="s">
        <v>70</v>
      </c>
      <c r="F242" s="80" t="s">
        <v>53</v>
      </c>
      <c r="G242" s="76" t="s">
        <v>4302</v>
      </c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25">
      <c r="A243" s="105" t="s">
        <v>325</v>
      </c>
      <c r="B243" s="76" t="s">
        <v>4303</v>
      </c>
      <c r="C243" s="88" t="s">
        <v>2916</v>
      </c>
      <c r="D243" s="77" t="s">
        <v>3985</v>
      </c>
      <c r="E243" s="79" t="s">
        <v>70</v>
      </c>
      <c r="F243" s="80" t="s">
        <v>53</v>
      </c>
      <c r="G243" s="76" t="s">
        <v>4303</v>
      </c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25">
      <c r="A244" s="105" t="s">
        <v>326</v>
      </c>
      <c r="B244" s="76" t="s">
        <v>4304</v>
      </c>
      <c r="C244" s="88" t="s">
        <v>4517</v>
      </c>
      <c r="D244" s="77" t="s">
        <v>3985</v>
      </c>
      <c r="E244" s="79" t="s">
        <v>70</v>
      </c>
      <c r="F244" s="80" t="s">
        <v>53</v>
      </c>
      <c r="G244" s="76" t="s">
        <v>4304</v>
      </c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25">
      <c r="A245" s="105" t="s">
        <v>327</v>
      </c>
      <c r="B245" s="115" t="s">
        <v>4305</v>
      </c>
      <c r="C245" s="116" t="s">
        <v>1874</v>
      </c>
      <c r="D245" s="117" t="s">
        <v>3985</v>
      </c>
      <c r="E245" s="118" t="s">
        <v>70</v>
      </c>
      <c r="F245" s="119" t="s">
        <v>54</v>
      </c>
      <c r="G245" s="115" t="s">
        <v>4305</v>
      </c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25">
      <c r="A246" s="105" t="s">
        <v>328</v>
      </c>
      <c r="B246" s="76" t="s">
        <v>4306</v>
      </c>
      <c r="C246" s="88" t="s">
        <v>3098</v>
      </c>
      <c r="D246" s="77" t="s">
        <v>3985</v>
      </c>
      <c r="E246" s="79" t="s">
        <v>70</v>
      </c>
      <c r="F246" s="80" t="s">
        <v>53</v>
      </c>
      <c r="G246" s="76" t="s">
        <v>4306</v>
      </c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25">
      <c r="A247" s="105" t="s">
        <v>329</v>
      </c>
      <c r="B247" s="76" t="s">
        <v>4307</v>
      </c>
      <c r="C247" s="88" t="s">
        <v>2220</v>
      </c>
      <c r="D247" s="77" t="s">
        <v>3985</v>
      </c>
      <c r="E247" s="79" t="s">
        <v>70</v>
      </c>
      <c r="F247" s="80" t="s">
        <v>53</v>
      </c>
      <c r="G247" s="76" t="s">
        <v>4307</v>
      </c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25">
      <c r="A248" s="105" t="s">
        <v>330</v>
      </c>
      <c r="B248" s="76" t="s">
        <v>4308</v>
      </c>
      <c r="C248" s="88" t="s">
        <v>1917</v>
      </c>
      <c r="D248" s="77" t="s">
        <v>3985</v>
      </c>
      <c r="E248" s="79" t="s">
        <v>70</v>
      </c>
      <c r="F248" s="80" t="s">
        <v>53</v>
      </c>
      <c r="G248" s="76" t="s">
        <v>4308</v>
      </c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25">
      <c r="A249" s="105" t="s">
        <v>331</v>
      </c>
      <c r="B249" s="76" t="s">
        <v>4309</v>
      </c>
      <c r="C249" s="88" t="s">
        <v>2566</v>
      </c>
      <c r="D249" s="77" t="s">
        <v>3985</v>
      </c>
      <c r="E249" s="79" t="s">
        <v>70</v>
      </c>
      <c r="F249" s="80" t="s">
        <v>53</v>
      </c>
      <c r="G249" s="76" t="s">
        <v>4309</v>
      </c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25">
      <c r="A250" s="105" t="s">
        <v>332</v>
      </c>
      <c r="B250" s="76" t="s">
        <v>4310</v>
      </c>
      <c r="C250" s="88" t="s">
        <v>1140</v>
      </c>
      <c r="D250" s="77" t="s">
        <v>3985</v>
      </c>
      <c r="E250" s="79" t="s">
        <v>70</v>
      </c>
      <c r="F250" s="80" t="s">
        <v>53</v>
      </c>
      <c r="G250" s="76" t="s">
        <v>4310</v>
      </c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25">
      <c r="A251" s="105" t="s">
        <v>333</v>
      </c>
      <c r="B251" s="76" t="s">
        <v>4311</v>
      </c>
      <c r="C251" s="88" t="s">
        <v>1330</v>
      </c>
      <c r="D251" s="77" t="s">
        <v>3985</v>
      </c>
      <c r="E251" s="79" t="s">
        <v>70</v>
      </c>
      <c r="F251" s="80" t="s">
        <v>53</v>
      </c>
      <c r="G251" s="76" t="s">
        <v>4311</v>
      </c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25">
      <c r="A252" s="105" t="s">
        <v>334</v>
      </c>
      <c r="B252" s="76" t="s">
        <v>4312</v>
      </c>
      <c r="C252" s="88" t="s">
        <v>2688</v>
      </c>
      <c r="D252" s="77" t="s">
        <v>3985</v>
      </c>
      <c r="E252" s="79" t="s">
        <v>70</v>
      </c>
      <c r="F252" s="80" t="s">
        <v>53</v>
      </c>
      <c r="G252" s="76" t="s">
        <v>4312</v>
      </c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25">
      <c r="A253" s="105" t="s">
        <v>335</v>
      </c>
      <c r="B253" s="76" t="s">
        <v>4313</v>
      </c>
      <c r="C253" s="88" t="s">
        <v>2329</v>
      </c>
      <c r="D253" s="77" t="s">
        <v>3985</v>
      </c>
      <c r="E253" s="79" t="s">
        <v>70</v>
      </c>
      <c r="F253" s="80" t="s">
        <v>53</v>
      </c>
      <c r="G253" s="76" t="s">
        <v>4313</v>
      </c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25">
      <c r="A254" s="105" t="s">
        <v>336</v>
      </c>
      <c r="B254" s="76" t="s">
        <v>4314</v>
      </c>
      <c r="C254" s="88" t="s">
        <v>1133</v>
      </c>
      <c r="D254" s="77" t="s">
        <v>3985</v>
      </c>
      <c r="E254" s="79" t="s">
        <v>70</v>
      </c>
      <c r="F254" s="80" t="s">
        <v>53</v>
      </c>
      <c r="G254" s="76" t="s">
        <v>4314</v>
      </c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25">
      <c r="A255" s="105" t="s">
        <v>337</v>
      </c>
      <c r="B255" s="76" t="s">
        <v>4315</v>
      </c>
      <c r="C255" s="88" t="s">
        <v>961</v>
      </c>
      <c r="D255" s="77" t="s">
        <v>3985</v>
      </c>
      <c r="E255" s="79" t="s">
        <v>70</v>
      </c>
      <c r="F255" s="80" t="s">
        <v>53</v>
      </c>
      <c r="G255" s="76" t="s">
        <v>4315</v>
      </c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25">
      <c r="A256" s="105" t="s">
        <v>338</v>
      </c>
      <c r="B256" s="76" t="s">
        <v>4316</v>
      </c>
      <c r="C256" s="88" t="s">
        <v>2805</v>
      </c>
      <c r="D256" s="77" t="s">
        <v>3985</v>
      </c>
      <c r="E256" s="79" t="s">
        <v>70</v>
      </c>
      <c r="F256" s="80" t="s">
        <v>53</v>
      </c>
      <c r="G256" s="76" t="s">
        <v>4316</v>
      </c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25">
      <c r="A257" s="105" t="s">
        <v>339</v>
      </c>
      <c r="B257" s="76" t="s">
        <v>4317</v>
      </c>
      <c r="C257" s="88" t="s">
        <v>1059</v>
      </c>
      <c r="D257" s="77" t="s">
        <v>3985</v>
      </c>
      <c r="E257" s="79" t="s">
        <v>70</v>
      </c>
      <c r="F257" s="80" t="s">
        <v>53</v>
      </c>
      <c r="G257" s="76" t="s">
        <v>4317</v>
      </c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25">
      <c r="A258" s="105" t="s">
        <v>340</v>
      </c>
      <c r="B258" s="76" t="s">
        <v>4318</v>
      </c>
      <c r="C258" s="88" t="s">
        <v>3221</v>
      </c>
      <c r="D258" s="77" t="s">
        <v>3985</v>
      </c>
      <c r="E258" s="79" t="s">
        <v>70</v>
      </c>
      <c r="F258" s="80" t="s">
        <v>53</v>
      </c>
      <c r="G258" s="76" t="s">
        <v>4318</v>
      </c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25">
      <c r="A259" s="105" t="s">
        <v>341</v>
      </c>
      <c r="B259" s="76" t="s">
        <v>4319</v>
      </c>
      <c r="C259" s="88" t="s">
        <v>3500</v>
      </c>
      <c r="D259" s="77" t="s">
        <v>3985</v>
      </c>
      <c r="E259" s="79" t="s">
        <v>70</v>
      </c>
      <c r="F259" s="80" t="s">
        <v>53</v>
      </c>
      <c r="G259" s="76" t="s">
        <v>4319</v>
      </c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25">
      <c r="A260" s="105" t="s">
        <v>342</v>
      </c>
      <c r="B260" s="76" t="s">
        <v>4320</v>
      </c>
      <c r="C260" s="88" t="s">
        <v>3690</v>
      </c>
      <c r="D260" s="77" t="s">
        <v>3985</v>
      </c>
      <c r="E260" s="79" t="s">
        <v>70</v>
      </c>
      <c r="F260" s="80" t="s">
        <v>53</v>
      </c>
      <c r="G260" s="76" t="s">
        <v>4320</v>
      </c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25">
      <c r="A261" s="105" t="s">
        <v>343</v>
      </c>
      <c r="B261" s="76" t="s">
        <v>4321</v>
      </c>
      <c r="C261" s="88" t="s">
        <v>2664</v>
      </c>
      <c r="D261" s="77" t="s">
        <v>3985</v>
      </c>
      <c r="E261" s="79" t="s">
        <v>70</v>
      </c>
      <c r="F261" s="80" t="s">
        <v>53</v>
      </c>
      <c r="G261" s="76" t="s">
        <v>4321</v>
      </c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25">
      <c r="A262" s="105" t="s">
        <v>344</v>
      </c>
      <c r="B262" s="76" t="s">
        <v>4322</v>
      </c>
      <c r="C262" s="88" t="s">
        <v>1976</v>
      </c>
      <c r="D262" s="77" t="s">
        <v>3985</v>
      </c>
      <c r="E262" s="79" t="s">
        <v>70</v>
      </c>
      <c r="F262" s="80" t="s">
        <v>53</v>
      </c>
      <c r="G262" s="76" t="s">
        <v>4322</v>
      </c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25">
      <c r="A263" s="105" t="s">
        <v>345</v>
      </c>
      <c r="B263" s="76" t="s">
        <v>4323</v>
      </c>
      <c r="C263" s="88" t="s">
        <v>3227</v>
      </c>
      <c r="D263" s="77" t="s">
        <v>3985</v>
      </c>
      <c r="E263" s="79" t="s">
        <v>70</v>
      </c>
      <c r="F263" s="80" t="s">
        <v>53</v>
      </c>
      <c r="G263" s="76" t="s">
        <v>4323</v>
      </c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25">
      <c r="A264" s="105" t="s">
        <v>346</v>
      </c>
      <c r="B264" s="76" t="s">
        <v>4324</v>
      </c>
      <c r="C264" s="88" t="s">
        <v>3520</v>
      </c>
      <c r="D264" s="77" t="s">
        <v>3985</v>
      </c>
      <c r="E264" s="79" t="s">
        <v>70</v>
      </c>
      <c r="F264" s="80" t="s">
        <v>53</v>
      </c>
      <c r="G264" s="76" t="s">
        <v>4324</v>
      </c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25">
      <c r="A265" s="105" t="s">
        <v>347</v>
      </c>
      <c r="B265" s="76" t="s">
        <v>4325</v>
      </c>
      <c r="C265" s="88" t="s">
        <v>1031</v>
      </c>
      <c r="D265" s="77" t="s">
        <v>3985</v>
      </c>
      <c r="E265" s="79" t="s">
        <v>70</v>
      </c>
      <c r="F265" s="80" t="s">
        <v>53</v>
      </c>
      <c r="G265" s="76" t="s">
        <v>4325</v>
      </c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25">
      <c r="A266" s="105" t="s">
        <v>348</v>
      </c>
      <c r="B266" s="76" t="s">
        <v>4326</v>
      </c>
      <c r="C266" s="89" t="s">
        <v>2122</v>
      </c>
      <c r="D266" s="77" t="s">
        <v>3985</v>
      </c>
      <c r="E266" s="79" t="s">
        <v>70</v>
      </c>
      <c r="F266" s="80" t="s">
        <v>53</v>
      </c>
      <c r="G266" s="76" t="s">
        <v>4326</v>
      </c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25">
      <c r="A267" s="105" t="s">
        <v>349</v>
      </c>
      <c r="B267" s="76" t="s">
        <v>4327</v>
      </c>
      <c r="C267" s="88" t="s">
        <v>2710</v>
      </c>
      <c r="D267" s="77" t="s">
        <v>3985</v>
      </c>
      <c r="E267" s="79" t="s">
        <v>70</v>
      </c>
      <c r="F267" s="80" t="s">
        <v>53</v>
      </c>
      <c r="G267" s="76" t="s">
        <v>4327</v>
      </c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25">
      <c r="A268" s="105" t="s">
        <v>350</v>
      </c>
      <c r="B268" s="76" t="s">
        <v>4328</v>
      </c>
      <c r="C268" s="89" t="s">
        <v>2753</v>
      </c>
      <c r="D268" s="77" t="s">
        <v>3985</v>
      </c>
      <c r="E268" s="79" t="s">
        <v>70</v>
      </c>
      <c r="F268" s="80" t="s">
        <v>53</v>
      </c>
      <c r="G268" s="76" t="s">
        <v>4328</v>
      </c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25">
      <c r="A269" s="105" t="s">
        <v>351</v>
      </c>
      <c r="B269" s="76" t="s">
        <v>4329</v>
      </c>
      <c r="C269" s="89" t="s">
        <v>3090</v>
      </c>
      <c r="D269" s="77" t="s">
        <v>3985</v>
      </c>
      <c r="E269" s="79" t="s">
        <v>70</v>
      </c>
      <c r="F269" s="80" t="s">
        <v>53</v>
      </c>
      <c r="G269" s="76" t="s">
        <v>4329</v>
      </c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25">
      <c r="A270" s="105" t="s">
        <v>352</v>
      </c>
      <c r="B270" s="76" t="s">
        <v>4330</v>
      </c>
      <c r="C270" s="88" t="s">
        <v>1578</v>
      </c>
      <c r="D270" s="77" t="s">
        <v>3985</v>
      </c>
      <c r="E270" s="79" t="s">
        <v>70</v>
      </c>
      <c r="F270" s="80" t="s">
        <v>53</v>
      </c>
      <c r="G270" s="76" t="s">
        <v>4330</v>
      </c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25">
      <c r="A271" s="105" t="s">
        <v>353</v>
      </c>
      <c r="B271" s="76" t="s">
        <v>4331</v>
      </c>
      <c r="C271" s="88" t="s">
        <v>2232</v>
      </c>
      <c r="D271" s="77" t="s">
        <v>3986</v>
      </c>
      <c r="E271" s="79" t="s">
        <v>71</v>
      </c>
      <c r="F271" s="80" t="s">
        <v>53</v>
      </c>
      <c r="G271" s="76" t="s">
        <v>4331</v>
      </c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25">
      <c r="A272" s="105" t="s">
        <v>354</v>
      </c>
      <c r="B272" s="76" t="s">
        <v>4332</v>
      </c>
      <c r="C272" s="88" t="s">
        <v>955</v>
      </c>
      <c r="D272" s="77" t="s">
        <v>3986</v>
      </c>
      <c r="E272" s="79" t="s">
        <v>71</v>
      </c>
      <c r="F272" s="80" t="s">
        <v>53</v>
      </c>
      <c r="G272" s="76" t="s">
        <v>4332</v>
      </c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25">
      <c r="A273" s="105" t="s">
        <v>355</v>
      </c>
      <c r="B273" s="76" t="s">
        <v>4333</v>
      </c>
      <c r="C273" s="88" t="s">
        <v>3056</v>
      </c>
      <c r="D273" s="77" t="s">
        <v>3986</v>
      </c>
      <c r="E273" s="79" t="s">
        <v>71</v>
      </c>
      <c r="F273" s="80" t="s">
        <v>53</v>
      </c>
      <c r="G273" s="76" t="s">
        <v>4333</v>
      </c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25">
      <c r="A274" s="105" t="s">
        <v>356</v>
      </c>
      <c r="B274" s="76" t="s">
        <v>4334</v>
      </c>
      <c r="C274" s="88" t="s">
        <v>3623</v>
      </c>
      <c r="D274" s="77" t="s">
        <v>3986</v>
      </c>
      <c r="E274" s="79" t="s">
        <v>71</v>
      </c>
      <c r="F274" s="80" t="s">
        <v>53</v>
      </c>
      <c r="G274" s="76" t="s">
        <v>4334</v>
      </c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25">
      <c r="A275" s="105" t="s">
        <v>357</v>
      </c>
      <c r="B275" s="76" t="s">
        <v>4335</v>
      </c>
      <c r="C275" s="88" t="s">
        <v>3446</v>
      </c>
      <c r="D275" s="77" t="s">
        <v>3986</v>
      </c>
      <c r="E275" s="79" t="s">
        <v>71</v>
      </c>
      <c r="F275" s="80" t="s">
        <v>53</v>
      </c>
      <c r="G275" s="76" t="s">
        <v>4335</v>
      </c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25">
      <c r="A276" s="105" t="s">
        <v>358</v>
      </c>
      <c r="B276" s="76" t="s">
        <v>4336</v>
      </c>
      <c r="C276" s="88" t="s">
        <v>3559</v>
      </c>
      <c r="D276" s="77" t="s">
        <v>3986</v>
      </c>
      <c r="E276" s="79" t="s">
        <v>71</v>
      </c>
      <c r="F276" s="80" t="s">
        <v>53</v>
      </c>
      <c r="G276" s="76" t="s">
        <v>4336</v>
      </c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25">
      <c r="A277" s="105" t="s">
        <v>359</v>
      </c>
      <c r="B277" s="76" t="s">
        <v>4337</v>
      </c>
      <c r="C277" s="88" t="s">
        <v>2112</v>
      </c>
      <c r="D277" s="77" t="s">
        <v>3986</v>
      </c>
      <c r="E277" s="79" t="s">
        <v>71</v>
      </c>
      <c r="F277" s="80" t="s">
        <v>53</v>
      </c>
      <c r="G277" s="76" t="s">
        <v>4337</v>
      </c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25">
      <c r="A278" s="105" t="s">
        <v>360</v>
      </c>
      <c r="B278" s="76" t="s">
        <v>4338</v>
      </c>
      <c r="C278" s="88" t="s">
        <v>1493</v>
      </c>
      <c r="D278" s="77" t="s">
        <v>3986</v>
      </c>
      <c r="E278" s="79" t="s">
        <v>71</v>
      </c>
      <c r="F278" s="80" t="s">
        <v>53</v>
      </c>
      <c r="G278" s="76" t="s">
        <v>4338</v>
      </c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25">
      <c r="A279" s="105" t="s">
        <v>361</v>
      </c>
      <c r="B279" s="76" t="s">
        <v>4339</v>
      </c>
      <c r="C279" s="88" t="s">
        <v>2420</v>
      </c>
      <c r="D279" s="77" t="s">
        <v>3986</v>
      </c>
      <c r="E279" s="79" t="s">
        <v>71</v>
      </c>
      <c r="F279" s="80" t="s">
        <v>53</v>
      </c>
      <c r="G279" s="76" t="s">
        <v>4339</v>
      </c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25">
      <c r="A280" s="105" t="s">
        <v>362</v>
      </c>
      <c r="B280" s="76" t="s">
        <v>4340</v>
      </c>
      <c r="C280" s="88" t="s">
        <v>2550</v>
      </c>
      <c r="D280" s="77" t="s">
        <v>3986</v>
      </c>
      <c r="E280" s="79" t="s">
        <v>71</v>
      </c>
      <c r="F280" s="80" t="s">
        <v>53</v>
      </c>
      <c r="G280" s="76" t="s">
        <v>4340</v>
      </c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25">
      <c r="A281" s="105" t="s">
        <v>363</v>
      </c>
      <c r="B281" s="76" t="s">
        <v>4341</v>
      </c>
      <c r="C281" s="88" t="s">
        <v>2772</v>
      </c>
      <c r="D281" s="77" t="s">
        <v>3986</v>
      </c>
      <c r="E281" s="79" t="s">
        <v>71</v>
      </c>
      <c r="F281" s="80" t="s">
        <v>53</v>
      </c>
      <c r="G281" s="76" t="s">
        <v>4341</v>
      </c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25">
      <c r="A282" s="105" t="s">
        <v>364</v>
      </c>
      <c r="B282" s="76" t="s">
        <v>4342</v>
      </c>
      <c r="C282" s="88" t="s">
        <v>616</v>
      </c>
      <c r="D282" s="77" t="s">
        <v>3986</v>
      </c>
      <c r="E282" s="79" t="s">
        <v>71</v>
      </c>
      <c r="F282" s="80" t="s">
        <v>53</v>
      </c>
      <c r="G282" s="76" t="s">
        <v>4342</v>
      </c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25">
      <c r="A283" s="105" t="s">
        <v>365</v>
      </c>
      <c r="B283" s="76" t="s">
        <v>4343</v>
      </c>
      <c r="C283" s="88" t="s">
        <v>2228</v>
      </c>
      <c r="D283" s="77" t="s">
        <v>3986</v>
      </c>
      <c r="E283" s="79" t="s">
        <v>71</v>
      </c>
      <c r="F283" s="80" t="s">
        <v>53</v>
      </c>
      <c r="G283" s="76" t="s">
        <v>4343</v>
      </c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25">
      <c r="A284" s="105" t="s">
        <v>366</v>
      </c>
      <c r="B284" s="76" t="s">
        <v>4344</v>
      </c>
      <c r="C284" s="88" t="s">
        <v>3923</v>
      </c>
      <c r="D284" s="77" t="s">
        <v>3986</v>
      </c>
      <c r="E284" s="79" t="s">
        <v>71</v>
      </c>
      <c r="F284" s="80" t="s">
        <v>53</v>
      </c>
      <c r="G284" s="76" t="s">
        <v>4344</v>
      </c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25">
      <c r="A285" s="105" t="s">
        <v>367</v>
      </c>
      <c r="B285" s="76" t="s">
        <v>4345</v>
      </c>
      <c r="C285" s="88" t="s">
        <v>3195</v>
      </c>
      <c r="D285" s="77" t="s">
        <v>3986</v>
      </c>
      <c r="E285" s="79" t="s">
        <v>71</v>
      </c>
      <c r="F285" s="80" t="s">
        <v>53</v>
      </c>
      <c r="G285" s="76" t="s">
        <v>4345</v>
      </c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25">
      <c r="A286" s="105" t="s">
        <v>368</v>
      </c>
      <c r="B286" s="76" t="s">
        <v>4346</v>
      </c>
      <c r="C286" s="88" t="s">
        <v>1727</v>
      </c>
      <c r="D286" s="77" t="s">
        <v>3986</v>
      </c>
      <c r="E286" s="79" t="s">
        <v>71</v>
      </c>
      <c r="F286" s="80" t="s">
        <v>53</v>
      </c>
      <c r="G286" s="76" t="s">
        <v>4346</v>
      </c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25">
      <c r="A287" s="105" t="s">
        <v>369</v>
      </c>
      <c r="B287" s="76" t="s">
        <v>4347</v>
      </c>
      <c r="C287" s="88" t="s">
        <v>1947</v>
      </c>
      <c r="D287" s="77" t="s">
        <v>3986</v>
      </c>
      <c r="E287" s="79" t="s">
        <v>71</v>
      </c>
      <c r="F287" s="80" t="s">
        <v>53</v>
      </c>
      <c r="G287" s="76" t="s">
        <v>4347</v>
      </c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25">
      <c r="A288" s="105" t="s">
        <v>370</v>
      </c>
      <c r="B288" s="76" t="s">
        <v>4348</v>
      </c>
      <c r="C288" s="88" t="s">
        <v>1153</v>
      </c>
      <c r="D288" s="77" t="s">
        <v>3986</v>
      </c>
      <c r="E288" s="79" t="s">
        <v>71</v>
      </c>
      <c r="F288" s="80" t="s">
        <v>53</v>
      </c>
      <c r="G288" s="76" t="s">
        <v>4348</v>
      </c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25">
      <c r="A289" s="105" t="s">
        <v>371</v>
      </c>
      <c r="B289" s="76" t="s">
        <v>4349</v>
      </c>
      <c r="C289" s="88" t="s">
        <v>3189</v>
      </c>
      <c r="D289" s="77" t="s">
        <v>3986</v>
      </c>
      <c r="E289" s="79" t="s">
        <v>71</v>
      </c>
      <c r="F289" s="80" t="s">
        <v>53</v>
      </c>
      <c r="G289" s="76" t="s">
        <v>4349</v>
      </c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25">
      <c r="A290" s="105" t="s">
        <v>372</v>
      </c>
      <c r="B290" s="76" t="s">
        <v>4350</v>
      </c>
      <c r="C290" s="88" t="s">
        <v>1162</v>
      </c>
      <c r="D290" s="77" t="s">
        <v>3986</v>
      </c>
      <c r="E290" s="79" t="s">
        <v>71</v>
      </c>
      <c r="F290" s="80" t="s">
        <v>53</v>
      </c>
      <c r="G290" s="76" t="s">
        <v>4350</v>
      </c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25">
      <c r="A291" s="105" t="s">
        <v>373</v>
      </c>
      <c r="B291" s="76" t="s">
        <v>4351</v>
      </c>
      <c r="C291" s="88" t="s">
        <v>3175</v>
      </c>
      <c r="D291" s="77" t="s">
        <v>3986</v>
      </c>
      <c r="E291" s="79" t="s">
        <v>71</v>
      </c>
      <c r="F291" s="80" t="s">
        <v>53</v>
      </c>
      <c r="G291" s="76" t="s">
        <v>4351</v>
      </c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25">
      <c r="A292" s="105" t="s">
        <v>374</v>
      </c>
      <c r="B292" s="76" t="s">
        <v>4352</v>
      </c>
      <c r="C292" s="88" t="s">
        <v>1526</v>
      </c>
      <c r="D292" s="77" t="s">
        <v>3986</v>
      </c>
      <c r="E292" s="79" t="s">
        <v>71</v>
      </c>
      <c r="F292" s="80" t="s">
        <v>53</v>
      </c>
      <c r="G292" s="76" t="s">
        <v>4352</v>
      </c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25">
      <c r="A293" s="105" t="s">
        <v>375</v>
      </c>
      <c r="B293" s="76" t="s">
        <v>4353</v>
      </c>
      <c r="C293" s="88" t="s">
        <v>2798</v>
      </c>
      <c r="D293" s="77" t="s">
        <v>3986</v>
      </c>
      <c r="E293" s="79" t="s">
        <v>71</v>
      </c>
      <c r="F293" s="80" t="s">
        <v>53</v>
      </c>
      <c r="G293" s="76" t="s">
        <v>4353</v>
      </c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25">
      <c r="A294" s="105" t="s">
        <v>376</v>
      </c>
      <c r="B294" s="76" t="s">
        <v>4354</v>
      </c>
      <c r="C294" s="88" t="s">
        <v>1416</v>
      </c>
      <c r="D294" s="77" t="s">
        <v>3986</v>
      </c>
      <c r="E294" s="79" t="s">
        <v>71</v>
      </c>
      <c r="F294" s="80" t="s">
        <v>53</v>
      </c>
      <c r="G294" s="76" t="s">
        <v>4354</v>
      </c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25">
      <c r="A295" s="105" t="s">
        <v>377</v>
      </c>
      <c r="B295" s="76" t="s">
        <v>4355</v>
      </c>
      <c r="C295" s="88" t="s">
        <v>1799</v>
      </c>
      <c r="D295" s="77" t="s">
        <v>3986</v>
      </c>
      <c r="E295" s="79" t="s">
        <v>71</v>
      </c>
      <c r="F295" s="80" t="s">
        <v>53</v>
      </c>
      <c r="G295" s="76" t="s">
        <v>4355</v>
      </c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25">
      <c r="A296" s="105" t="s">
        <v>378</v>
      </c>
      <c r="B296" s="76" t="s">
        <v>4356</v>
      </c>
      <c r="C296" s="88" t="s">
        <v>909</v>
      </c>
      <c r="D296" s="77" t="s">
        <v>3986</v>
      </c>
      <c r="E296" s="79" t="s">
        <v>71</v>
      </c>
      <c r="F296" s="80" t="s">
        <v>53</v>
      </c>
      <c r="G296" s="76" t="s">
        <v>4356</v>
      </c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25">
      <c r="A297" s="105" t="s">
        <v>379</v>
      </c>
      <c r="B297" s="76" t="s">
        <v>4357</v>
      </c>
      <c r="C297" s="88" t="s">
        <v>1470</v>
      </c>
      <c r="D297" s="77" t="s">
        <v>3986</v>
      </c>
      <c r="E297" s="79" t="s">
        <v>71</v>
      </c>
      <c r="F297" s="80" t="s">
        <v>53</v>
      </c>
      <c r="G297" s="76" t="s">
        <v>4357</v>
      </c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25">
      <c r="A298" s="105" t="s">
        <v>380</v>
      </c>
      <c r="B298" s="76" t="s">
        <v>4358</v>
      </c>
      <c r="C298" s="88" t="s">
        <v>1037</v>
      </c>
      <c r="D298" s="77" t="s">
        <v>3986</v>
      </c>
      <c r="E298" s="79" t="s">
        <v>71</v>
      </c>
      <c r="F298" s="80" t="s">
        <v>53</v>
      </c>
      <c r="G298" s="76" t="s">
        <v>4358</v>
      </c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25">
      <c r="A299" s="105" t="s">
        <v>381</v>
      </c>
      <c r="B299" s="76" t="s">
        <v>4359</v>
      </c>
      <c r="C299" s="88" t="s">
        <v>2519</v>
      </c>
      <c r="D299" s="77" t="s">
        <v>3986</v>
      </c>
      <c r="E299" s="79" t="s">
        <v>71</v>
      </c>
      <c r="F299" s="80" t="s">
        <v>53</v>
      </c>
      <c r="G299" s="76" t="s">
        <v>4359</v>
      </c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25">
      <c r="A300" s="105" t="s">
        <v>382</v>
      </c>
      <c r="B300" s="76" t="s">
        <v>4360</v>
      </c>
      <c r="C300" s="88" t="s">
        <v>3641</v>
      </c>
      <c r="D300" s="77" t="s">
        <v>3986</v>
      </c>
      <c r="E300" s="79" t="s">
        <v>71</v>
      </c>
      <c r="F300" s="80" t="s">
        <v>53</v>
      </c>
      <c r="G300" s="76" t="s">
        <v>4360</v>
      </c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25">
      <c r="A301" s="105" t="s">
        <v>383</v>
      </c>
      <c r="B301" s="76" t="s">
        <v>4361</v>
      </c>
      <c r="C301" s="88" t="s">
        <v>2439</v>
      </c>
      <c r="D301" s="77" t="s">
        <v>3986</v>
      </c>
      <c r="E301" s="79" t="s">
        <v>71</v>
      </c>
      <c r="F301" s="80" t="s">
        <v>53</v>
      </c>
      <c r="G301" s="76" t="s">
        <v>4361</v>
      </c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25">
      <c r="A302" s="105" t="s">
        <v>384</v>
      </c>
      <c r="B302" s="76" t="s">
        <v>4362</v>
      </c>
      <c r="C302" s="88" t="s">
        <v>2048</v>
      </c>
      <c r="D302" s="77" t="s">
        <v>3986</v>
      </c>
      <c r="E302" s="79" t="s">
        <v>71</v>
      </c>
      <c r="F302" s="80" t="s">
        <v>53</v>
      </c>
      <c r="G302" s="76" t="s">
        <v>4362</v>
      </c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25">
      <c r="A303" s="105" t="s">
        <v>385</v>
      </c>
      <c r="B303" s="76" t="s">
        <v>4363</v>
      </c>
      <c r="C303" s="88" t="s">
        <v>1732</v>
      </c>
      <c r="D303" s="77" t="s">
        <v>3987</v>
      </c>
      <c r="E303" s="79" t="s">
        <v>72</v>
      </c>
      <c r="F303" s="80" t="s">
        <v>53</v>
      </c>
      <c r="G303" s="76" t="s">
        <v>4363</v>
      </c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25">
      <c r="A304" s="105" t="s">
        <v>386</v>
      </c>
      <c r="B304" s="76" t="s">
        <v>4364</v>
      </c>
      <c r="C304" s="88" t="s">
        <v>2778</v>
      </c>
      <c r="D304" s="77" t="s">
        <v>3987</v>
      </c>
      <c r="E304" s="79" t="s">
        <v>72</v>
      </c>
      <c r="F304" s="80" t="s">
        <v>53</v>
      </c>
      <c r="G304" s="76" t="s">
        <v>4364</v>
      </c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25">
      <c r="A305" s="105" t="s">
        <v>387</v>
      </c>
      <c r="B305" s="76" t="s">
        <v>4365</v>
      </c>
      <c r="C305" s="88" t="s">
        <v>938</v>
      </c>
      <c r="D305" s="77" t="s">
        <v>3987</v>
      </c>
      <c r="E305" s="79" t="s">
        <v>72</v>
      </c>
      <c r="F305" s="80" t="s">
        <v>53</v>
      </c>
      <c r="G305" s="76" t="s">
        <v>4365</v>
      </c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25">
      <c r="A306" s="105" t="s">
        <v>388</v>
      </c>
      <c r="B306" s="76" t="s">
        <v>4366</v>
      </c>
      <c r="C306" s="88" t="s">
        <v>3425</v>
      </c>
      <c r="D306" s="77" t="s">
        <v>3987</v>
      </c>
      <c r="E306" s="79" t="s">
        <v>72</v>
      </c>
      <c r="F306" s="80" t="s">
        <v>53</v>
      </c>
      <c r="G306" s="76" t="s">
        <v>4366</v>
      </c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25">
      <c r="A307" s="105" t="s">
        <v>389</v>
      </c>
      <c r="B307" s="76" t="s">
        <v>4367</v>
      </c>
      <c r="C307" s="88" t="s">
        <v>3131</v>
      </c>
      <c r="D307" s="77" t="s">
        <v>3987</v>
      </c>
      <c r="E307" s="79" t="s">
        <v>72</v>
      </c>
      <c r="F307" s="80" t="s">
        <v>53</v>
      </c>
      <c r="G307" s="76" t="s">
        <v>4367</v>
      </c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25">
      <c r="A308" s="105" t="s">
        <v>390</v>
      </c>
      <c r="B308" s="76" t="s">
        <v>4368</v>
      </c>
      <c r="C308" s="88" t="s">
        <v>3513</v>
      </c>
      <c r="D308" s="77" t="s">
        <v>3987</v>
      </c>
      <c r="E308" s="79" t="s">
        <v>72</v>
      </c>
      <c r="F308" s="80" t="s">
        <v>53</v>
      </c>
      <c r="G308" s="76" t="s">
        <v>4368</v>
      </c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25">
      <c r="A309" s="105" t="s">
        <v>391</v>
      </c>
      <c r="B309" s="76" t="s">
        <v>4369</v>
      </c>
      <c r="C309" s="88" t="s">
        <v>1385</v>
      </c>
      <c r="D309" s="77" t="s">
        <v>3987</v>
      </c>
      <c r="E309" s="79" t="s">
        <v>72</v>
      </c>
      <c r="F309" s="80" t="s">
        <v>53</v>
      </c>
      <c r="G309" s="76" t="s">
        <v>4369</v>
      </c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25">
      <c r="A310" s="105" t="s">
        <v>392</v>
      </c>
      <c r="B310" s="76" t="s">
        <v>4370</v>
      </c>
      <c r="C310" s="88" t="s">
        <v>1244</v>
      </c>
      <c r="D310" s="77" t="s">
        <v>3987</v>
      </c>
      <c r="E310" s="79" t="s">
        <v>72</v>
      </c>
      <c r="F310" s="80" t="s">
        <v>53</v>
      </c>
      <c r="G310" s="76" t="s">
        <v>4370</v>
      </c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25">
      <c r="A311" s="105" t="s">
        <v>393</v>
      </c>
      <c r="B311" s="76" t="s">
        <v>4371</v>
      </c>
      <c r="C311" s="88" t="s">
        <v>3732</v>
      </c>
      <c r="D311" s="77" t="s">
        <v>3987</v>
      </c>
      <c r="E311" s="79" t="s">
        <v>72</v>
      </c>
      <c r="F311" s="80" t="s">
        <v>53</v>
      </c>
      <c r="G311" s="76" t="s">
        <v>4371</v>
      </c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25">
      <c r="A312" s="105" t="s">
        <v>394</v>
      </c>
      <c r="B312" s="76" t="s">
        <v>4372</v>
      </c>
      <c r="C312" s="88" t="s">
        <v>1988</v>
      </c>
      <c r="D312" s="77" t="s">
        <v>3987</v>
      </c>
      <c r="E312" s="79" t="s">
        <v>72</v>
      </c>
      <c r="F312" s="80" t="s">
        <v>53</v>
      </c>
      <c r="G312" s="76" t="s">
        <v>4372</v>
      </c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25">
      <c r="A313" s="105" t="s">
        <v>395</v>
      </c>
      <c r="B313" s="76" t="s">
        <v>4373</v>
      </c>
      <c r="C313" s="88" t="s">
        <v>2649</v>
      </c>
      <c r="D313" s="77" t="s">
        <v>3987</v>
      </c>
      <c r="E313" s="79" t="s">
        <v>72</v>
      </c>
      <c r="F313" s="80" t="s">
        <v>53</v>
      </c>
      <c r="G313" s="76" t="s">
        <v>4373</v>
      </c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25">
      <c r="A314" s="105" t="s">
        <v>396</v>
      </c>
      <c r="B314" s="76" t="s">
        <v>4374</v>
      </c>
      <c r="C314" s="88" t="s">
        <v>1669</v>
      </c>
      <c r="D314" s="77" t="s">
        <v>3987</v>
      </c>
      <c r="E314" s="79" t="s">
        <v>72</v>
      </c>
      <c r="F314" s="80" t="s">
        <v>53</v>
      </c>
      <c r="G314" s="76" t="s">
        <v>4374</v>
      </c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25">
      <c r="A315" s="105" t="s">
        <v>397</v>
      </c>
      <c r="B315" s="76" t="s">
        <v>4375</v>
      </c>
      <c r="C315" s="88" t="s">
        <v>1560</v>
      </c>
      <c r="D315" s="77" t="s">
        <v>3987</v>
      </c>
      <c r="E315" s="79" t="s">
        <v>72</v>
      </c>
      <c r="F315" s="80" t="s">
        <v>53</v>
      </c>
      <c r="G315" s="76" t="s">
        <v>4375</v>
      </c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25">
      <c r="A316" s="105" t="s">
        <v>398</v>
      </c>
      <c r="B316" s="76" t="s">
        <v>4376</v>
      </c>
      <c r="C316" s="88" t="s">
        <v>2143</v>
      </c>
      <c r="D316" s="77" t="s">
        <v>3987</v>
      </c>
      <c r="E316" s="79" t="s">
        <v>72</v>
      </c>
      <c r="F316" s="80" t="s">
        <v>53</v>
      </c>
      <c r="G316" s="76" t="s">
        <v>4376</v>
      </c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25">
      <c r="A317" s="105" t="s">
        <v>399</v>
      </c>
      <c r="B317" s="76" t="s">
        <v>4377</v>
      </c>
      <c r="C317" s="88" t="s">
        <v>3083</v>
      </c>
      <c r="D317" s="77" t="s">
        <v>3987</v>
      </c>
      <c r="E317" s="79" t="s">
        <v>72</v>
      </c>
      <c r="F317" s="80" t="s">
        <v>53</v>
      </c>
      <c r="G317" s="76" t="s">
        <v>4377</v>
      </c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25">
      <c r="A318" s="105" t="s">
        <v>400</v>
      </c>
      <c r="B318" s="76" t="s">
        <v>4378</v>
      </c>
      <c r="C318" s="88" t="s">
        <v>3415</v>
      </c>
      <c r="D318" s="77" t="s">
        <v>3987</v>
      </c>
      <c r="E318" s="79" t="s">
        <v>72</v>
      </c>
      <c r="F318" s="80" t="s">
        <v>53</v>
      </c>
      <c r="G318" s="76" t="s">
        <v>4378</v>
      </c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25">
      <c r="A319" s="105" t="s">
        <v>401</v>
      </c>
      <c r="B319" s="76" t="s">
        <v>4379</v>
      </c>
      <c r="C319" s="88" t="s">
        <v>798</v>
      </c>
      <c r="D319" s="77" t="s">
        <v>3987</v>
      </c>
      <c r="E319" s="79" t="s">
        <v>72</v>
      </c>
      <c r="F319" s="80" t="s">
        <v>53</v>
      </c>
      <c r="G319" s="76" t="s">
        <v>4379</v>
      </c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25">
      <c r="A320" s="105" t="s">
        <v>402</v>
      </c>
      <c r="B320" s="76" t="s">
        <v>4380</v>
      </c>
      <c r="C320" s="88" t="s">
        <v>3673</v>
      </c>
      <c r="D320" s="77" t="s">
        <v>3987</v>
      </c>
      <c r="E320" s="79" t="s">
        <v>72</v>
      </c>
      <c r="F320" s="80" t="s">
        <v>53</v>
      </c>
      <c r="G320" s="76" t="s">
        <v>4380</v>
      </c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25">
      <c r="A321" s="105" t="s">
        <v>403</v>
      </c>
      <c r="B321" s="76" t="s">
        <v>4381</v>
      </c>
      <c r="C321" s="88" t="s">
        <v>3435</v>
      </c>
      <c r="D321" s="77" t="s">
        <v>3987</v>
      </c>
      <c r="E321" s="79" t="s">
        <v>72</v>
      </c>
      <c r="F321" s="80" t="s">
        <v>53</v>
      </c>
      <c r="G321" s="76" t="s">
        <v>4381</v>
      </c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25">
      <c r="A322" s="105" t="s">
        <v>404</v>
      </c>
      <c r="B322" s="76" t="s">
        <v>4382</v>
      </c>
      <c r="C322" s="88" t="s">
        <v>827</v>
      </c>
      <c r="D322" s="77" t="s">
        <v>3987</v>
      </c>
      <c r="E322" s="79" t="s">
        <v>72</v>
      </c>
      <c r="F322" s="80" t="s">
        <v>53</v>
      </c>
      <c r="G322" s="76" t="s">
        <v>4382</v>
      </c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25">
      <c r="A323" s="105" t="s">
        <v>405</v>
      </c>
      <c r="B323" s="76" t="s">
        <v>4383</v>
      </c>
      <c r="C323" s="88" t="s">
        <v>813</v>
      </c>
      <c r="D323" s="77" t="s">
        <v>3987</v>
      </c>
      <c r="E323" s="79" t="s">
        <v>72</v>
      </c>
      <c r="F323" s="80" t="s">
        <v>53</v>
      </c>
      <c r="G323" s="76" t="s">
        <v>4383</v>
      </c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25">
      <c r="A324" s="105" t="s">
        <v>406</v>
      </c>
      <c r="B324" s="76" t="s">
        <v>4384</v>
      </c>
      <c r="C324" s="88" t="s">
        <v>2088</v>
      </c>
      <c r="D324" s="77" t="s">
        <v>3987</v>
      </c>
      <c r="E324" s="79" t="s">
        <v>72</v>
      </c>
      <c r="F324" s="80" t="s">
        <v>53</v>
      </c>
      <c r="G324" s="76" t="s">
        <v>4384</v>
      </c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25">
      <c r="A325" s="105" t="s">
        <v>407</v>
      </c>
      <c r="B325" s="76" t="s">
        <v>4385</v>
      </c>
      <c r="C325" s="88" t="s">
        <v>3526</v>
      </c>
      <c r="D325" s="77" t="s">
        <v>3987</v>
      </c>
      <c r="E325" s="79" t="s">
        <v>72</v>
      </c>
      <c r="F325" s="80" t="s">
        <v>53</v>
      </c>
      <c r="G325" s="76" t="s">
        <v>4385</v>
      </c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25">
      <c r="A326" s="105" t="s">
        <v>408</v>
      </c>
      <c r="B326" s="76" t="s">
        <v>4386</v>
      </c>
      <c r="C326" s="93" t="s">
        <v>2833</v>
      </c>
      <c r="D326" s="77" t="s">
        <v>3987</v>
      </c>
      <c r="E326" s="79" t="s">
        <v>72</v>
      </c>
      <c r="F326" s="80" t="s">
        <v>53</v>
      </c>
      <c r="G326" s="76" t="s">
        <v>4386</v>
      </c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25">
      <c r="A327" s="105" t="s">
        <v>409</v>
      </c>
      <c r="B327" s="76" t="s">
        <v>4387</v>
      </c>
      <c r="C327" s="88" t="s">
        <v>1011</v>
      </c>
      <c r="D327" s="77" t="s">
        <v>3987</v>
      </c>
      <c r="E327" s="79" t="s">
        <v>72</v>
      </c>
      <c r="F327" s="80" t="s">
        <v>53</v>
      </c>
      <c r="G327" s="76" t="s">
        <v>4387</v>
      </c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25">
      <c r="A328" s="105" t="s">
        <v>410</v>
      </c>
      <c r="B328" s="76" t="s">
        <v>4388</v>
      </c>
      <c r="C328" s="88" t="s">
        <v>763</v>
      </c>
      <c r="D328" s="77" t="s">
        <v>3987</v>
      </c>
      <c r="E328" s="79" t="s">
        <v>72</v>
      </c>
      <c r="F328" s="80" t="s">
        <v>53</v>
      </c>
      <c r="G328" s="76" t="s">
        <v>4388</v>
      </c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25">
      <c r="A329" s="105" t="s">
        <v>411</v>
      </c>
      <c r="B329" s="76" t="s">
        <v>4389</v>
      </c>
      <c r="C329" s="88" t="s">
        <v>944</v>
      </c>
      <c r="D329" s="77" t="s">
        <v>3987</v>
      </c>
      <c r="E329" s="79" t="s">
        <v>72</v>
      </c>
      <c r="F329" s="80" t="s">
        <v>53</v>
      </c>
      <c r="G329" s="76" t="s">
        <v>4389</v>
      </c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25">
      <c r="A330" s="105" t="s">
        <v>412</v>
      </c>
      <c r="B330" s="76" t="s">
        <v>4390</v>
      </c>
      <c r="C330" s="88" t="s">
        <v>684</v>
      </c>
      <c r="D330" s="77" t="s">
        <v>3987</v>
      </c>
      <c r="E330" s="79" t="s">
        <v>72</v>
      </c>
      <c r="F330" s="80" t="s">
        <v>53</v>
      </c>
      <c r="G330" s="76" t="s">
        <v>4390</v>
      </c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25">
      <c r="A331" s="105" t="s">
        <v>413</v>
      </c>
      <c r="B331" s="76" t="s">
        <v>4391</v>
      </c>
      <c r="C331" s="88" t="s">
        <v>4522</v>
      </c>
      <c r="D331" s="77" t="s">
        <v>3987</v>
      </c>
      <c r="E331" s="79" t="s">
        <v>72</v>
      </c>
      <c r="F331" s="80" t="s">
        <v>53</v>
      </c>
      <c r="G331" s="76" t="s">
        <v>4391</v>
      </c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25">
      <c r="A332" s="105" t="s">
        <v>414</v>
      </c>
      <c r="B332" s="76" t="s">
        <v>4392</v>
      </c>
      <c r="C332" s="88" t="s">
        <v>2986</v>
      </c>
      <c r="D332" s="77" t="s">
        <v>3987</v>
      </c>
      <c r="E332" s="79" t="s">
        <v>72</v>
      </c>
      <c r="F332" s="80" t="s">
        <v>53</v>
      </c>
      <c r="G332" s="76" t="s">
        <v>4392</v>
      </c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25">
      <c r="A333" s="105" t="s">
        <v>415</v>
      </c>
      <c r="B333" s="76" t="s">
        <v>4393</v>
      </c>
      <c r="C333" s="88" t="s">
        <v>2369</v>
      </c>
      <c r="D333" s="77" t="s">
        <v>3987</v>
      </c>
      <c r="E333" s="79" t="s">
        <v>72</v>
      </c>
      <c r="F333" s="80" t="s">
        <v>53</v>
      </c>
      <c r="G333" s="76" t="s">
        <v>4393</v>
      </c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25">
      <c r="A334" s="105" t="s">
        <v>416</v>
      </c>
      <c r="B334" s="76" t="s">
        <v>4394</v>
      </c>
      <c r="C334" s="88" t="s">
        <v>3215</v>
      </c>
      <c r="D334" s="77" t="s">
        <v>3987</v>
      </c>
      <c r="E334" s="79" t="s">
        <v>72</v>
      </c>
      <c r="F334" s="80" t="s">
        <v>53</v>
      </c>
      <c r="G334" s="76" t="s">
        <v>4394</v>
      </c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25">
      <c r="A335" s="105" t="s">
        <v>417</v>
      </c>
      <c r="B335" s="76" t="s">
        <v>4395</v>
      </c>
      <c r="C335" s="88" t="s">
        <v>784</v>
      </c>
      <c r="D335" s="77" t="s">
        <v>3988</v>
      </c>
      <c r="E335" s="79" t="s">
        <v>73</v>
      </c>
      <c r="F335" s="80" t="s">
        <v>53</v>
      </c>
      <c r="G335" s="76" t="s">
        <v>4395</v>
      </c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25">
      <c r="A336" s="105" t="s">
        <v>418</v>
      </c>
      <c r="B336" s="76" t="s">
        <v>4396</v>
      </c>
      <c r="C336" s="88" t="s">
        <v>3250</v>
      </c>
      <c r="D336" s="77" t="s">
        <v>3988</v>
      </c>
      <c r="E336" s="79" t="s">
        <v>73</v>
      </c>
      <c r="F336" s="80" t="s">
        <v>53</v>
      </c>
      <c r="G336" s="76" t="s">
        <v>4396</v>
      </c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25">
      <c r="A337" s="105" t="s">
        <v>419</v>
      </c>
      <c r="B337" s="76" t="s">
        <v>4397</v>
      </c>
      <c r="C337" s="88" t="s">
        <v>2612</v>
      </c>
      <c r="D337" s="77" t="s">
        <v>3988</v>
      </c>
      <c r="E337" s="79" t="s">
        <v>73</v>
      </c>
      <c r="F337" s="80" t="s">
        <v>53</v>
      </c>
      <c r="G337" s="76" t="s">
        <v>4397</v>
      </c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25">
      <c r="A338" s="105" t="s">
        <v>420</v>
      </c>
      <c r="B338" s="76" t="s">
        <v>4398</v>
      </c>
      <c r="C338" s="88" t="s">
        <v>1463</v>
      </c>
      <c r="D338" s="77" t="s">
        <v>3988</v>
      </c>
      <c r="E338" s="79" t="s">
        <v>73</v>
      </c>
      <c r="F338" s="80" t="s">
        <v>53</v>
      </c>
      <c r="G338" s="76" t="s">
        <v>4398</v>
      </c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25">
      <c r="A339" s="105" t="s">
        <v>421</v>
      </c>
      <c r="B339" s="76" t="s">
        <v>4399</v>
      </c>
      <c r="C339" s="88" t="s">
        <v>1720</v>
      </c>
      <c r="D339" s="77" t="s">
        <v>3988</v>
      </c>
      <c r="E339" s="79" t="s">
        <v>73</v>
      </c>
      <c r="F339" s="80" t="s">
        <v>53</v>
      </c>
      <c r="G339" s="76" t="s">
        <v>4399</v>
      </c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25">
      <c r="A340" s="105" t="s">
        <v>422</v>
      </c>
      <c r="B340" s="76" t="s">
        <v>4400</v>
      </c>
      <c r="C340" s="88" t="s">
        <v>650</v>
      </c>
      <c r="D340" s="77" t="s">
        <v>3988</v>
      </c>
      <c r="E340" s="79" t="s">
        <v>73</v>
      </c>
      <c r="F340" s="80" t="s">
        <v>53</v>
      </c>
      <c r="G340" s="76" t="s">
        <v>4400</v>
      </c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25">
      <c r="A341" s="105" t="s">
        <v>423</v>
      </c>
      <c r="B341" s="76" t="s">
        <v>4401</v>
      </c>
      <c r="C341" s="88" t="s">
        <v>835</v>
      </c>
      <c r="D341" s="77" t="s">
        <v>3988</v>
      </c>
      <c r="E341" s="79" t="s">
        <v>73</v>
      </c>
      <c r="F341" s="80" t="s">
        <v>53</v>
      </c>
      <c r="G341" s="76" t="s">
        <v>4401</v>
      </c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25">
      <c r="A342" s="105" t="s">
        <v>424</v>
      </c>
      <c r="B342" s="76" t="s">
        <v>4402</v>
      </c>
      <c r="C342" s="88" t="s">
        <v>3629</v>
      </c>
      <c r="D342" s="77" t="s">
        <v>3988</v>
      </c>
      <c r="E342" s="79" t="s">
        <v>73</v>
      </c>
      <c r="F342" s="80" t="s">
        <v>53</v>
      </c>
      <c r="G342" s="76" t="s">
        <v>4402</v>
      </c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25">
      <c r="A343" s="105" t="s">
        <v>425</v>
      </c>
      <c r="B343" s="76" t="s">
        <v>4403</v>
      </c>
      <c r="C343" s="88" t="s">
        <v>3268</v>
      </c>
      <c r="D343" s="77" t="s">
        <v>3988</v>
      </c>
      <c r="E343" s="79" t="s">
        <v>73</v>
      </c>
      <c r="F343" s="80" t="s">
        <v>53</v>
      </c>
      <c r="G343" s="76" t="s">
        <v>4403</v>
      </c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25">
      <c r="A344" s="105" t="s">
        <v>426</v>
      </c>
      <c r="B344" s="76" t="s">
        <v>4404</v>
      </c>
      <c r="C344" s="88" t="s">
        <v>3566</v>
      </c>
      <c r="D344" s="77" t="s">
        <v>3988</v>
      </c>
      <c r="E344" s="79" t="s">
        <v>73</v>
      </c>
      <c r="F344" s="80" t="s">
        <v>53</v>
      </c>
      <c r="G344" s="76" t="s">
        <v>4404</v>
      </c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25">
      <c r="A345" s="105" t="s">
        <v>427</v>
      </c>
      <c r="B345" s="76" t="s">
        <v>4405</v>
      </c>
      <c r="C345" s="88" t="s">
        <v>1863</v>
      </c>
      <c r="D345" s="77" t="s">
        <v>3988</v>
      </c>
      <c r="E345" s="79" t="s">
        <v>73</v>
      </c>
      <c r="F345" s="80" t="s">
        <v>53</v>
      </c>
      <c r="G345" s="76" t="s">
        <v>4405</v>
      </c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25">
      <c r="A346" s="105" t="s">
        <v>428</v>
      </c>
      <c r="B346" s="76" t="s">
        <v>4406</v>
      </c>
      <c r="C346" s="88" t="s">
        <v>675</v>
      </c>
      <c r="D346" s="77" t="s">
        <v>3988</v>
      </c>
      <c r="E346" s="79" t="s">
        <v>73</v>
      </c>
      <c r="F346" s="80" t="s">
        <v>53</v>
      </c>
      <c r="G346" s="76" t="s">
        <v>4406</v>
      </c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25">
      <c r="A347" s="105" t="s">
        <v>429</v>
      </c>
      <c r="B347" s="76" t="s">
        <v>4407</v>
      </c>
      <c r="C347" s="88" t="s">
        <v>1842</v>
      </c>
      <c r="D347" s="77" t="s">
        <v>3988</v>
      </c>
      <c r="E347" s="79" t="s">
        <v>73</v>
      </c>
      <c r="F347" s="80" t="s">
        <v>53</v>
      </c>
      <c r="G347" s="76" t="s">
        <v>4407</v>
      </c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25">
      <c r="A348" s="105" t="s">
        <v>430</v>
      </c>
      <c r="B348" s="76" t="s">
        <v>4408</v>
      </c>
      <c r="C348" s="88" t="s">
        <v>1422</v>
      </c>
      <c r="D348" s="77" t="s">
        <v>3988</v>
      </c>
      <c r="E348" s="79" t="s">
        <v>73</v>
      </c>
      <c r="F348" s="80" t="s">
        <v>53</v>
      </c>
      <c r="G348" s="76" t="s">
        <v>4408</v>
      </c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25">
      <c r="A349" s="105" t="s">
        <v>431</v>
      </c>
      <c r="B349" s="76" t="s">
        <v>4409</v>
      </c>
      <c r="C349" s="88" t="s">
        <v>2195</v>
      </c>
      <c r="D349" s="77" t="s">
        <v>3988</v>
      </c>
      <c r="E349" s="79" t="s">
        <v>73</v>
      </c>
      <c r="F349" s="80" t="s">
        <v>53</v>
      </c>
      <c r="G349" s="76" t="s">
        <v>4409</v>
      </c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25">
      <c r="A350" s="105" t="s">
        <v>432</v>
      </c>
      <c r="B350" s="76" t="s">
        <v>4410</v>
      </c>
      <c r="C350" s="88" t="s">
        <v>668</v>
      </c>
      <c r="D350" s="77" t="s">
        <v>3988</v>
      </c>
      <c r="E350" s="79" t="s">
        <v>73</v>
      </c>
      <c r="F350" s="80" t="s">
        <v>53</v>
      </c>
      <c r="G350" s="76" t="s">
        <v>4410</v>
      </c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25">
      <c r="A351" s="105" t="s">
        <v>433</v>
      </c>
      <c r="B351" s="76" t="s">
        <v>4411</v>
      </c>
      <c r="C351" s="88" t="s">
        <v>705</v>
      </c>
      <c r="D351" s="77" t="s">
        <v>3988</v>
      </c>
      <c r="E351" s="79" t="s">
        <v>73</v>
      </c>
      <c r="F351" s="80" t="s">
        <v>53</v>
      </c>
      <c r="G351" s="76" t="s">
        <v>4411</v>
      </c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25">
      <c r="A352" s="105" t="s">
        <v>434</v>
      </c>
      <c r="B352" s="76" t="s">
        <v>4412</v>
      </c>
      <c r="C352" s="88" t="s">
        <v>775</v>
      </c>
      <c r="D352" s="77" t="s">
        <v>3988</v>
      </c>
      <c r="E352" s="79" t="s">
        <v>73</v>
      </c>
      <c r="F352" s="80" t="s">
        <v>53</v>
      </c>
      <c r="G352" s="76" t="s">
        <v>4412</v>
      </c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25">
      <c r="A353" s="105" t="s">
        <v>435</v>
      </c>
      <c r="B353" s="76" t="s">
        <v>4413</v>
      </c>
      <c r="C353" s="88" t="s">
        <v>748</v>
      </c>
      <c r="D353" s="77" t="s">
        <v>3988</v>
      </c>
      <c r="E353" s="79" t="s">
        <v>73</v>
      </c>
      <c r="F353" s="80" t="s">
        <v>53</v>
      </c>
      <c r="G353" s="76" t="s">
        <v>4413</v>
      </c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25">
      <c r="A354" s="105" t="s">
        <v>436</v>
      </c>
      <c r="B354" s="76" t="s">
        <v>4414</v>
      </c>
      <c r="C354" s="88" t="s">
        <v>698</v>
      </c>
      <c r="D354" s="77" t="s">
        <v>3988</v>
      </c>
      <c r="E354" s="79" t="s">
        <v>73</v>
      </c>
      <c r="F354" s="80" t="s">
        <v>53</v>
      </c>
      <c r="G354" s="76" t="s">
        <v>4414</v>
      </c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25">
      <c r="A355" s="105" t="s">
        <v>437</v>
      </c>
      <c r="B355" s="76" t="s">
        <v>4415</v>
      </c>
      <c r="C355" s="88" t="s">
        <v>1127</v>
      </c>
      <c r="D355" s="77" t="s">
        <v>3988</v>
      </c>
      <c r="E355" s="79" t="s">
        <v>73</v>
      </c>
      <c r="F355" s="80" t="s">
        <v>53</v>
      </c>
      <c r="G355" s="76" t="s">
        <v>4415</v>
      </c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25">
      <c r="A356" s="105" t="s">
        <v>438</v>
      </c>
      <c r="B356" s="76" t="s">
        <v>4416</v>
      </c>
      <c r="C356" s="88" t="s">
        <v>2766</v>
      </c>
      <c r="D356" s="77" t="s">
        <v>3988</v>
      </c>
      <c r="E356" s="79" t="s">
        <v>73</v>
      </c>
      <c r="F356" s="80" t="s">
        <v>53</v>
      </c>
      <c r="G356" s="76" t="s">
        <v>4416</v>
      </c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25">
      <c r="A357" s="105" t="s">
        <v>439</v>
      </c>
      <c r="B357" s="76" t="s">
        <v>4417</v>
      </c>
      <c r="C357" s="44" t="s">
        <v>4052</v>
      </c>
      <c r="D357" s="77" t="s">
        <v>3988</v>
      </c>
      <c r="E357" s="79" t="s">
        <v>73</v>
      </c>
      <c r="F357" s="80" t="s">
        <v>53</v>
      </c>
      <c r="G357" s="76" t="s">
        <v>4417</v>
      </c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25">
      <c r="A358" s="105" t="s">
        <v>440</v>
      </c>
      <c r="B358" s="76" t="s">
        <v>4418</v>
      </c>
      <c r="C358" s="88" t="s">
        <v>1651</v>
      </c>
      <c r="D358" s="77" t="s">
        <v>3988</v>
      </c>
      <c r="E358" s="79" t="s">
        <v>73</v>
      </c>
      <c r="F358" s="80" t="s">
        <v>53</v>
      </c>
      <c r="G358" s="76" t="s">
        <v>4418</v>
      </c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25">
      <c r="A359" s="105" t="s">
        <v>441</v>
      </c>
      <c r="B359" s="76" t="s">
        <v>4419</v>
      </c>
      <c r="C359" s="88" t="s">
        <v>3366</v>
      </c>
      <c r="D359" s="77" t="s">
        <v>3988</v>
      </c>
      <c r="E359" s="79" t="s">
        <v>73</v>
      </c>
      <c r="F359" s="80" t="s">
        <v>53</v>
      </c>
      <c r="G359" s="76" t="s">
        <v>4419</v>
      </c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25">
      <c r="A360" s="105" t="s">
        <v>442</v>
      </c>
      <c r="B360" s="76" t="s">
        <v>4420</v>
      </c>
      <c r="C360" s="88" t="s">
        <v>3466</v>
      </c>
      <c r="D360" s="77" t="s">
        <v>3988</v>
      </c>
      <c r="E360" s="79" t="s">
        <v>73</v>
      </c>
      <c r="F360" s="80" t="s">
        <v>53</v>
      </c>
      <c r="G360" s="76" t="s">
        <v>4420</v>
      </c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25">
      <c r="A361" s="105" t="s">
        <v>443</v>
      </c>
      <c r="B361" s="76" t="s">
        <v>4421</v>
      </c>
      <c r="C361" s="88" t="s">
        <v>3030</v>
      </c>
      <c r="D361" s="77" t="s">
        <v>3988</v>
      </c>
      <c r="E361" s="79" t="s">
        <v>73</v>
      </c>
      <c r="F361" s="80" t="s">
        <v>53</v>
      </c>
      <c r="G361" s="76" t="s">
        <v>4421</v>
      </c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25">
      <c r="A362" s="105" t="s">
        <v>444</v>
      </c>
      <c r="B362" s="76" t="s">
        <v>4422</v>
      </c>
      <c r="C362" s="88" t="s">
        <v>1217</v>
      </c>
      <c r="D362" s="77" t="s">
        <v>3988</v>
      </c>
      <c r="E362" s="79" t="s">
        <v>73</v>
      </c>
      <c r="F362" s="80" t="s">
        <v>53</v>
      </c>
      <c r="G362" s="76" t="s">
        <v>4422</v>
      </c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25">
      <c r="A363" s="105" t="s">
        <v>445</v>
      </c>
      <c r="B363" s="76" t="s">
        <v>4423</v>
      </c>
      <c r="C363" s="88" t="s">
        <v>3063</v>
      </c>
      <c r="D363" s="77" t="s">
        <v>3988</v>
      </c>
      <c r="E363" s="79" t="s">
        <v>73</v>
      </c>
      <c r="F363" s="80" t="s">
        <v>53</v>
      </c>
      <c r="G363" s="76" t="s">
        <v>4423</v>
      </c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25">
      <c r="A364" s="105" t="s">
        <v>446</v>
      </c>
      <c r="B364" s="76" t="s">
        <v>4424</v>
      </c>
      <c r="C364" s="88" t="s">
        <v>991</v>
      </c>
      <c r="D364" s="77" t="s">
        <v>3988</v>
      </c>
      <c r="E364" s="79" t="s">
        <v>73</v>
      </c>
      <c r="F364" s="80" t="s">
        <v>53</v>
      </c>
      <c r="G364" s="76" t="s">
        <v>4424</v>
      </c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25">
      <c r="A365" s="105" t="s">
        <v>447</v>
      </c>
      <c r="B365" s="76" t="s">
        <v>4425</v>
      </c>
      <c r="C365" s="88" t="s">
        <v>1541</v>
      </c>
      <c r="D365" s="77" t="s">
        <v>3988</v>
      </c>
      <c r="E365" s="79" t="s">
        <v>73</v>
      </c>
      <c r="F365" s="80" t="s">
        <v>53</v>
      </c>
      <c r="G365" s="76" t="s">
        <v>4425</v>
      </c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25">
      <c r="A366" s="105" t="s">
        <v>448</v>
      </c>
      <c r="B366" s="76" t="s">
        <v>4426</v>
      </c>
      <c r="C366" s="88" t="s">
        <v>865</v>
      </c>
      <c r="D366" s="77" t="s">
        <v>3988</v>
      </c>
      <c r="E366" s="79" t="s">
        <v>73</v>
      </c>
      <c r="F366" s="80" t="s">
        <v>53</v>
      </c>
      <c r="G366" s="76" t="s">
        <v>4426</v>
      </c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25">
      <c r="A367" s="105" t="s">
        <v>449</v>
      </c>
      <c r="B367" s="76" t="s">
        <v>4427</v>
      </c>
      <c r="C367" s="88" t="s">
        <v>1237</v>
      </c>
      <c r="D367" s="77" t="s">
        <v>3988</v>
      </c>
      <c r="E367" s="79" t="s">
        <v>73</v>
      </c>
      <c r="F367" s="80" t="s">
        <v>53</v>
      </c>
      <c r="G367" s="76" t="s">
        <v>4427</v>
      </c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25">
      <c r="A368" s="105" t="s">
        <v>450</v>
      </c>
      <c r="B368" s="76" t="s">
        <v>4428</v>
      </c>
      <c r="C368" s="88" t="s">
        <v>3421</v>
      </c>
      <c r="D368" s="77" t="s">
        <v>3988</v>
      </c>
      <c r="E368" s="79" t="s">
        <v>73</v>
      </c>
      <c r="F368" s="80" t="s">
        <v>53</v>
      </c>
      <c r="G368" s="76" t="s">
        <v>4428</v>
      </c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25">
      <c r="A369" s="105" t="s">
        <v>451</v>
      </c>
      <c r="B369" s="76" t="s">
        <v>4429</v>
      </c>
      <c r="C369" s="88" t="s">
        <v>3049</v>
      </c>
      <c r="D369" s="77" t="s">
        <v>3988</v>
      </c>
      <c r="E369" s="79" t="s">
        <v>73</v>
      </c>
      <c r="F369" s="80" t="s">
        <v>53</v>
      </c>
      <c r="G369" s="76" t="s">
        <v>4429</v>
      </c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25">
      <c r="A370" s="105" t="s">
        <v>452</v>
      </c>
      <c r="B370" s="76" t="s">
        <v>4430</v>
      </c>
      <c r="C370" s="88" t="s">
        <v>2630</v>
      </c>
      <c r="D370" s="77" t="s">
        <v>594</v>
      </c>
      <c r="E370" s="79" t="s">
        <v>74</v>
      </c>
      <c r="F370" s="80" t="s">
        <v>53</v>
      </c>
      <c r="G370" s="76" t="s">
        <v>4430</v>
      </c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25">
      <c r="A371" s="105" t="s">
        <v>453</v>
      </c>
      <c r="B371" s="76" t="s">
        <v>4431</v>
      </c>
      <c r="C371" s="88" t="s">
        <v>948</v>
      </c>
      <c r="D371" s="77" t="s">
        <v>594</v>
      </c>
      <c r="E371" s="79" t="s">
        <v>74</v>
      </c>
      <c r="F371" s="80" t="s">
        <v>53</v>
      </c>
      <c r="G371" s="76" t="s">
        <v>4431</v>
      </c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25">
      <c r="A372" s="105" t="s">
        <v>454</v>
      </c>
      <c r="B372" s="76" t="s">
        <v>4432</v>
      </c>
      <c r="C372" s="88" t="s">
        <v>2922</v>
      </c>
      <c r="D372" s="77" t="s">
        <v>594</v>
      </c>
      <c r="E372" s="79" t="s">
        <v>74</v>
      </c>
      <c r="F372" s="80" t="s">
        <v>53</v>
      </c>
      <c r="G372" s="76" t="s">
        <v>4432</v>
      </c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25">
      <c r="A373" s="105" t="s">
        <v>455</v>
      </c>
      <c r="B373" s="76" t="s">
        <v>4433</v>
      </c>
      <c r="C373" s="89" t="s">
        <v>3814</v>
      </c>
      <c r="D373" s="77" t="s">
        <v>594</v>
      </c>
      <c r="E373" s="79" t="s">
        <v>74</v>
      </c>
      <c r="F373" s="80" t="s">
        <v>53</v>
      </c>
      <c r="G373" s="76" t="s">
        <v>4433</v>
      </c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25">
      <c r="A374" s="105" t="s">
        <v>456</v>
      </c>
      <c r="B374" s="76" t="s">
        <v>4434</v>
      </c>
      <c r="C374" s="89" t="s">
        <v>2384</v>
      </c>
      <c r="D374" s="77" t="s">
        <v>594</v>
      </c>
      <c r="E374" s="79" t="s">
        <v>74</v>
      </c>
      <c r="F374" s="80" t="s">
        <v>53</v>
      </c>
      <c r="G374" s="76" t="s">
        <v>4434</v>
      </c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25">
      <c r="A375" s="105" t="s">
        <v>457</v>
      </c>
      <c r="B375" s="76" t="s">
        <v>4435</v>
      </c>
      <c r="C375" s="88" t="s">
        <v>3786</v>
      </c>
      <c r="D375" s="77" t="s">
        <v>594</v>
      </c>
      <c r="E375" s="79" t="s">
        <v>74</v>
      </c>
      <c r="F375" s="80" t="s">
        <v>53</v>
      </c>
      <c r="G375" s="76" t="s">
        <v>4435</v>
      </c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25">
      <c r="A376" s="105" t="s">
        <v>458</v>
      </c>
      <c r="B376" s="76" t="s">
        <v>4436</v>
      </c>
      <c r="C376" s="89" t="s">
        <v>4513</v>
      </c>
      <c r="D376" s="77" t="s">
        <v>594</v>
      </c>
      <c r="E376" s="79" t="s">
        <v>74</v>
      </c>
      <c r="F376" s="80" t="s">
        <v>53</v>
      </c>
      <c r="G376" s="76" t="s">
        <v>4436</v>
      </c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25">
      <c r="A377" s="105" t="s">
        <v>459</v>
      </c>
      <c r="B377" s="76" t="s">
        <v>4437</v>
      </c>
      <c r="C377" s="69" t="s">
        <v>4046</v>
      </c>
      <c r="D377" s="77" t="s">
        <v>594</v>
      </c>
      <c r="E377" s="79" t="s">
        <v>74</v>
      </c>
      <c r="F377" s="80" t="s">
        <v>53</v>
      </c>
      <c r="G377" s="76" t="s">
        <v>4437</v>
      </c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25">
      <c r="A378" s="105" t="s">
        <v>460</v>
      </c>
      <c r="B378" s="76" t="s">
        <v>4438</v>
      </c>
      <c r="C378" s="88" t="s">
        <v>2000</v>
      </c>
      <c r="D378" s="77" t="s">
        <v>594</v>
      </c>
      <c r="E378" s="79" t="s">
        <v>74</v>
      </c>
      <c r="F378" s="80" t="s">
        <v>53</v>
      </c>
      <c r="G378" s="76" t="s">
        <v>4438</v>
      </c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25">
      <c r="A379" s="105" t="s">
        <v>461</v>
      </c>
      <c r="B379" s="76" t="s">
        <v>4439</v>
      </c>
      <c r="C379" s="89" t="s">
        <v>3373</v>
      </c>
      <c r="D379" s="77" t="s">
        <v>594</v>
      </c>
      <c r="E379" s="79" t="s">
        <v>74</v>
      </c>
      <c r="F379" s="80" t="s">
        <v>53</v>
      </c>
      <c r="G379" s="76" t="s">
        <v>4439</v>
      </c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25">
      <c r="A380" s="105" t="s">
        <v>462</v>
      </c>
      <c r="B380" s="76" t="s">
        <v>4440</v>
      </c>
      <c r="C380" s="88" t="s">
        <v>3244</v>
      </c>
      <c r="D380" s="77" t="s">
        <v>594</v>
      </c>
      <c r="E380" s="79" t="s">
        <v>74</v>
      </c>
      <c r="F380" s="80" t="s">
        <v>53</v>
      </c>
      <c r="G380" s="76" t="s">
        <v>4440</v>
      </c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25">
      <c r="A381" s="105" t="s">
        <v>463</v>
      </c>
      <c r="B381" s="76" t="s">
        <v>4441</v>
      </c>
      <c r="C381" s="88" t="s">
        <v>2206</v>
      </c>
      <c r="D381" s="77" t="s">
        <v>594</v>
      </c>
      <c r="E381" s="79" t="s">
        <v>74</v>
      </c>
      <c r="F381" s="80" t="s">
        <v>53</v>
      </c>
      <c r="G381" s="76" t="s">
        <v>4441</v>
      </c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25">
      <c r="A382" s="105" t="s">
        <v>464</v>
      </c>
      <c r="B382" s="76" t="s">
        <v>4442</v>
      </c>
      <c r="C382" s="89" t="s">
        <v>2723</v>
      </c>
      <c r="D382" s="77" t="s">
        <v>594</v>
      </c>
      <c r="E382" s="79" t="s">
        <v>74</v>
      </c>
      <c r="F382" s="80" t="s">
        <v>53</v>
      </c>
      <c r="G382" s="76" t="s">
        <v>4442</v>
      </c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25">
      <c r="A383" s="105" t="s">
        <v>465</v>
      </c>
      <c r="B383" s="76" t="s">
        <v>4443</v>
      </c>
      <c r="C383" s="89" t="s">
        <v>3506</v>
      </c>
      <c r="D383" s="77" t="s">
        <v>594</v>
      </c>
      <c r="E383" s="79" t="s">
        <v>74</v>
      </c>
      <c r="F383" s="80" t="s">
        <v>53</v>
      </c>
      <c r="G383" s="76" t="s">
        <v>4443</v>
      </c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25">
      <c r="A384" s="105" t="s">
        <v>466</v>
      </c>
      <c r="B384" s="76" t="s">
        <v>4444</v>
      </c>
      <c r="C384" s="88" t="s">
        <v>2939</v>
      </c>
      <c r="D384" s="77" t="s">
        <v>594</v>
      </c>
      <c r="E384" s="79" t="s">
        <v>74</v>
      </c>
      <c r="F384" s="80" t="s">
        <v>53</v>
      </c>
      <c r="G384" s="76" t="s">
        <v>4444</v>
      </c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25">
      <c r="A385" s="105" t="s">
        <v>467</v>
      </c>
      <c r="B385" s="76" t="s">
        <v>4445</v>
      </c>
      <c r="C385" s="88" t="s">
        <v>3721</v>
      </c>
      <c r="D385" s="77" t="s">
        <v>594</v>
      </c>
      <c r="E385" s="79" t="s">
        <v>74</v>
      </c>
      <c r="F385" s="80" t="s">
        <v>53</v>
      </c>
      <c r="G385" s="76" t="s">
        <v>4445</v>
      </c>
      <c r="H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25">
      <c r="A386" s="105" t="s">
        <v>468</v>
      </c>
      <c r="B386" s="76" t="s">
        <v>4446</v>
      </c>
      <c r="C386" s="88" t="s">
        <v>4520</v>
      </c>
      <c r="D386" s="77" t="s">
        <v>594</v>
      </c>
      <c r="E386" s="79" t="s">
        <v>74</v>
      </c>
      <c r="F386" s="80" t="s">
        <v>53</v>
      </c>
      <c r="G386" s="76" t="s">
        <v>4446</v>
      </c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25">
      <c r="A387" s="105" t="s">
        <v>469</v>
      </c>
      <c r="B387" s="76" t="s">
        <v>4447</v>
      </c>
      <c r="C387" s="88" t="s">
        <v>1434</v>
      </c>
      <c r="D387" s="77" t="s">
        <v>594</v>
      </c>
      <c r="E387" s="79" t="s">
        <v>74</v>
      </c>
      <c r="F387" s="80" t="s">
        <v>53</v>
      </c>
      <c r="G387" s="76" t="s">
        <v>4447</v>
      </c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25">
      <c r="A388" s="105" t="s">
        <v>470</v>
      </c>
      <c r="B388" s="76" t="s">
        <v>4448</v>
      </c>
      <c r="C388" s="88" t="s">
        <v>2672</v>
      </c>
      <c r="D388" s="77" t="s">
        <v>594</v>
      </c>
      <c r="E388" s="79" t="s">
        <v>74</v>
      </c>
      <c r="F388" s="80" t="s">
        <v>53</v>
      </c>
      <c r="G388" s="76" t="s">
        <v>4448</v>
      </c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25">
      <c r="A389" s="105" t="s">
        <v>471</v>
      </c>
      <c r="B389" s="76" t="s">
        <v>4449</v>
      </c>
      <c r="C389" s="89" t="s">
        <v>3441</v>
      </c>
      <c r="D389" s="77" t="s">
        <v>594</v>
      </c>
      <c r="E389" s="79" t="s">
        <v>74</v>
      </c>
      <c r="F389" s="80" t="s">
        <v>53</v>
      </c>
      <c r="G389" s="76" t="s">
        <v>4449</v>
      </c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25">
      <c r="A390" s="105" t="s">
        <v>472</v>
      </c>
      <c r="B390" s="76" t="s">
        <v>4450</v>
      </c>
      <c r="C390" s="88" t="s">
        <v>3408</v>
      </c>
      <c r="D390" s="77" t="s">
        <v>594</v>
      </c>
      <c r="E390" s="79" t="s">
        <v>74</v>
      </c>
      <c r="F390" s="80" t="s">
        <v>53</v>
      </c>
      <c r="G390" s="76" t="s">
        <v>4450</v>
      </c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25">
      <c r="A391" s="105" t="s">
        <v>473</v>
      </c>
      <c r="B391" s="76" t="s">
        <v>4451</v>
      </c>
      <c r="C391" s="88" t="s">
        <v>1198</v>
      </c>
      <c r="D391" s="77" t="s">
        <v>594</v>
      </c>
      <c r="E391" s="79" t="s">
        <v>74</v>
      </c>
      <c r="F391" s="80" t="s">
        <v>53</v>
      </c>
      <c r="G391" s="76" t="s">
        <v>4451</v>
      </c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25">
      <c r="A392" s="105" t="s">
        <v>474</v>
      </c>
      <c r="B392" s="76" t="s">
        <v>4452</v>
      </c>
      <c r="C392" s="88" t="s">
        <v>3144</v>
      </c>
      <c r="D392" s="77" t="s">
        <v>594</v>
      </c>
      <c r="E392" s="79" t="s">
        <v>74</v>
      </c>
      <c r="F392" s="80" t="s">
        <v>53</v>
      </c>
      <c r="G392" s="76" t="s">
        <v>4452</v>
      </c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25">
      <c r="A393" s="105" t="s">
        <v>475</v>
      </c>
      <c r="B393" s="76" t="s">
        <v>4453</v>
      </c>
      <c r="C393" s="88" t="s">
        <v>997</v>
      </c>
      <c r="D393" s="77" t="s">
        <v>594</v>
      </c>
      <c r="E393" s="79" t="s">
        <v>74</v>
      </c>
      <c r="F393" s="80" t="s">
        <v>53</v>
      </c>
      <c r="G393" s="76" t="s">
        <v>4453</v>
      </c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25">
      <c r="A394" s="105" t="s">
        <v>476</v>
      </c>
      <c r="B394" s="76" t="s">
        <v>4454</v>
      </c>
      <c r="C394" s="89" t="s">
        <v>3727</v>
      </c>
      <c r="D394" s="77" t="s">
        <v>594</v>
      </c>
      <c r="E394" s="79" t="s">
        <v>74</v>
      </c>
      <c r="F394" s="80" t="s">
        <v>53</v>
      </c>
      <c r="G394" s="76" t="s">
        <v>4454</v>
      </c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25">
      <c r="A395" s="105" t="s">
        <v>477</v>
      </c>
      <c r="B395" s="76" t="s">
        <v>4455</v>
      </c>
      <c r="C395" s="89" t="s">
        <v>3378</v>
      </c>
      <c r="D395" s="77" t="s">
        <v>594</v>
      </c>
      <c r="E395" s="79" t="s">
        <v>74</v>
      </c>
      <c r="F395" s="80" t="s">
        <v>53</v>
      </c>
      <c r="G395" s="76" t="s">
        <v>4455</v>
      </c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25">
      <c r="A396" s="105" t="s">
        <v>478</v>
      </c>
      <c r="B396" s="76" t="s">
        <v>4456</v>
      </c>
      <c r="C396" s="88" t="s">
        <v>2680</v>
      </c>
      <c r="D396" s="77" t="s">
        <v>594</v>
      </c>
      <c r="E396" s="79" t="s">
        <v>74</v>
      </c>
      <c r="F396" s="80" t="s">
        <v>53</v>
      </c>
      <c r="G396" s="76" t="s">
        <v>4456</v>
      </c>
      <c r="H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25">
      <c r="A397" s="105" t="s">
        <v>479</v>
      </c>
      <c r="B397" s="76" t="s">
        <v>4457</v>
      </c>
      <c r="C397" s="88" t="s">
        <v>3342</v>
      </c>
      <c r="D397" s="77" t="s">
        <v>594</v>
      </c>
      <c r="E397" s="79" t="s">
        <v>74</v>
      </c>
      <c r="F397" s="80" t="s">
        <v>53</v>
      </c>
      <c r="G397" s="76" t="s">
        <v>4457</v>
      </c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25">
      <c r="A398" s="105" t="s">
        <v>480</v>
      </c>
      <c r="B398" s="76" t="s">
        <v>4458</v>
      </c>
      <c r="C398" s="88" t="s">
        <v>1994</v>
      </c>
      <c r="D398" s="77" t="s">
        <v>594</v>
      </c>
      <c r="E398" s="79" t="s">
        <v>74</v>
      </c>
      <c r="F398" s="80" t="s">
        <v>53</v>
      </c>
      <c r="G398" s="76" t="s">
        <v>4458</v>
      </c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25">
      <c r="A399" s="105" t="s">
        <v>481</v>
      </c>
      <c r="B399" s="76" t="s">
        <v>4459</v>
      </c>
      <c r="C399" s="88" t="s">
        <v>1355</v>
      </c>
      <c r="D399" s="77" t="s">
        <v>594</v>
      </c>
      <c r="E399" s="79" t="s">
        <v>74</v>
      </c>
      <c r="F399" s="80" t="s">
        <v>53</v>
      </c>
      <c r="G399" s="76" t="s">
        <v>4459</v>
      </c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25">
      <c r="A400" s="105" t="s">
        <v>482</v>
      </c>
      <c r="B400" s="76" t="s">
        <v>4460</v>
      </c>
      <c r="C400" s="89" t="s">
        <v>1621</v>
      </c>
      <c r="D400" s="77" t="s">
        <v>594</v>
      </c>
      <c r="E400" s="79" t="s">
        <v>74</v>
      </c>
      <c r="F400" s="80" t="s">
        <v>53</v>
      </c>
      <c r="G400" s="76" t="s">
        <v>4460</v>
      </c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25">
      <c r="A401" s="105" t="s">
        <v>483</v>
      </c>
      <c r="B401" s="76" t="s">
        <v>4461</v>
      </c>
      <c r="C401" s="88" t="s">
        <v>3360</v>
      </c>
      <c r="D401" s="77" t="s">
        <v>594</v>
      </c>
      <c r="E401" s="79" t="s">
        <v>74</v>
      </c>
      <c r="F401" s="80" t="s">
        <v>53</v>
      </c>
      <c r="G401" s="76" t="s">
        <v>4461</v>
      </c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25">
      <c r="A402" s="105" t="s">
        <v>484</v>
      </c>
      <c r="B402" s="76" t="s">
        <v>4462</v>
      </c>
      <c r="C402" s="88" t="s">
        <v>2958</v>
      </c>
      <c r="D402" s="77" t="s">
        <v>594</v>
      </c>
      <c r="E402" s="79" t="s">
        <v>74</v>
      </c>
      <c r="F402" s="80" t="s">
        <v>53</v>
      </c>
      <c r="G402" s="76" t="s">
        <v>4462</v>
      </c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25">
      <c r="A403" s="105" t="s">
        <v>485</v>
      </c>
      <c r="B403" s="76" t="s">
        <v>4463</v>
      </c>
      <c r="C403" s="88" t="s">
        <v>2927</v>
      </c>
      <c r="D403" s="77" t="s">
        <v>594</v>
      </c>
      <c r="E403" s="79" t="s">
        <v>74</v>
      </c>
      <c r="F403" s="80" t="s">
        <v>53</v>
      </c>
      <c r="G403" s="76" t="s">
        <v>4463</v>
      </c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25">
      <c r="A404" s="105" t="s">
        <v>486</v>
      </c>
      <c r="B404" s="76" t="s">
        <v>4464</v>
      </c>
      <c r="C404" s="89" t="s">
        <v>3862</v>
      </c>
      <c r="D404" s="77" t="s">
        <v>595</v>
      </c>
      <c r="E404" s="79" t="s">
        <v>75</v>
      </c>
      <c r="F404" s="80" t="s">
        <v>53</v>
      </c>
      <c r="G404" s="76" t="s">
        <v>4464</v>
      </c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25">
      <c r="A405" s="105" t="s">
        <v>487</v>
      </c>
      <c r="B405" s="76" t="s">
        <v>4465</v>
      </c>
      <c r="C405" s="88" t="s">
        <v>3779</v>
      </c>
      <c r="D405" s="77" t="s">
        <v>595</v>
      </c>
      <c r="E405" s="79" t="s">
        <v>75</v>
      </c>
      <c r="F405" s="80" t="s">
        <v>53</v>
      </c>
      <c r="G405" s="76" t="s">
        <v>4465</v>
      </c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25">
      <c r="A406" s="105" t="s">
        <v>488</v>
      </c>
      <c r="B406" s="76" t="s">
        <v>4466</v>
      </c>
      <c r="C406" s="88" t="s">
        <v>3024</v>
      </c>
      <c r="D406" s="77" t="s">
        <v>595</v>
      </c>
      <c r="E406" s="79" t="s">
        <v>75</v>
      </c>
      <c r="F406" s="80" t="s">
        <v>53</v>
      </c>
      <c r="G406" s="76" t="s">
        <v>4466</v>
      </c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25">
      <c r="A407" s="105" t="s">
        <v>489</v>
      </c>
      <c r="B407" s="76" t="s">
        <v>4467</v>
      </c>
      <c r="C407" s="88" t="s">
        <v>3928</v>
      </c>
      <c r="D407" s="77" t="s">
        <v>595</v>
      </c>
      <c r="E407" s="79" t="s">
        <v>75</v>
      </c>
      <c r="F407" s="80" t="s">
        <v>53</v>
      </c>
      <c r="G407" s="76" t="s">
        <v>4467</v>
      </c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25">
      <c r="A408" s="105" t="s">
        <v>490</v>
      </c>
      <c r="B408" s="76" t="s">
        <v>4468</v>
      </c>
      <c r="C408" s="89" t="s">
        <v>2902</v>
      </c>
      <c r="D408" s="77" t="s">
        <v>595</v>
      </c>
      <c r="E408" s="79" t="s">
        <v>75</v>
      </c>
      <c r="F408" s="80" t="s">
        <v>53</v>
      </c>
      <c r="G408" s="76" t="s">
        <v>4468</v>
      </c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25">
      <c r="A409" s="105" t="s">
        <v>491</v>
      </c>
      <c r="B409" s="76" t="s">
        <v>4469</v>
      </c>
      <c r="C409" s="89" t="s">
        <v>3855</v>
      </c>
      <c r="D409" s="77" t="s">
        <v>595</v>
      </c>
      <c r="E409" s="79" t="s">
        <v>75</v>
      </c>
      <c r="F409" s="80" t="s">
        <v>53</v>
      </c>
      <c r="G409" s="76" t="s">
        <v>4469</v>
      </c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25">
      <c r="A410" s="105" t="s">
        <v>492</v>
      </c>
      <c r="B410" s="76" t="s">
        <v>4470</v>
      </c>
      <c r="C410" s="88" t="s">
        <v>895</v>
      </c>
      <c r="D410" s="77" t="s">
        <v>595</v>
      </c>
      <c r="E410" s="79" t="s">
        <v>75</v>
      </c>
      <c r="F410" s="80" t="s">
        <v>53</v>
      </c>
      <c r="G410" s="76" t="s">
        <v>4470</v>
      </c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25">
      <c r="A411" s="105" t="s">
        <v>493</v>
      </c>
      <c r="B411" s="76" t="s">
        <v>4471</v>
      </c>
      <c r="C411" s="88" t="s">
        <v>2478</v>
      </c>
      <c r="D411" s="77" t="s">
        <v>595</v>
      </c>
      <c r="E411" s="79" t="s">
        <v>75</v>
      </c>
      <c r="F411" s="80" t="s">
        <v>53</v>
      </c>
      <c r="G411" s="76" t="s">
        <v>4471</v>
      </c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25">
      <c r="A412" s="105" t="s">
        <v>494</v>
      </c>
      <c r="B412" s="76" t="s">
        <v>4472</v>
      </c>
      <c r="C412" s="88" t="s">
        <v>1696</v>
      </c>
      <c r="D412" s="77" t="s">
        <v>595</v>
      </c>
      <c r="E412" s="79" t="s">
        <v>75</v>
      </c>
      <c r="F412" s="80" t="s">
        <v>53</v>
      </c>
      <c r="G412" s="76" t="s">
        <v>4472</v>
      </c>
      <c r="H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25">
      <c r="A413" s="105" t="s">
        <v>495</v>
      </c>
      <c r="B413" s="76" t="s">
        <v>4473</v>
      </c>
      <c r="C413" s="89" t="s">
        <v>3742</v>
      </c>
      <c r="D413" s="77" t="s">
        <v>595</v>
      </c>
      <c r="E413" s="79" t="s">
        <v>75</v>
      </c>
      <c r="F413" s="80" t="s">
        <v>53</v>
      </c>
      <c r="G413" s="76" t="s">
        <v>4473</v>
      </c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25">
      <c r="A414" s="105" t="s">
        <v>496</v>
      </c>
      <c r="B414" s="76" t="s">
        <v>4474</v>
      </c>
      <c r="C414" s="88" t="s">
        <v>3668</v>
      </c>
      <c r="D414" s="77" t="s">
        <v>595</v>
      </c>
      <c r="E414" s="79" t="s">
        <v>75</v>
      </c>
      <c r="F414" s="80" t="s">
        <v>53</v>
      </c>
      <c r="G414" s="76" t="s">
        <v>4474</v>
      </c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25">
      <c r="A415" s="105" t="s">
        <v>497</v>
      </c>
      <c r="B415" s="76" t="s">
        <v>4475</v>
      </c>
      <c r="C415" s="88" t="s">
        <v>932</v>
      </c>
      <c r="D415" s="77" t="s">
        <v>595</v>
      </c>
      <c r="E415" s="79" t="s">
        <v>75</v>
      </c>
      <c r="F415" s="80" t="s">
        <v>53</v>
      </c>
      <c r="G415" s="76" t="s">
        <v>4475</v>
      </c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25">
      <c r="A416" s="105" t="s">
        <v>498</v>
      </c>
      <c r="B416" s="76" t="s">
        <v>4476</v>
      </c>
      <c r="C416" s="89" t="s">
        <v>2656</v>
      </c>
      <c r="D416" s="77" t="s">
        <v>595</v>
      </c>
      <c r="E416" s="79" t="s">
        <v>75</v>
      </c>
      <c r="F416" s="80" t="s">
        <v>53</v>
      </c>
      <c r="G416" s="76" t="s">
        <v>4476</v>
      </c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25">
      <c r="A417" s="105" t="s">
        <v>499</v>
      </c>
      <c r="B417" s="76" t="s">
        <v>4477</v>
      </c>
      <c r="C417" s="89" t="s">
        <v>3967</v>
      </c>
      <c r="D417" s="77" t="s">
        <v>595</v>
      </c>
      <c r="E417" s="79" t="s">
        <v>75</v>
      </c>
      <c r="F417" s="80" t="s">
        <v>53</v>
      </c>
      <c r="G417" s="76" t="s">
        <v>4477</v>
      </c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25">
      <c r="A418" s="105" t="s">
        <v>500</v>
      </c>
      <c r="B418" s="76" t="s">
        <v>4478</v>
      </c>
      <c r="C418" s="88" t="s">
        <v>3766</v>
      </c>
      <c r="D418" s="77" t="s">
        <v>595</v>
      </c>
      <c r="E418" s="79" t="s">
        <v>75</v>
      </c>
      <c r="F418" s="80" t="s">
        <v>53</v>
      </c>
      <c r="G418" s="76" t="s">
        <v>4478</v>
      </c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25">
      <c r="A419" s="105" t="s">
        <v>501</v>
      </c>
      <c r="B419" s="76" t="s">
        <v>4479</v>
      </c>
      <c r="C419" s="88" t="s">
        <v>2472</v>
      </c>
      <c r="D419" s="77" t="s">
        <v>595</v>
      </c>
      <c r="E419" s="79" t="s">
        <v>75</v>
      </c>
      <c r="F419" s="80" t="s">
        <v>53</v>
      </c>
      <c r="G419" s="76" t="s">
        <v>4479</v>
      </c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25">
      <c r="A420" s="105" t="s">
        <v>502</v>
      </c>
      <c r="B420" s="76" t="s">
        <v>4480</v>
      </c>
      <c r="C420" s="88" t="s">
        <v>3070</v>
      </c>
      <c r="D420" s="77" t="s">
        <v>595</v>
      </c>
      <c r="E420" s="79" t="s">
        <v>75</v>
      </c>
      <c r="F420" s="80" t="s">
        <v>53</v>
      </c>
      <c r="G420" s="76" t="s">
        <v>4480</v>
      </c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25">
      <c r="A421" s="105" t="s">
        <v>503</v>
      </c>
      <c r="B421" s="76" t="s">
        <v>4481</v>
      </c>
      <c r="C421" s="88" t="s">
        <v>3653</v>
      </c>
      <c r="D421" s="77" t="s">
        <v>595</v>
      </c>
      <c r="E421" s="79" t="s">
        <v>75</v>
      </c>
      <c r="F421" s="80" t="s">
        <v>53</v>
      </c>
      <c r="G421" s="76" t="s">
        <v>4481</v>
      </c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25">
      <c r="A422" s="105" t="s">
        <v>504</v>
      </c>
      <c r="B422" s="76" t="s">
        <v>4482</v>
      </c>
      <c r="C422" s="89" t="s">
        <v>2785</v>
      </c>
      <c r="D422" s="77" t="s">
        <v>595</v>
      </c>
      <c r="E422" s="79" t="s">
        <v>75</v>
      </c>
      <c r="F422" s="80" t="s">
        <v>53</v>
      </c>
      <c r="G422" s="76" t="s">
        <v>4482</v>
      </c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25">
      <c r="A423" s="105" t="s">
        <v>505</v>
      </c>
      <c r="B423" s="76" t="s">
        <v>4483</v>
      </c>
      <c r="C423" s="88" t="s">
        <v>3315</v>
      </c>
      <c r="D423" s="77" t="s">
        <v>595</v>
      </c>
      <c r="E423" s="79" t="s">
        <v>75</v>
      </c>
      <c r="F423" s="80" t="s">
        <v>53</v>
      </c>
      <c r="G423" s="76" t="s">
        <v>4483</v>
      </c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25">
      <c r="A424" s="105" t="s">
        <v>506</v>
      </c>
      <c r="B424" s="76" t="s">
        <v>4484</v>
      </c>
      <c r="C424" s="89" t="s">
        <v>3004</v>
      </c>
      <c r="D424" s="77" t="s">
        <v>595</v>
      </c>
      <c r="E424" s="79" t="s">
        <v>75</v>
      </c>
      <c r="F424" s="80" t="s">
        <v>53</v>
      </c>
      <c r="G424" s="76" t="s">
        <v>4484</v>
      </c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25">
      <c r="A425" s="105" t="s">
        <v>507</v>
      </c>
      <c r="B425" s="76" t="s">
        <v>4485</v>
      </c>
      <c r="C425" s="89" t="s">
        <v>3716</v>
      </c>
      <c r="D425" s="77" t="s">
        <v>595</v>
      </c>
      <c r="E425" s="79" t="s">
        <v>75</v>
      </c>
      <c r="F425" s="80" t="s">
        <v>53</v>
      </c>
      <c r="G425" s="76" t="s">
        <v>4485</v>
      </c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25">
      <c r="A426" s="105" t="s">
        <v>508</v>
      </c>
      <c r="B426" s="76" t="s">
        <v>4486</v>
      </c>
      <c r="C426" s="88" t="s">
        <v>3015</v>
      </c>
      <c r="D426" s="77" t="s">
        <v>595</v>
      </c>
      <c r="E426" s="79" t="s">
        <v>75</v>
      </c>
      <c r="F426" s="80" t="s">
        <v>53</v>
      </c>
      <c r="G426" s="76" t="s">
        <v>4486</v>
      </c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25">
      <c r="A427" s="105" t="s">
        <v>509</v>
      </c>
      <c r="B427" s="76" t="s">
        <v>4487</v>
      </c>
      <c r="C427" s="88" t="s">
        <v>884</v>
      </c>
      <c r="D427" s="77" t="s">
        <v>595</v>
      </c>
      <c r="E427" s="79" t="s">
        <v>75</v>
      </c>
      <c r="F427" s="80" t="s">
        <v>53</v>
      </c>
      <c r="G427" s="76" t="s">
        <v>4487</v>
      </c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25">
      <c r="A428" s="105" t="s">
        <v>510</v>
      </c>
      <c r="B428" s="76" t="s">
        <v>4488</v>
      </c>
      <c r="C428" s="88" t="s">
        <v>2792</v>
      </c>
      <c r="D428" s="77" t="s">
        <v>595</v>
      </c>
      <c r="E428" s="79" t="s">
        <v>75</v>
      </c>
      <c r="F428" s="80" t="s">
        <v>53</v>
      </c>
      <c r="G428" s="76" t="s">
        <v>4488</v>
      </c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25">
      <c r="A429" s="105" t="s">
        <v>511</v>
      </c>
      <c r="B429" s="76" t="s">
        <v>4489</v>
      </c>
      <c r="C429" s="88" t="s">
        <v>3608</v>
      </c>
      <c r="D429" s="77" t="s">
        <v>595</v>
      </c>
      <c r="E429" s="79" t="s">
        <v>75</v>
      </c>
      <c r="F429" s="80" t="s">
        <v>53</v>
      </c>
      <c r="G429" s="76" t="s">
        <v>4489</v>
      </c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25">
      <c r="A430" s="105" t="s">
        <v>512</v>
      </c>
      <c r="B430" s="76" t="s">
        <v>4490</v>
      </c>
      <c r="C430" s="88" t="s">
        <v>1204</v>
      </c>
      <c r="D430" s="77" t="s">
        <v>595</v>
      </c>
      <c r="E430" s="79" t="s">
        <v>75</v>
      </c>
      <c r="F430" s="80" t="s">
        <v>53</v>
      </c>
      <c r="G430" s="76" t="s">
        <v>4490</v>
      </c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25">
      <c r="A431" s="105" t="s">
        <v>513</v>
      </c>
      <c r="B431" s="76" t="s">
        <v>4491</v>
      </c>
      <c r="C431" s="88" t="s">
        <v>3137</v>
      </c>
      <c r="D431" s="77" t="s">
        <v>595</v>
      </c>
      <c r="E431" s="79" t="s">
        <v>75</v>
      </c>
      <c r="F431" s="80" t="s">
        <v>53</v>
      </c>
      <c r="G431" s="76" t="s">
        <v>4491</v>
      </c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25">
      <c r="A432" s="105" t="s">
        <v>514</v>
      </c>
      <c r="B432" s="76" t="s">
        <v>4492</v>
      </c>
      <c r="C432" s="88" t="s">
        <v>1340</v>
      </c>
      <c r="D432" s="77" t="s">
        <v>595</v>
      </c>
      <c r="E432" s="79" t="s">
        <v>75</v>
      </c>
      <c r="F432" s="80" t="s">
        <v>53</v>
      </c>
      <c r="G432" s="76" t="s">
        <v>4492</v>
      </c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25">
      <c r="A433" s="105" t="s">
        <v>515</v>
      </c>
      <c r="B433" s="76" t="s">
        <v>4493</v>
      </c>
      <c r="C433" s="88" t="s">
        <v>1911</v>
      </c>
      <c r="D433" s="77" t="s">
        <v>595</v>
      </c>
      <c r="E433" s="79" t="s">
        <v>75</v>
      </c>
      <c r="F433" s="80" t="s">
        <v>53</v>
      </c>
      <c r="G433" s="76" t="s">
        <v>4493</v>
      </c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25">
      <c r="A434" s="105" t="s">
        <v>516</v>
      </c>
      <c r="B434" s="76" t="s">
        <v>4494</v>
      </c>
      <c r="C434" s="89" t="s">
        <v>3389</v>
      </c>
      <c r="D434" s="77" t="s">
        <v>595</v>
      </c>
      <c r="E434" s="79" t="s">
        <v>75</v>
      </c>
      <c r="F434" s="80" t="s">
        <v>53</v>
      </c>
      <c r="G434" s="76" t="s">
        <v>4494</v>
      </c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25">
      <c r="A435" s="105" t="s">
        <v>517</v>
      </c>
      <c r="B435" s="76"/>
      <c r="C435" s="77"/>
      <c r="D435" s="77"/>
      <c r="E435" s="79"/>
      <c r="F435" s="80"/>
      <c r="G435" s="76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25">
      <c r="A436" s="105" t="s">
        <v>518</v>
      </c>
      <c r="B436" s="76"/>
      <c r="C436" s="77"/>
      <c r="D436" s="77"/>
      <c r="E436" s="79"/>
      <c r="F436" s="80"/>
      <c r="G436" s="76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25">
      <c r="A437" s="105" t="s">
        <v>519</v>
      </c>
      <c r="B437" s="76"/>
      <c r="C437" s="100"/>
      <c r="D437" s="100"/>
      <c r="E437" s="95"/>
      <c r="F437" s="96"/>
      <c r="G437" s="76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25">
      <c r="A438" s="105" t="s">
        <v>520</v>
      </c>
      <c r="B438" s="76"/>
      <c r="C438" s="101"/>
      <c r="D438" s="101"/>
      <c r="E438" s="102"/>
      <c r="F438" s="103"/>
      <c r="G438" s="76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25">
      <c r="A439" s="105" t="s">
        <v>521</v>
      </c>
      <c r="B439" s="76"/>
      <c r="C439" s="101"/>
      <c r="D439" s="101"/>
      <c r="E439" s="102"/>
      <c r="F439" s="103"/>
      <c r="G439" s="76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25">
      <c r="A440" s="105" t="s">
        <v>522</v>
      </c>
      <c r="B440" s="76"/>
      <c r="C440" s="104"/>
      <c r="D440" s="104"/>
      <c r="E440" s="104"/>
      <c r="F440" s="104"/>
      <c r="G440" s="76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25">
      <c r="A441" s="105" t="s">
        <v>523</v>
      </c>
      <c r="B441" s="99"/>
      <c r="C441" s="106"/>
      <c r="D441" s="106"/>
      <c r="E441" s="106"/>
      <c r="F441" s="106"/>
      <c r="G441" s="9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25">
      <c r="A442" s="105" t="s">
        <v>524</v>
      </c>
      <c r="B442" s="85"/>
      <c r="C442" s="104"/>
      <c r="D442" s="104"/>
      <c r="E442" s="104"/>
      <c r="F442" s="104"/>
      <c r="G442" s="85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25">
      <c r="A443" s="105" t="s">
        <v>525</v>
      </c>
      <c r="B443" s="104"/>
      <c r="C443" s="104"/>
      <c r="D443" s="104"/>
      <c r="E443" s="104"/>
      <c r="F443" s="104"/>
      <c r="G443" s="104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25">
      <c r="A444" s="68"/>
      <c r="B444" s="68"/>
      <c r="C444" s="68"/>
      <c r="D444" s="68"/>
      <c r="E444" s="68"/>
      <c r="F444" s="68"/>
      <c r="G444" s="68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25">
      <c r="A445" s="68"/>
      <c r="B445" s="68"/>
      <c r="C445" s="68"/>
      <c r="D445" s="68"/>
      <c r="E445" s="68"/>
      <c r="F445" s="68"/>
      <c r="G445" s="68"/>
      <c r="H445" s="69"/>
      <c r="I445" s="69"/>
      <c r="J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25">
      <c r="A446" s="68"/>
      <c r="B446" s="68"/>
      <c r="C446" s="68"/>
      <c r="D446" s="68"/>
      <c r="E446" s="68"/>
      <c r="F446" s="68"/>
      <c r="G446" s="68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25">
      <c r="A447" s="68"/>
      <c r="B447" s="68"/>
      <c r="C447" s="68"/>
      <c r="D447" s="68"/>
      <c r="E447" s="68"/>
      <c r="F447" s="68"/>
      <c r="G447" s="68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25">
      <c r="A448" s="68"/>
      <c r="B448" s="68"/>
      <c r="C448" s="68"/>
      <c r="D448" s="68"/>
      <c r="E448" s="68"/>
      <c r="F448" s="68"/>
      <c r="G448" s="68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25">
      <c r="A449" s="68"/>
      <c r="B449" s="68"/>
      <c r="C449" s="68"/>
      <c r="D449" s="68"/>
      <c r="E449" s="68"/>
      <c r="F449" s="68"/>
      <c r="G449" s="68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25">
      <c r="A450" s="68"/>
      <c r="B450" s="68"/>
      <c r="C450" s="68"/>
      <c r="D450" s="68"/>
      <c r="E450" s="68"/>
      <c r="F450" s="68"/>
      <c r="G450" s="68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25">
      <c r="A451" s="68"/>
      <c r="B451" s="68"/>
      <c r="C451" s="68"/>
      <c r="D451" s="68"/>
      <c r="E451" s="68"/>
      <c r="F451" s="68"/>
      <c r="G451" s="68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25">
      <c r="A452" s="68"/>
      <c r="B452" s="68"/>
      <c r="C452" s="68"/>
      <c r="D452" s="68"/>
      <c r="E452" s="68"/>
      <c r="F452" s="68"/>
      <c r="G452" s="68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25">
      <c r="A453" s="68"/>
      <c r="B453" s="68"/>
      <c r="C453" s="68"/>
      <c r="D453" s="68"/>
      <c r="E453" s="68"/>
      <c r="F453" s="68"/>
      <c r="G453" s="68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25">
      <c r="A454" s="68"/>
      <c r="B454" s="68"/>
      <c r="C454" s="68"/>
      <c r="D454" s="68"/>
      <c r="E454" s="68"/>
      <c r="F454" s="68"/>
      <c r="G454" s="68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25">
      <c r="A455" s="68"/>
      <c r="B455" s="68"/>
      <c r="C455" s="68"/>
      <c r="D455" s="68"/>
      <c r="E455" s="68"/>
      <c r="F455" s="68"/>
      <c r="G455" s="68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25">
      <c r="A456" s="68"/>
      <c r="B456" s="68"/>
      <c r="C456" s="68"/>
      <c r="D456" s="68"/>
      <c r="E456" s="68"/>
      <c r="F456" s="68"/>
      <c r="G456" s="68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25">
      <c r="A457" s="68"/>
      <c r="B457" s="68"/>
      <c r="C457" s="68"/>
      <c r="D457" s="68"/>
      <c r="E457" s="68"/>
      <c r="F457" s="68"/>
      <c r="G457" s="68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25">
      <c r="A458" s="68"/>
      <c r="B458" s="68"/>
      <c r="C458" s="68"/>
      <c r="D458" s="68"/>
      <c r="E458" s="68"/>
      <c r="F458" s="68"/>
      <c r="G458" s="68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" customHeight="1" x14ac:dyDescent="0.25">
      <c r="A926" s="69"/>
      <c r="B926" s="69"/>
      <c r="C926" s="69"/>
      <c r="D926" s="69"/>
      <c r="E926" s="69"/>
      <c r="F926" s="69"/>
      <c r="G926" s="69"/>
    </row>
    <row r="927" spans="1:26" ht="15" customHeight="1" x14ac:dyDescent="0.25">
      <c r="C927" s="69"/>
    </row>
  </sheetData>
  <sortState xmlns:xlrd2="http://schemas.microsoft.com/office/spreadsheetml/2017/richdata2" ref="C370:C403">
    <sortCondition ref="C370:C403"/>
  </sortState>
  <mergeCells count="16">
    <mergeCell ref="N10:N13"/>
    <mergeCell ref="O10:O13"/>
    <mergeCell ref="N14:N15"/>
    <mergeCell ref="O14:O15"/>
    <mergeCell ref="I3:I4"/>
    <mergeCell ref="J3:J4"/>
    <mergeCell ref="N3:N4"/>
    <mergeCell ref="O3:O4"/>
    <mergeCell ref="J5:J9"/>
    <mergeCell ref="N5:N9"/>
    <mergeCell ref="O5:O9"/>
    <mergeCell ref="I5:I9"/>
    <mergeCell ref="I10:I13"/>
    <mergeCell ref="J10:J13"/>
    <mergeCell ref="I14:I15"/>
    <mergeCell ref="J14:J15"/>
  </mergeCells>
  <phoneticPr fontId="19" type="noConversion"/>
  <pageMargins left="0.7" right="0.7" top="0.75" bottom="0.75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931"/>
  <sheetViews>
    <sheetView workbookViewId="0">
      <selection activeCell="C417" sqref="C417"/>
    </sheetView>
  </sheetViews>
  <sheetFormatPr defaultColWidth="14.42578125" defaultRowHeight="15" customHeight="1" x14ac:dyDescent="0.25"/>
  <cols>
    <col min="1" max="1" width="6" style="44" customWidth="1"/>
    <col min="2" max="2" width="17" style="44" bestFit="1" customWidth="1"/>
    <col min="3" max="3" width="8.85546875" style="44" bestFit="1" customWidth="1"/>
    <col min="4" max="4" width="45.42578125" style="44" bestFit="1" customWidth="1"/>
    <col min="5" max="5" width="11.5703125" style="44" customWidth="1"/>
    <col min="6" max="6" width="9.140625" style="44" bestFit="1" customWidth="1"/>
    <col min="7" max="7" width="28.42578125" style="44" customWidth="1"/>
    <col min="8" max="8" width="15.5703125" style="44" customWidth="1"/>
    <col min="9" max="9" width="25.140625" style="44" customWidth="1"/>
    <col min="10" max="10" width="8" style="44" bestFit="1" customWidth="1"/>
    <col min="11" max="12" width="17.5703125" style="44" customWidth="1"/>
    <col min="13" max="13" width="36.42578125" style="44" bestFit="1" customWidth="1"/>
    <col min="14" max="14" width="40" style="44" bestFit="1" customWidth="1"/>
    <col min="15" max="15" width="13.85546875" style="44" bestFit="1" customWidth="1"/>
    <col min="16" max="28" width="8.7109375" style="44" customWidth="1"/>
    <col min="29" max="16384" width="14.42578125" style="44"/>
  </cols>
  <sheetData>
    <row r="1" spans="1:15" ht="15.75" x14ac:dyDescent="0.25">
      <c r="A1" s="52" t="s">
        <v>22</v>
      </c>
      <c r="B1" s="52" t="s">
        <v>76</v>
      </c>
      <c r="C1" s="52" t="s">
        <v>46</v>
      </c>
      <c r="D1" s="52" t="s">
        <v>47</v>
      </c>
      <c r="E1" s="52" t="s">
        <v>38</v>
      </c>
      <c r="F1" s="53" t="s">
        <v>49</v>
      </c>
      <c r="G1" s="53" t="s">
        <v>77</v>
      </c>
      <c r="H1" s="53" t="s">
        <v>78</v>
      </c>
      <c r="I1" s="53" t="s">
        <v>79</v>
      </c>
      <c r="J1" s="53" t="s">
        <v>80</v>
      </c>
      <c r="K1" s="53" t="s">
        <v>81</v>
      </c>
      <c r="L1" s="53" t="s">
        <v>82</v>
      </c>
      <c r="M1" s="54" t="s">
        <v>83</v>
      </c>
      <c r="N1" s="55" t="s">
        <v>589</v>
      </c>
      <c r="O1" s="55" t="s">
        <v>590</v>
      </c>
    </row>
    <row r="2" spans="1:15" x14ac:dyDescent="0.25">
      <c r="A2" s="56" t="s">
        <v>84</v>
      </c>
      <c r="B2" s="88" t="s">
        <v>2629</v>
      </c>
      <c r="C2" s="88" t="s">
        <v>4430</v>
      </c>
      <c r="D2" s="88" t="s">
        <v>2630</v>
      </c>
      <c r="E2" s="45" t="str">
        <f>VLOOKUP(D2,Total!$C$2:$D$439,2,0)</f>
        <v>10 RPL 1</v>
      </c>
      <c r="F2" s="45" t="str">
        <f>VLOOKUP(C2,Total!$B$2:$F$439,5,0)</f>
        <v>AKTIF</v>
      </c>
      <c r="G2" s="46" t="str">
        <f>VLOOKUP($B2,master!$B$2:$S$595,16,0)</f>
        <v>089529103240</v>
      </c>
      <c r="H2" s="46" t="str">
        <f>VLOOKUP($B2,master!$B$2:$S$595,17,0)</f>
        <v>089529103240</v>
      </c>
      <c r="I2" s="46" t="str">
        <f>VLOOKUP($B2,master!$B$2:$S$595,8,0)</f>
        <v>MELIKAN LOR</v>
      </c>
      <c r="J2" s="46" t="str">
        <f>VLOOKUP($B2,master!$B$2:$S$595,9,0)</f>
        <v>005</v>
      </c>
      <c r="K2" s="46" t="str">
        <f>VLOOKUP($B2,master!$B$2:$S$595,11,0)</f>
        <v>BANTUL</v>
      </c>
      <c r="L2" s="46" t="str">
        <f>VLOOKUP($B2,master!$B$2:$S$595,12,0)</f>
        <v>BANTUL</v>
      </c>
      <c r="M2" s="57" t="str">
        <f>VLOOKUP($B2,master!$B$2:$S$595,6,0)</f>
        <v>SITI FATIMAH</v>
      </c>
      <c r="N2" s="58" t="str">
        <f>VLOOKUP($B2,master!$B$2:$S$595,15,0)</f>
        <v>SMP N 2 BANTUL</v>
      </c>
      <c r="O2" s="58" t="str">
        <f>VLOOKUP($B2,master!$B$2:$S$595,4,0)</f>
        <v>23-04-2009</v>
      </c>
    </row>
    <row r="3" spans="1:15" x14ac:dyDescent="0.25">
      <c r="A3" s="56" t="s">
        <v>85</v>
      </c>
      <c r="B3" s="88" t="s">
        <v>947</v>
      </c>
      <c r="C3" s="88" t="s">
        <v>4431</v>
      </c>
      <c r="D3" s="88" t="s">
        <v>948</v>
      </c>
      <c r="E3" s="45" t="str">
        <f>VLOOKUP(D3,Total!$C$2:$D$439,2,0)</f>
        <v>10 RPL 1</v>
      </c>
      <c r="F3" s="45" t="str">
        <f>VLOOKUP(C3,Total!$B$2:$F$439,5,0)</f>
        <v>AKTIF</v>
      </c>
      <c r="G3" s="46" t="str">
        <f>VLOOKUP($B3,master!$B$2:$S$595,16,0)</f>
        <v>085664315830</v>
      </c>
      <c r="H3" s="46">
        <f>VLOOKUP($B3,master!$B$2:$S$595,17,0)</f>
        <v>0</v>
      </c>
      <c r="I3" s="46" t="str">
        <f>VLOOKUP($B3,master!$B$2:$S$595,8,0)</f>
        <v>DEPOK</v>
      </c>
      <c r="J3" s="46" t="str">
        <f>VLOOKUP($B3,master!$B$2:$S$595,9,0)</f>
        <v>2</v>
      </c>
      <c r="K3" s="46" t="str">
        <f>VLOOKUP($B3,master!$B$2:$S$595,11,0)</f>
        <v>BANTUL</v>
      </c>
      <c r="L3" s="46" t="str">
        <f>VLOOKUP($B3,master!$B$2:$S$595,12,0)</f>
        <v>BANTUL</v>
      </c>
      <c r="M3" s="46" t="str">
        <f>VLOOKUP($B3,master!$B$2:$S$595,6,0)</f>
        <v>IRHAN</v>
      </c>
      <c r="N3" s="58" t="str">
        <f>VLOOKUP($B3,master!$B$2:$S$595,15,0)</f>
        <v>SMP N 32 OGAN KOMERING ULU</v>
      </c>
      <c r="O3" s="58" t="str">
        <f>VLOOKUP($B3,master!$B$2:$S$595,4,0)</f>
        <v>29-11-2009</v>
      </c>
    </row>
    <row r="4" spans="1:15" x14ac:dyDescent="0.25">
      <c r="A4" s="56" t="s">
        <v>86</v>
      </c>
      <c r="B4" s="88" t="s">
        <v>2921</v>
      </c>
      <c r="C4" s="88" t="s">
        <v>4432</v>
      </c>
      <c r="D4" s="88" t="s">
        <v>2922</v>
      </c>
      <c r="E4" s="45" t="str">
        <f>VLOOKUP(D4,Total!$C$2:$D$439,2,0)</f>
        <v>10 RPL 1</v>
      </c>
      <c r="F4" s="45" t="str">
        <f>VLOOKUP(C4,Total!$B$2:$F$439,5,0)</f>
        <v>AKTIF</v>
      </c>
      <c r="G4" s="46" t="str">
        <f>VLOOKUP($B4,master!$B$2:$S$595,16,0)</f>
        <v>087828484009</v>
      </c>
      <c r="H4" s="46" t="str">
        <f>VLOOKUP($B4,master!$B$2:$S$595,17,0)</f>
        <v>082227750057</v>
      </c>
      <c r="I4" s="46" t="str">
        <f>VLOOKUP($B4,master!$B$2:$S$595,8,0)</f>
        <v>KARANGGAYAM</v>
      </c>
      <c r="J4" s="46" t="str">
        <f>VLOOKUP($B4,master!$B$2:$S$595,9,0)</f>
        <v>6</v>
      </c>
      <c r="K4" s="46" t="str">
        <f>VLOOKUP($B4,master!$B$2:$S$595,11,0)</f>
        <v>BANTUL</v>
      </c>
      <c r="L4" s="46" t="str">
        <f>VLOOKUP($B4,master!$B$2:$S$595,12,0)</f>
        <v>BANTUL</v>
      </c>
      <c r="M4" s="46" t="str">
        <f>VLOOKUP($B4,master!$B$2:$S$595,6,0)</f>
        <v>JANI TRI HARTANTO</v>
      </c>
      <c r="N4" s="58" t="str">
        <f>VLOOKUP($B4,master!$B$2:$S$595,15,0)</f>
        <v>MTS N 4 BANTUL</v>
      </c>
      <c r="O4" s="58" t="str">
        <f>VLOOKUP($B4,master!$B$2:$S$595,4,0)</f>
        <v>12-03-2010</v>
      </c>
    </row>
    <row r="5" spans="1:15" x14ac:dyDescent="0.25">
      <c r="A5" s="56" t="s">
        <v>87</v>
      </c>
      <c r="B5" s="89" t="s">
        <v>3813</v>
      </c>
      <c r="C5" s="88" t="s">
        <v>4433</v>
      </c>
      <c r="D5" s="89" t="s">
        <v>3814</v>
      </c>
      <c r="E5" s="45" t="str">
        <f>VLOOKUP(D5,Total!$C$2:$D$439,2,0)</f>
        <v>10 RPL 1</v>
      </c>
      <c r="F5" s="45" t="str">
        <f>VLOOKUP(C5,Total!$B$2:$F$439,5,0)</f>
        <v>AKTIF</v>
      </c>
      <c r="G5" s="46" t="str">
        <f>VLOOKUP($B5,master!$B$2:$S$595,16,0)</f>
        <v>089649000989</v>
      </c>
      <c r="H5" s="46" t="str">
        <f>VLOOKUP($B5,master!$B$2:$S$595,17,0)</f>
        <v>08999346532</v>
      </c>
      <c r="I5" s="46" t="str">
        <f>VLOOKUP($B5,master!$B$2:$S$595,8,0)</f>
        <v>KWENI</v>
      </c>
      <c r="J5" s="46" t="str">
        <f>VLOOKUP($B5,master!$B$2:$S$595,9,0)</f>
        <v>07</v>
      </c>
      <c r="K5" s="46" t="str">
        <f>VLOOKUP($B5,master!$B$2:$S$595,11,0)</f>
        <v>PANGGUNGHARJO</v>
      </c>
      <c r="L5" s="46" t="str">
        <f>VLOOKUP($B5,master!$B$2:$S$595,12,0)</f>
        <v>SEWON</v>
      </c>
      <c r="M5" s="46" t="str">
        <f>VLOOKUP($B5,master!$B$2:$S$595,6,0)</f>
        <v>MURJIYONO</v>
      </c>
      <c r="N5" s="58" t="str">
        <f>VLOOKUP($B5,master!$B$2:$S$595,15,0)</f>
        <v>SMP N 4 SEWON</v>
      </c>
      <c r="O5" s="58" t="str">
        <f>VLOOKUP($B5,master!$B$2:$S$595,4,0)</f>
        <v>8-07-2009</v>
      </c>
    </row>
    <row r="6" spans="1:15" x14ac:dyDescent="0.25">
      <c r="A6" s="56" t="s">
        <v>88</v>
      </c>
      <c r="B6" s="89" t="s">
        <v>2383</v>
      </c>
      <c r="C6" s="88" t="s">
        <v>4434</v>
      </c>
      <c r="D6" s="89" t="s">
        <v>2384</v>
      </c>
      <c r="E6" s="45" t="str">
        <f>VLOOKUP(D6,Total!$C$2:$D$439,2,0)</f>
        <v>10 RPL 1</v>
      </c>
      <c r="F6" s="45" t="str">
        <f>VLOOKUP(C6,Total!$B$2:$F$439,5,0)</f>
        <v>AKTIF</v>
      </c>
      <c r="G6" s="46" t="str">
        <f>VLOOKUP($B6,master!$B$2:$S$595,16,0)</f>
        <v>082330859929</v>
      </c>
      <c r="H6" s="46" t="str">
        <f>VLOOKUP($B6,master!$B$2:$S$595,17,0)</f>
        <v>0888902876331</v>
      </c>
      <c r="I6" s="46" t="str">
        <f>VLOOKUP($B6,master!$B$2:$S$595,8,0)</f>
        <v>DIRO</v>
      </c>
      <c r="J6" s="46" t="str">
        <f>VLOOKUP($B6,master!$B$2:$S$595,9,0)</f>
        <v>58</v>
      </c>
      <c r="K6" s="46" t="str">
        <f>VLOOKUP($B6,master!$B$2:$S$595,11,0)</f>
        <v>PENDOWOHARJO</v>
      </c>
      <c r="L6" s="46" t="str">
        <f>VLOOKUP($B6,master!$B$2:$S$595,12,0)</f>
        <v>SEWON</v>
      </c>
      <c r="M6" s="46" t="str">
        <f>VLOOKUP($B6,master!$B$2:$S$595,6,0)</f>
        <v>SUMIJO</v>
      </c>
      <c r="N6" s="58" t="str">
        <f>VLOOKUP($B6,master!$B$2:$S$595,15,0)</f>
        <v>SMP MUHAMMADIYAH KASIHAN</v>
      </c>
      <c r="O6" s="58" t="str">
        <f>VLOOKUP($B6,master!$B$2:$S$595,4,0)</f>
        <v>1-09-2009</v>
      </c>
    </row>
    <row r="7" spans="1:15" x14ac:dyDescent="0.25">
      <c r="A7" s="56" t="s">
        <v>89</v>
      </c>
      <c r="B7" s="88" t="s">
        <v>3785</v>
      </c>
      <c r="C7" s="88" t="s">
        <v>4435</v>
      </c>
      <c r="D7" s="88" t="s">
        <v>3786</v>
      </c>
      <c r="E7" s="45" t="str">
        <f>VLOOKUP(D7,Total!$C$2:$D$439,2,0)</f>
        <v>10 RPL 1</v>
      </c>
      <c r="F7" s="45" t="str">
        <f>VLOOKUP(C7,Total!$B$2:$F$439,5,0)</f>
        <v>AKTIF</v>
      </c>
      <c r="G7" s="46" t="str">
        <f>VLOOKUP($B7,master!$B$2:$S$595,16,0)</f>
        <v>081393613004</v>
      </c>
      <c r="H7" s="46" t="str">
        <f>VLOOKUP($B7,master!$B$2:$S$595,17,0)</f>
        <v>0882008133270</v>
      </c>
      <c r="I7" s="46" t="str">
        <f>VLOOKUP($B7,master!$B$2:$S$595,8,0)</f>
        <v>KLATAK</v>
      </c>
      <c r="J7" s="46" t="str">
        <f>VLOOKUP($B7,master!$B$2:$S$595,9,0)</f>
        <v>01</v>
      </c>
      <c r="K7" s="46" t="str">
        <f>VLOOKUP($B7,master!$B$2:$S$595,11,0)</f>
        <v>GADINGSARI</v>
      </c>
      <c r="L7" s="46" t="str">
        <f>VLOOKUP($B7,master!$B$2:$S$595,12,0)</f>
        <v>SANDEN</v>
      </c>
      <c r="M7" s="46" t="str">
        <f>VLOOKUP($B7,master!$B$2:$S$595,6,0)</f>
        <v>ANNA LESTIYANINGSIH</v>
      </c>
      <c r="N7" s="58" t="str">
        <f>VLOOKUP($B7,master!$B$2:$S$595,15,0)</f>
        <v>SMP N 2 PANDAK</v>
      </c>
      <c r="O7" s="58" t="str">
        <f>VLOOKUP($B7,master!$B$2:$S$595,4,0)</f>
        <v>23-07-2010</v>
      </c>
    </row>
    <row r="8" spans="1:15" x14ac:dyDescent="0.25">
      <c r="A8" s="56" t="s">
        <v>90</v>
      </c>
      <c r="B8" s="89" t="s">
        <v>2641</v>
      </c>
      <c r="C8" s="88" t="s">
        <v>4436</v>
      </c>
      <c r="D8" s="89" t="s">
        <v>4513</v>
      </c>
      <c r="E8" s="45" t="str">
        <f>VLOOKUP(D8,Total!$C$2:$D$439,2,0)</f>
        <v>10 RPL 1</v>
      </c>
      <c r="F8" s="45" t="str">
        <f>VLOOKUP(C8,Total!$B$2:$F$439,5,0)</f>
        <v>AKTIF</v>
      </c>
      <c r="G8" s="46" t="str">
        <f>VLOOKUP($B8,master!$B$2:$S$595,16,0)</f>
        <v>08226098194</v>
      </c>
      <c r="H8" s="46" t="str">
        <f>VLOOKUP($B8,master!$B$2:$S$595,17,0)</f>
        <v>083898671034</v>
      </c>
      <c r="I8" s="46" t="str">
        <f>VLOOKUP($B8,master!$B$2:$S$595,8,0)</f>
        <v>TEGAL KRAPYAK</v>
      </c>
      <c r="J8" s="46" t="str">
        <f>VLOOKUP($B8,master!$B$2:$S$595,9,0)</f>
        <v>1</v>
      </c>
      <c r="K8" s="46" t="str">
        <f>VLOOKUP($B8,master!$B$2:$S$595,11,0)</f>
        <v>PANGGUNGHARJO</v>
      </c>
      <c r="L8" s="46" t="str">
        <f>VLOOKUP($B8,master!$B$2:$S$595,12,0)</f>
        <v>SEWON</v>
      </c>
      <c r="M8" s="46" t="str">
        <f>VLOOKUP($B8,master!$B$2:$S$595,6,0)</f>
        <v>M. Rizal Wahyudi</v>
      </c>
      <c r="N8" s="58" t="str">
        <f>VLOOKUP($B8,master!$B$2:$S$595,15,0)</f>
        <v>MTS N 2 INDRAGIRI HILIR</v>
      </c>
      <c r="O8" s="58" t="str">
        <f>VLOOKUP($B8,master!$B$2:$S$595,4,0)</f>
        <v>4-01-2010</v>
      </c>
    </row>
    <row r="9" spans="1:15" x14ac:dyDescent="0.25">
      <c r="A9" s="56" t="s">
        <v>91</v>
      </c>
      <c r="B9" s="65" t="s">
        <v>4045</v>
      </c>
      <c r="C9" s="88" t="s">
        <v>4437</v>
      </c>
      <c r="D9" s="65" t="s">
        <v>4046</v>
      </c>
      <c r="E9" s="45" t="str">
        <f>VLOOKUP(D9,Total!$C$2:$D$439,2,0)</f>
        <v>10 RPL 1</v>
      </c>
      <c r="F9" s="45" t="str">
        <f>VLOOKUP(C9,Total!$B$2:$F$439,5,0)</f>
        <v>AKTIF</v>
      </c>
      <c r="G9" s="46" t="str">
        <f>VLOOKUP($B9,master!$B$2:$S$595,16,0)</f>
        <v>081999901059</v>
      </c>
      <c r="H9" s="46" t="str">
        <f>VLOOKUP($B9,master!$B$2:$S$595,17,0)</f>
        <v>081999901059</v>
      </c>
      <c r="I9" s="46" t="str">
        <f>VLOOKUP($B9,master!$B$2:$S$595,8,0)</f>
        <v>PECIRO</v>
      </c>
      <c r="J9" s="46" t="str">
        <f>VLOOKUP($B9,master!$B$2:$S$595,9,0)</f>
        <v>2</v>
      </c>
      <c r="K9" s="46" t="str">
        <f>VLOOKUP($B9,master!$B$2:$S$595,11,0)</f>
        <v>MURTIGADING</v>
      </c>
      <c r="L9" s="46" t="str">
        <f>VLOOKUP($B9,master!$B$2:$S$595,12,0)</f>
        <v>SANDEN</v>
      </c>
      <c r="M9" s="46" t="str">
        <f>VLOOKUP($B9,master!$B$2:$S$595,6,0)</f>
        <v>SUDARYANTO</v>
      </c>
      <c r="N9" s="58" t="str">
        <f>VLOOKUP($B9,master!$B$2:$S$595,15,0)</f>
        <v>MTS AL IHSAN</v>
      </c>
      <c r="O9" s="58" t="str">
        <f>VLOOKUP($B9,master!$B$2:$S$595,4,0)</f>
        <v>8-10-2009</v>
      </c>
    </row>
    <row r="10" spans="1:15" x14ac:dyDescent="0.25">
      <c r="A10" s="56" t="s">
        <v>92</v>
      </c>
      <c r="B10" s="88" t="s">
        <v>1999</v>
      </c>
      <c r="C10" s="88" t="s">
        <v>4438</v>
      </c>
      <c r="D10" s="88" t="s">
        <v>2000</v>
      </c>
      <c r="E10" s="45" t="str">
        <f>VLOOKUP(D10,Total!$C$2:$D$439,2,0)</f>
        <v>10 RPL 1</v>
      </c>
      <c r="F10" s="45" t="str">
        <f>VLOOKUP(C10,Total!$B$2:$F$439,5,0)</f>
        <v>AKTIF</v>
      </c>
      <c r="G10" s="46" t="str">
        <f>VLOOKUP($B10,master!$B$2:$S$595,16,0)</f>
        <v>081224722212</v>
      </c>
      <c r="H10" s="46" t="str">
        <f>VLOOKUP($B10,master!$B$2:$S$595,17,0)</f>
        <v>088227288627</v>
      </c>
      <c r="I10" s="46" t="str">
        <f>VLOOKUP($B10,master!$B$2:$S$595,8,0)</f>
        <v>SELO</v>
      </c>
      <c r="J10" s="46" t="str">
        <f>VLOOKUP($B10,master!$B$2:$S$595,9,0)</f>
        <v>1</v>
      </c>
      <c r="K10" s="46" t="str">
        <f>VLOOKUP($B10,master!$B$2:$S$595,11,0)</f>
        <v>SIDOMULYO</v>
      </c>
      <c r="L10" s="46" t="str">
        <f>VLOOKUP($B10,master!$B$2:$S$595,12,0)</f>
        <v>BAMBANGLIPURO</v>
      </c>
      <c r="M10" s="46" t="str">
        <f>VLOOKUP($B10,master!$B$2:$S$595,6,0)</f>
        <v>SARDJIMAN</v>
      </c>
      <c r="N10" s="58" t="str">
        <f>VLOOKUP($B10,master!$B$2:$S$595,15,0)</f>
        <v>SMP N 1 BAMBANGLIPURO</v>
      </c>
      <c r="O10" s="58" t="str">
        <f>VLOOKUP($B10,master!$B$2:$S$595,4,0)</f>
        <v>26-11-2009</v>
      </c>
    </row>
    <row r="11" spans="1:15" x14ac:dyDescent="0.25">
      <c r="A11" s="56" t="s">
        <v>93</v>
      </c>
      <c r="B11" s="89" t="s">
        <v>3372</v>
      </c>
      <c r="C11" s="88" t="s">
        <v>4439</v>
      </c>
      <c r="D11" s="89" t="s">
        <v>3373</v>
      </c>
      <c r="E11" s="45" t="str">
        <f>VLOOKUP(D11,Total!$C$2:$D$439,2,0)</f>
        <v>10 RPL 1</v>
      </c>
      <c r="F11" s="45" t="str">
        <f>VLOOKUP(C11,Total!$B$2:$F$439,5,0)</f>
        <v>AKTIF</v>
      </c>
      <c r="G11" s="46" t="str">
        <f>VLOOKUP($B11,master!$B$2:$S$595,16,0)</f>
        <v>088227697511</v>
      </c>
      <c r="H11" s="46" t="str">
        <f>VLOOKUP($B11,master!$B$2:$S$595,17,0)</f>
        <v>0882006702312</v>
      </c>
      <c r="I11" s="46" t="str">
        <f>VLOOKUP($B11,master!$B$2:$S$595,8,0)</f>
        <v>MANDING</v>
      </c>
      <c r="J11" s="46" t="str">
        <f>VLOOKUP($B11,master!$B$2:$S$595,9,0)</f>
        <v>08</v>
      </c>
      <c r="K11" s="46" t="str">
        <f>VLOOKUP($B11,master!$B$2:$S$595,11,0)</f>
        <v>TRIRENGGO</v>
      </c>
      <c r="L11" s="46" t="str">
        <f>VLOOKUP($B11,master!$B$2:$S$595,12,0)</f>
        <v>BANTUL</v>
      </c>
      <c r="M11" s="46" t="str">
        <f>VLOOKUP($B11,master!$B$2:$S$595,6,0)</f>
        <v>RIRIN HARIANY</v>
      </c>
      <c r="N11" s="58" t="str">
        <f>VLOOKUP($B11,master!$B$2:$S$595,15,0)</f>
        <v>SMP N 3 BANTUL</v>
      </c>
      <c r="O11" s="58" t="str">
        <f>VLOOKUP($B11,master!$B$2:$S$595,4,0)</f>
        <v>25-12-2009</v>
      </c>
    </row>
    <row r="12" spans="1:15" x14ac:dyDescent="0.25">
      <c r="A12" s="56" t="s">
        <v>94</v>
      </c>
      <c r="B12" s="88" t="s">
        <v>3243</v>
      </c>
      <c r="C12" s="88" t="s">
        <v>4440</v>
      </c>
      <c r="D12" s="88" t="s">
        <v>3244</v>
      </c>
      <c r="E12" s="45" t="str">
        <f>VLOOKUP(D12,Total!$C$2:$D$439,2,0)</f>
        <v>10 RPL 1</v>
      </c>
      <c r="F12" s="45" t="str">
        <f>VLOOKUP(C12,Total!$B$2:$F$439,5,0)</f>
        <v>AKTIF</v>
      </c>
      <c r="G12" s="46" t="str">
        <f>VLOOKUP($B12,master!$B$2:$S$595,16,0)</f>
        <v>085727256311</v>
      </c>
      <c r="H12" s="46" t="str">
        <f>VLOOKUP($B12,master!$B$2:$S$595,17,0)</f>
        <v>085727256311</v>
      </c>
      <c r="I12" s="46" t="str">
        <f>VLOOKUP($B12,master!$B$2:$S$595,8,0)</f>
        <v>KARANGTALUN</v>
      </c>
      <c r="J12" s="46" t="str">
        <f>VLOOKUP($B12,master!$B$2:$S$595,9,0)</f>
        <v>08</v>
      </c>
      <c r="K12" s="46" t="str">
        <f>VLOOKUP($B12,master!$B$2:$S$595,11,0)</f>
        <v>WUKIRSARI</v>
      </c>
      <c r="L12" s="46" t="str">
        <f>VLOOKUP($B12,master!$B$2:$S$595,12,0)</f>
        <v>IMOGIRI</v>
      </c>
      <c r="M12" s="46" t="str">
        <f>VLOOKUP($B12,master!$B$2:$S$595,6,0)</f>
        <v>JAIMAN</v>
      </c>
      <c r="N12" s="58" t="str">
        <f>VLOOKUP($B12,master!$B$2:$S$595,15,0)</f>
        <v>SMP N 1 IMOGIRI</v>
      </c>
      <c r="O12" s="58" t="str">
        <f>VLOOKUP($B12,master!$B$2:$S$595,4,0)</f>
        <v>17-01-2008</v>
      </c>
    </row>
    <row r="13" spans="1:15" x14ac:dyDescent="0.25">
      <c r="A13" s="56" t="s">
        <v>95</v>
      </c>
      <c r="B13" s="88" t="s">
        <v>2205</v>
      </c>
      <c r="C13" s="88" t="s">
        <v>4441</v>
      </c>
      <c r="D13" s="88" t="s">
        <v>2206</v>
      </c>
      <c r="E13" s="45" t="str">
        <f>VLOOKUP(D13,Total!$C$2:$D$439,2,0)</f>
        <v>10 RPL 1</v>
      </c>
      <c r="F13" s="45" t="str">
        <f>VLOOKUP(C13,Total!$B$2:$F$439,5,0)</f>
        <v>AKTIF</v>
      </c>
      <c r="G13" s="46" t="str">
        <f>VLOOKUP($B13,master!$B$2:$S$595,16,0)</f>
        <v>087774777776</v>
      </c>
      <c r="H13" s="46" t="str">
        <f>VLOOKUP($B13,master!$B$2:$S$595,17,0)</f>
        <v>081390592350</v>
      </c>
      <c r="I13" s="46" t="str">
        <f>VLOOKUP($B13,master!$B$2:$S$595,8,0)</f>
        <v>JAGAN</v>
      </c>
      <c r="J13" s="46" t="str">
        <f>VLOOKUP($B13,master!$B$2:$S$595,9,0)</f>
        <v>04</v>
      </c>
      <c r="K13" s="46" t="str">
        <f>VLOOKUP($B13,master!$B$2:$S$595,11,0)</f>
        <v>BANGUNJIWO</v>
      </c>
      <c r="L13" s="46" t="str">
        <f>VLOOKUP($B13,master!$B$2:$S$595,12,0)</f>
        <v>KASIHAN</v>
      </c>
      <c r="M13" s="46" t="str">
        <f>VLOOKUP($B13,master!$B$2:$S$595,6,0)</f>
        <v>Aris Setiawan</v>
      </c>
      <c r="N13" s="58" t="str">
        <f>VLOOKUP($B13,master!$B$2:$S$595,15,0)</f>
        <v>SMP MUHAMMADIYAH BANTUL</v>
      </c>
      <c r="O13" s="58" t="str">
        <f>VLOOKUP($B13,master!$B$2:$S$595,4,0)</f>
        <v>14-03-2009</v>
      </c>
    </row>
    <row r="14" spans="1:15" x14ac:dyDescent="0.25">
      <c r="A14" s="56" t="s">
        <v>96</v>
      </c>
      <c r="B14" s="89" t="s">
        <v>2722</v>
      </c>
      <c r="C14" s="88" t="s">
        <v>4442</v>
      </c>
      <c r="D14" s="89" t="s">
        <v>2723</v>
      </c>
      <c r="E14" s="45" t="str">
        <f>VLOOKUP(D14,Total!$C$2:$D$439,2,0)</f>
        <v>10 RPL 1</v>
      </c>
      <c r="F14" s="45" t="str">
        <f>VLOOKUP(C14,Total!$B$2:$F$439,5,0)</f>
        <v>AKTIF</v>
      </c>
      <c r="G14" s="46" t="str">
        <f>VLOOKUP($B14,master!$B$2:$S$595,16,0)</f>
        <v>082325635409</v>
      </c>
      <c r="H14" s="46" t="str">
        <f>VLOOKUP($B14,master!$B$2:$S$595,17,0)</f>
        <v>083821996975</v>
      </c>
      <c r="I14" s="46" t="str">
        <f>VLOOKUP($B14,master!$B$2:$S$595,8,0)</f>
        <v>LOPATI</v>
      </c>
      <c r="J14" s="46" t="str">
        <f>VLOOKUP($B14,master!$B$2:$S$595,9,0)</f>
        <v>92</v>
      </c>
      <c r="K14" s="46" t="str">
        <f>VLOOKUP($B14,master!$B$2:$S$595,11,0)</f>
        <v>TRIMURTI</v>
      </c>
      <c r="L14" s="46" t="str">
        <f>VLOOKUP($B14,master!$B$2:$S$595,12,0)</f>
        <v>SRANDAKAN</v>
      </c>
      <c r="M14" s="46" t="str">
        <f>VLOOKUP($B14,master!$B$2:$S$595,6,0)</f>
        <v>FATONAH</v>
      </c>
      <c r="N14" s="58" t="str">
        <f>VLOOKUP($B14,master!$B$2:$S$595,15,0)</f>
        <v>SMP MUHAMMADIYAH 2 GALUR</v>
      </c>
      <c r="O14" s="58" t="str">
        <f>VLOOKUP($B14,master!$B$2:$S$595,4,0)</f>
        <v>27-02-2010</v>
      </c>
    </row>
    <row r="15" spans="1:15" x14ac:dyDescent="0.25">
      <c r="A15" s="56" t="s">
        <v>97</v>
      </c>
      <c r="B15" s="89" t="s">
        <v>3505</v>
      </c>
      <c r="C15" s="88" t="s">
        <v>4443</v>
      </c>
      <c r="D15" s="89" t="s">
        <v>3506</v>
      </c>
      <c r="E15" s="45" t="str">
        <f>VLOOKUP(D15,Total!$C$2:$D$439,2,0)</f>
        <v>10 RPL 1</v>
      </c>
      <c r="F15" s="45" t="str">
        <f>VLOOKUP(C15,Total!$B$2:$F$439,5,0)</f>
        <v>AKTIF</v>
      </c>
      <c r="G15" s="46" t="str">
        <f>VLOOKUP($B15,master!$B$2:$S$595,16,0)</f>
        <v>085877149002</v>
      </c>
      <c r="H15" s="46" t="str">
        <f>VLOOKUP($B15,master!$B$2:$S$595,17,0)</f>
        <v>089518093684</v>
      </c>
      <c r="I15" s="46" t="str">
        <f>VLOOKUP($B15,master!$B$2:$S$595,8,0)</f>
        <v>CEPOR LOR</v>
      </c>
      <c r="J15" s="46" t="str">
        <f>VLOOKUP($B15,master!$B$2:$S$595,9,0)</f>
        <v>2</v>
      </c>
      <c r="K15" s="46" t="str">
        <f>VLOOKUP($B15,master!$B$2:$S$595,11,0)</f>
        <v>PALBAPANG</v>
      </c>
      <c r="L15" s="46" t="str">
        <f>VLOOKUP($B15,master!$B$2:$S$595,12,0)</f>
        <v>BANTUL</v>
      </c>
      <c r="M15" s="46" t="str">
        <f>VLOOKUP($B15,master!$B$2:$S$595,6,0)</f>
        <v>KURNIA SUSANTI</v>
      </c>
      <c r="N15" s="58" t="str">
        <f>VLOOKUP($B15,master!$B$2:$S$595,15,0)</f>
        <v>MTS N 4 BANTUL</v>
      </c>
      <c r="O15" s="58" t="str">
        <f>VLOOKUP($B15,master!$B$2:$S$595,4,0)</f>
        <v>28-03-2010</v>
      </c>
    </row>
    <row r="16" spans="1:15" x14ac:dyDescent="0.25">
      <c r="A16" s="56" t="s">
        <v>98</v>
      </c>
      <c r="B16" s="88" t="s">
        <v>2938</v>
      </c>
      <c r="C16" s="88" t="s">
        <v>4444</v>
      </c>
      <c r="D16" s="88" t="s">
        <v>2939</v>
      </c>
      <c r="E16" s="45" t="str">
        <f>VLOOKUP(D16,Total!$C$2:$D$439,2,0)</f>
        <v>10 RPL 1</v>
      </c>
      <c r="F16" s="45" t="str">
        <f>VLOOKUP(C16,Total!$B$2:$F$439,5,0)</f>
        <v>AKTIF</v>
      </c>
      <c r="G16" s="46" t="str">
        <f>VLOOKUP($B16,master!$B$2:$S$595,16,0)</f>
        <v>081390388838</v>
      </c>
      <c r="H16" s="46" t="str">
        <f>VLOOKUP($B16,master!$B$2:$S$595,17,0)</f>
        <v>085643773446</v>
      </c>
      <c r="I16" s="46" t="str">
        <f>VLOOKUP($B16,master!$B$2:$S$595,8,0)</f>
        <v>CODE</v>
      </c>
      <c r="J16" s="46" t="str">
        <f>VLOOKUP($B16,master!$B$2:$S$595,9,0)</f>
        <v>5</v>
      </c>
      <c r="K16" s="46" t="str">
        <f>VLOOKUP($B16,master!$B$2:$S$595,11,0)</f>
        <v>TRIRENGGO</v>
      </c>
      <c r="L16" s="46" t="str">
        <f>VLOOKUP($B16,master!$B$2:$S$595,12,0)</f>
        <v>BANTUL</v>
      </c>
      <c r="M16" s="46" t="str">
        <f>VLOOKUP($B16,master!$B$2:$S$595,6,0)</f>
        <v>MUSA ABDILAH</v>
      </c>
      <c r="N16" s="58" t="str">
        <f>VLOOKUP($B16,master!$B$2:$S$595,15,0)</f>
        <v>MTS N 4 BANTUL</v>
      </c>
      <c r="O16" s="58" t="str">
        <f>VLOOKUP($B16,master!$B$2:$S$595,4,0)</f>
        <v>4-10-2009</v>
      </c>
    </row>
    <row r="17" spans="1:15" x14ac:dyDescent="0.25">
      <c r="A17" s="56" t="s">
        <v>99</v>
      </c>
      <c r="B17" s="88" t="s">
        <v>3720</v>
      </c>
      <c r="C17" s="88" t="s">
        <v>4445</v>
      </c>
      <c r="D17" s="88" t="s">
        <v>3721</v>
      </c>
      <c r="E17" s="45" t="str">
        <f>VLOOKUP(D17,Total!$C$2:$D$439,2,0)</f>
        <v>10 RPL 1</v>
      </c>
      <c r="F17" s="45" t="str">
        <f>VLOOKUP(C17,Total!$B$2:$F$439,5,0)</f>
        <v>AKTIF</v>
      </c>
      <c r="G17" s="46" t="str">
        <f>VLOOKUP($B17,master!$B$2:$S$595,16,0)</f>
        <v>08122751801</v>
      </c>
      <c r="H17" s="46" t="str">
        <f>VLOOKUP($B17,master!$B$2:$S$595,17,0)</f>
        <v>089663255407</v>
      </c>
      <c r="I17" s="46" t="str">
        <f>VLOOKUP($B17,master!$B$2:$S$595,8,0)</f>
        <v>PIRING</v>
      </c>
      <c r="J17" s="46" t="str">
        <f>VLOOKUP($B17,master!$B$2:$S$595,9,0)</f>
        <v>04</v>
      </c>
      <c r="K17" s="46" t="str">
        <f>VLOOKUP($B17,master!$B$2:$S$595,11,0)</f>
        <v>SRIHARDONO</v>
      </c>
      <c r="L17" s="46" t="str">
        <f>VLOOKUP($B17,master!$B$2:$S$595,12,0)</f>
        <v>PUNDONG</v>
      </c>
      <c r="M17" s="46" t="str">
        <f>VLOOKUP($B17,master!$B$2:$S$595,6,0)</f>
        <v>BARIMAN</v>
      </c>
      <c r="N17" s="58" t="str">
        <f>VLOOKUP($B17,master!$B$2:$S$595,15,0)</f>
        <v>SMP N 2 PUNDONG</v>
      </c>
      <c r="O17" s="58" t="str">
        <f>VLOOKUP($B17,master!$B$2:$S$595,4,0)</f>
        <v>6-06-2009</v>
      </c>
    </row>
    <row r="18" spans="1:15" x14ac:dyDescent="0.25">
      <c r="A18" s="56" t="s">
        <v>100</v>
      </c>
      <c r="B18" s="88" t="s">
        <v>2944</v>
      </c>
      <c r="C18" s="88" t="s">
        <v>4446</v>
      </c>
      <c r="D18" s="88" t="s">
        <v>4520</v>
      </c>
      <c r="E18" s="45" t="str">
        <f>VLOOKUP(D18,Total!$C$2:$D$439,2,0)</f>
        <v>10 RPL 1</v>
      </c>
      <c r="F18" s="45" t="str">
        <f>VLOOKUP(C18,Total!$B$2:$F$439,5,0)</f>
        <v>AKTIF</v>
      </c>
      <c r="G18" s="46" t="str">
        <f>VLOOKUP($B18,master!$B$2:$S$595,16,0)</f>
        <v>083876347346</v>
      </c>
      <c r="H18" s="46" t="str">
        <f>VLOOKUP($B18,master!$B$2:$S$595,17,0)</f>
        <v>083155722569</v>
      </c>
      <c r="I18" s="46" t="str">
        <f>VLOOKUP($B18,master!$B$2:$S$595,8,0)</f>
        <v>NOGOSARI I</v>
      </c>
      <c r="J18" s="46" t="str">
        <f>VLOOKUP($B18,master!$B$2:$S$595,9,0)</f>
        <v>4</v>
      </c>
      <c r="K18" s="46" t="str">
        <f>VLOOKUP($B18,master!$B$2:$S$595,11,0)</f>
        <v>WUKIRSARI</v>
      </c>
      <c r="L18" s="46" t="str">
        <f>VLOOKUP($B18,master!$B$2:$S$595,12,0)</f>
        <v>IMOGIRI</v>
      </c>
      <c r="M18" s="46" t="str">
        <f>VLOOKUP($B18,master!$B$2:$S$595,6,0)</f>
        <v>SUPOMO</v>
      </c>
      <c r="N18" s="58" t="str">
        <f>VLOOKUP($B18,master!$B$2:$S$595,15,0)</f>
        <v>SMP MUHAMMADIYAH IMOGIRI</v>
      </c>
      <c r="O18" s="58" t="str">
        <f>VLOOKUP($B18,master!$B$2:$S$595,4,0)</f>
        <v>7-11-2009</v>
      </c>
    </row>
    <row r="19" spans="1:15" x14ac:dyDescent="0.25">
      <c r="A19" s="56" t="s">
        <v>101</v>
      </c>
      <c r="B19" s="88" t="s">
        <v>1433</v>
      </c>
      <c r="C19" s="88" t="s">
        <v>4447</v>
      </c>
      <c r="D19" s="88" t="s">
        <v>1434</v>
      </c>
      <c r="E19" s="45" t="str">
        <f>VLOOKUP(D19,Total!$C$2:$D$439,2,0)</f>
        <v>10 RPL 1</v>
      </c>
      <c r="F19" s="45" t="str">
        <f>VLOOKUP(C19,Total!$B$2:$F$439,5,0)</f>
        <v>AKTIF</v>
      </c>
      <c r="G19" s="46" t="str">
        <f>VLOOKUP($B19,master!$B$2:$S$595,16,0)</f>
        <v>085865703546</v>
      </c>
      <c r="H19" s="46" t="str">
        <f>VLOOKUP($B19,master!$B$2:$S$595,17,0)</f>
        <v>085865703546</v>
      </c>
      <c r="I19" s="46" t="str">
        <f>VLOOKUP($B19,master!$B$2:$S$595,8,0)</f>
        <v>BOGORAN</v>
      </c>
      <c r="J19" s="46" t="str">
        <f>VLOOKUP($B19,master!$B$2:$S$595,9,0)</f>
        <v>1</v>
      </c>
      <c r="K19" s="46" t="str">
        <f>VLOOKUP($B19,master!$B$2:$S$595,11,0)</f>
        <v>TRIRENGGO</v>
      </c>
      <c r="L19" s="46" t="str">
        <f>VLOOKUP($B19,master!$B$2:$S$595,12,0)</f>
        <v>BANTUL</v>
      </c>
      <c r="M19" s="46" t="str">
        <f>VLOOKUP($B19,master!$B$2:$S$595,6,0)</f>
        <v>SUDIYONO</v>
      </c>
      <c r="N19" s="58" t="str">
        <f>VLOOKUP($B19,master!$B$2:$S$595,15,0)</f>
        <v>MTS N 4 BANTUL</v>
      </c>
      <c r="O19" s="58" t="str">
        <f>VLOOKUP($B19,master!$B$2:$S$595,4,0)</f>
        <v>19-04-2009</v>
      </c>
    </row>
    <row r="20" spans="1:15" x14ac:dyDescent="0.25">
      <c r="A20" s="56" t="s">
        <v>102</v>
      </c>
      <c r="B20" s="88" t="s">
        <v>2671</v>
      </c>
      <c r="C20" s="88" t="s">
        <v>4448</v>
      </c>
      <c r="D20" s="88" t="s">
        <v>2672</v>
      </c>
      <c r="E20" s="45" t="str">
        <f>VLOOKUP(D20,Total!$C$2:$D$439,2,0)</f>
        <v>10 RPL 1</v>
      </c>
      <c r="F20" s="45" t="str">
        <f>VLOOKUP(C20,Total!$B$2:$F$439,5,0)</f>
        <v>AKTIF</v>
      </c>
      <c r="G20" s="46" t="str">
        <f>VLOOKUP($B20,master!$B$2:$S$595,16,0)</f>
        <v>082181850381</v>
      </c>
      <c r="H20" s="46" t="str">
        <f>VLOOKUP($B20,master!$B$2:$S$595,17,0)</f>
        <v>088272464289</v>
      </c>
      <c r="I20" s="46" t="str">
        <f>VLOOKUP($B20,master!$B$2:$S$595,8,0)</f>
        <v>MANDING GANDEKAN</v>
      </c>
      <c r="J20" s="46" t="str">
        <f>VLOOKUP($B20,master!$B$2:$S$595,9,0)</f>
        <v>3</v>
      </c>
      <c r="K20" s="46" t="str">
        <f>VLOOKUP($B20,master!$B$2:$S$595,11,0)</f>
        <v>TRIRENGGO</v>
      </c>
      <c r="L20" s="46" t="str">
        <f>VLOOKUP($B20,master!$B$2:$S$595,12,0)</f>
        <v>BANTUL</v>
      </c>
      <c r="M20" s="46" t="str">
        <f>VLOOKUP($B20,master!$B$2:$S$595,6,0)</f>
        <v>TRI RAHMANTO</v>
      </c>
      <c r="N20" s="58" t="str">
        <f>VLOOKUP($B20,master!$B$2:$S$595,15,0)</f>
        <v>SMP MUHAMMADIYAH BANTUL</v>
      </c>
      <c r="O20" s="58" t="str">
        <f>VLOOKUP($B20,master!$B$2:$S$595,4,0)</f>
        <v>27-07-2010</v>
      </c>
    </row>
    <row r="21" spans="1:15" x14ac:dyDescent="0.25">
      <c r="A21" s="56" t="s">
        <v>103</v>
      </c>
      <c r="B21" s="89" t="s">
        <v>3440</v>
      </c>
      <c r="C21" s="88" t="s">
        <v>4449</v>
      </c>
      <c r="D21" s="89" t="s">
        <v>3441</v>
      </c>
      <c r="E21" s="45" t="str">
        <f>VLOOKUP(D21,Total!$C$2:$D$439,2,0)</f>
        <v>10 RPL 1</v>
      </c>
      <c r="F21" s="45" t="str">
        <f>VLOOKUP(C21,Total!$B$2:$F$439,5,0)</f>
        <v>AKTIF</v>
      </c>
      <c r="G21" s="46" t="str">
        <f>VLOOKUP($B21,master!$B$2:$S$595,16,0)</f>
        <v>0895392375483</v>
      </c>
      <c r="H21" s="46" t="str">
        <f>VLOOKUP($B21,master!$B$2:$S$595,17,0)</f>
        <v>0895392375483</v>
      </c>
      <c r="I21" s="46" t="str">
        <f>VLOOKUP($B21,master!$B$2:$S$595,8,0)</f>
        <v>TRAYEMAN</v>
      </c>
      <c r="J21" s="46" t="str">
        <f>VLOOKUP($B21,master!$B$2:$S$595,9,0)</f>
        <v>004</v>
      </c>
      <c r="K21" s="46" t="str">
        <f>VLOOKUP($B21,master!$B$2:$S$595,11,0)</f>
        <v>PLERET</v>
      </c>
      <c r="L21" s="46" t="str">
        <f>VLOOKUP($B21,master!$B$2:$S$595,12,0)</f>
        <v>PLERET</v>
      </c>
      <c r="M21" s="46" t="str">
        <f>VLOOKUP($B21,master!$B$2:$S$595,6,0)</f>
        <v>ENDRIANA RINA SARI</v>
      </c>
      <c r="N21" s="58" t="str">
        <f>VLOOKUP($B21,master!$B$2:$S$595,15,0)</f>
        <v>SMP MUHAMMADIYAH PLERET</v>
      </c>
      <c r="O21" s="58" t="str">
        <f>VLOOKUP($B21,master!$B$2:$S$595,4,0)</f>
        <v>1-09-2009</v>
      </c>
    </row>
    <row r="22" spans="1:15" x14ac:dyDescent="0.25">
      <c r="A22" s="56" t="s">
        <v>104</v>
      </c>
      <c r="B22" s="90" t="s">
        <v>3407</v>
      </c>
      <c r="C22" s="88" t="s">
        <v>4450</v>
      </c>
      <c r="D22" s="90" t="s">
        <v>3408</v>
      </c>
      <c r="E22" s="45" t="str">
        <f>VLOOKUP(D22,Total!$C$2:$D$439,2,0)</f>
        <v>10 RPL 1</v>
      </c>
      <c r="F22" s="45" t="str">
        <f>VLOOKUP(C22,Total!$B$2:$F$439,5,0)</f>
        <v>AKTIF</v>
      </c>
      <c r="G22" s="46" t="str">
        <f>VLOOKUP($B22,master!$B$2:$S$595,16,0)</f>
        <v>085101434794</v>
      </c>
      <c r="H22" s="46" t="str">
        <f>VLOOKUP($B22,master!$B$2:$S$595,17,0)</f>
        <v>085101434794</v>
      </c>
      <c r="I22" s="46" t="str">
        <f>VLOOKUP($B22,master!$B$2:$S$595,8,0)</f>
        <v>TINGAS</v>
      </c>
      <c r="J22" s="46" t="str">
        <f>VLOOKUP($B22,master!$B$2:$S$595,9,0)</f>
        <v>6</v>
      </c>
      <c r="K22" s="46" t="str">
        <f>VLOOKUP($B22,master!$B$2:$S$595,11,0)</f>
        <v>SUMBERMULYO</v>
      </c>
      <c r="L22" s="46" t="str">
        <f>VLOOKUP($B22,master!$B$2:$S$595,12,0)</f>
        <v>BAMBANGLIPURO</v>
      </c>
      <c r="M22" s="46" t="str">
        <f>VLOOKUP($B22,master!$B$2:$S$595,6,0)</f>
        <v>Mugiyanto/Suprapti</v>
      </c>
      <c r="N22" s="58" t="str">
        <f>VLOOKUP($B22,master!$B$2:$S$595,15,0)</f>
        <v>SMP UNGGULAN AISYIYAH</v>
      </c>
      <c r="O22" s="58" t="str">
        <f>VLOOKUP($B22,master!$B$2:$S$595,4,0)</f>
        <v>19-11-2010</v>
      </c>
    </row>
    <row r="23" spans="1:15" ht="15.75" customHeight="1" x14ac:dyDescent="0.25">
      <c r="A23" s="56" t="s">
        <v>105</v>
      </c>
      <c r="B23" s="88" t="s">
        <v>1197</v>
      </c>
      <c r="C23" s="88" t="s">
        <v>4451</v>
      </c>
      <c r="D23" s="88" t="s">
        <v>1198</v>
      </c>
      <c r="E23" s="45" t="str">
        <f>VLOOKUP(D23,Total!$C$2:$D$439,2,0)</f>
        <v>10 RPL 1</v>
      </c>
      <c r="F23" s="45" t="str">
        <f>VLOOKUP(C23,Total!$B$2:$F$439,5,0)</f>
        <v>AKTIF</v>
      </c>
      <c r="G23" s="46" t="str">
        <f>VLOOKUP($B23,master!$B$2:$S$595,16,0)</f>
        <v>-</v>
      </c>
      <c r="H23" s="46" t="str">
        <f>VLOOKUP($B23,master!$B$2:$S$595,17,0)</f>
        <v>085842337308</v>
      </c>
      <c r="I23" s="46" t="str">
        <f>VLOOKUP($B23,master!$B$2:$S$595,8,0)</f>
        <v>DERESAN</v>
      </c>
      <c r="J23" s="46" t="str">
        <f>VLOOKUP($B23,master!$B$2:$S$595,9,0)</f>
        <v>6</v>
      </c>
      <c r="K23" s="46" t="str">
        <f>VLOOKUP($B23,master!$B$2:$S$595,11,0)</f>
        <v>RINGINHARJO</v>
      </c>
      <c r="L23" s="46" t="str">
        <f>VLOOKUP($B23,master!$B$2:$S$595,12,0)</f>
        <v>BANTUL</v>
      </c>
      <c r="M23" s="46" t="str">
        <f>VLOOKUP($B23,master!$B$2:$S$595,6,0)</f>
        <v>AGUS ARI PURWANTO</v>
      </c>
      <c r="N23" s="58" t="str">
        <f>VLOOKUP($B23,master!$B$2:$S$595,15,0)</f>
        <v>SMP N 2 BANTUL</v>
      </c>
      <c r="O23" s="58" t="str">
        <f>VLOOKUP($B23,master!$B$2:$S$595,4,0)</f>
        <v>31-12-2009</v>
      </c>
    </row>
    <row r="24" spans="1:15" ht="15.75" customHeight="1" x14ac:dyDescent="0.25">
      <c r="A24" s="56" t="s">
        <v>106</v>
      </c>
      <c r="B24" s="88" t="s">
        <v>3143</v>
      </c>
      <c r="C24" s="88" t="s">
        <v>4452</v>
      </c>
      <c r="D24" s="88" t="s">
        <v>3144</v>
      </c>
      <c r="E24" s="45" t="str">
        <f>VLOOKUP(D24,Total!$C$2:$D$439,2,0)</f>
        <v>10 RPL 1</v>
      </c>
      <c r="F24" s="45" t="str">
        <f>VLOOKUP(C24,Total!$B$2:$F$439,5,0)</f>
        <v>AKTIF</v>
      </c>
      <c r="G24" s="46" t="str">
        <f>VLOOKUP($B24,master!$B$2:$S$595,16,0)</f>
        <v>085943777232</v>
      </c>
      <c r="H24" s="46" t="str">
        <f>VLOOKUP($B24,master!$B$2:$S$595,17,0)</f>
        <v>089637836023</v>
      </c>
      <c r="I24" s="46" t="str">
        <f>VLOOKUP($B24,master!$B$2:$S$595,8,0)</f>
        <v>bANTUL KARANG</v>
      </c>
      <c r="J24" s="46" t="str">
        <f>VLOOKUP($B24,master!$B$2:$S$595,9,0)</f>
        <v>005</v>
      </c>
      <c r="K24" s="46" t="str">
        <f>VLOOKUP($B24,master!$B$2:$S$595,11,0)</f>
        <v>RINGIN HARJO</v>
      </c>
      <c r="L24" s="46" t="str">
        <f>VLOOKUP($B24,master!$B$2:$S$595,12,0)</f>
        <v>BANTUL</v>
      </c>
      <c r="M24" s="46" t="str">
        <f>VLOOKUP($B24,master!$B$2:$S$595,6,0)</f>
        <v>SUBARI</v>
      </c>
      <c r="N24" s="58" t="str">
        <f>VLOOKUP($B24,master!$B$2:$S$595,15,0)</f>
        <v>SMP N 1 BAMBANGLIPURO</v>
      </c>
      <c r="O24" s="58" t="str">
        <f>VLOOKUP($B24,master!$B$2:$S$595,4,0)</f>
        <v>8-10-2009</v>
      </c>
    </row>
    <row r="25" spans="1:15" ht="15.75" customHeight="1" x14ac:dyDescent="0.25">
      <c r="A25" s="56" t="s">
        <v>107</v>
      </c>
      <c r="B25" s="88" t="s">
        <v>996</v>
      </c>
      <c r="C25" s="88" t="s">
        <v>4453</v>
      </c>
      <c r="D25" s="88" t="s">
        <v>997</v>
      </c>
      <c r="E25" s="45" t="str">
        <f>VLOOKUP(D25,Total!$C$2:$D$439,2,0)</f>
        <v>10 RPL 1</v>
      </c>
      <c r="F25" s="45" t="str">
        <f>VLOOKUP(C25,Total!$B$2:$F$439,5,0)</f>
        <v>AKTIF</v>
      </c>
      <c r="G25" s="46" t="str">
        <f>VLOOKUP($B25,master!$B$2:$S$595,16,0)</f>
        <v>0895392686027</v>
      </c>
      <c r="H25" s="46">
        <f>VLOOKUP($B25,master!$B$2:$S$595,17,0)</f>
        <v>0</v>
      </c>
      <c r="I25" s="46" t="str">
        <f>VLOOKUP($B25,master!$B$2:$S$595,8,0)</f>
        <v>TEGALSEMPU</v>
      </c>
      <c r="J25" s="46" t="str">
        <f>VLOOKUP($B25,master!$B$2:$S$595,9,0)</f>
        <v>2</v>
      </c>
      <c r="K25" s="46" t="str">
        <f>VLOOKUP($B25,master!$B$2:$S$595,11,0)</f>
        <v>CATURHARJO</v>
      </c>
      <c r="L25" s="46" t="str">
        <f>VLOOKUP($B25,master!$B$2:$S$595,12,0)</f>
        <v>PANDAK</v>
      </c>
      <c r="M25" s="46" t="str">
        <f>VLOOKUP($B25,master!$B$2:$S$595,6,0)</f>
        <v>IMAM SYAFI'I</v>
      </c>
      <c r="N25" s="58" t="str">
        <f>VLOOKUP($B25,master!$B$2:$S$595,15,0)</f>
        <v>SMP N 2 PANDAK</v>
      </c>
      <c r="O25" s="58" t="str">
        <f>VLOOKUP($B25,master!$B$2:$S$595,4,0)</f>
        <v>20-05-2010</v>
      </c>
    </row>
    <row r="26" spans="1:15" ht="15.75" customHeight="1" x14ac:dyDescent="0.25">
      <c r="A26" s="56" t="s">
        <v>108</v>
      </c>
      <c r="B26" s="89" t="s">
        <v>3726</v>
      </c>
      <c r="C26" s="88" t="s">
        <v>4454</v>
      </c>
      <c r="D26" s="89" t="s">
        <v>3727</v>
      </c>
      <c r="E26" s="45" t="str">
        <f>VLOOKUP(D26,Total!$C$2:$D$439,2,0)</f>
        <v>10 RPL 1</v>
      </c>
      <c r="F26" s="45" t="str">
        <f>VLOOKUP(C26,Total!$B$2:$F$439,5,0)</f>
        <v>AKTIF</v>
      </c>
      <c r="G26" s="46" t="str">
        <f>VLOOKUP($B26,master!$B$2:$S$595,16,0)</f>
        <v>0895806404316</v>
      </c>
      <c r="H26" s="46" t="str">
        <f>VLOOKUP($B26,master!$B$2:$S$595,17,0)</f>
        <v>083862657355</v>
      </c>
      <c r="I26" s="46" t="str">
        <f>VLOOKUP($B26,master!$B$2:$S$595,8,0)</f>
        <v>PADOKAN KIDUL</v>
      </c>
      <c r="J26" s="46" t="str">
        <f>VLOOKUP($B26,master!$B$2:$S$595,9,0)</f>
        <v>05</v>
      </c>
      <c r="K26" s="46" t="str">
        <f>VLOOKUP($B26,master!$B$2:$S$595,11,0)</f>
        <v>TIRTONIRMOLO</v>
      </c>
      <c r="L26" s="46" t="str">
        <f>VLOOKUP($B26,master!$B$2:$S$595,12,0)</f>
        <v>KASIHAN</v>
      </c>
      <c r="M26" s="46" t="str">
        <f>VLOOKUP($B26,master!$B$2:$S$595,6,0)</f>
        <v>MURYANI</v>
      </c>
      <c r="N26" s="58" t="str">
        <f>VLOOKUP($B26,master!$B$2:$S$595,15,0)</f>
        <v>SMP MATARAM KASIHAN</v>
      </c>
      <c r="O26" s="58" t="str">
        <f>VLOOKUP($B26,master!$B$2:$S$595,4,0)</f>
        <v>23-12-2009</v>
      </c>
    </row>
    <row r="27" spans="1:15" ht="15.75" customHeight="1" x14ac:dyDescent="0.25">
      <c r="A27" s="56" t="s">
        <v>109</v>
      </c>
      <c r="B27" s="89" t="s">
        <v>3377</v>
      </c>
      <c r="C27" s="88" t="s">
        <v>4455</v>
      </c>
      <c r="D27" s="89" t="s">
        <v>3378</v>
      </c>
      <c r="E27" s="45" t="str">
        <f>VLOOKUP(D27,Total!$C$2:$D$439,2,0)</f>
        <v>10 RPL 1</v>
      </c>
      <c r="F27" s="45" t="str">
        <f>VLOOKUP(C27,Total!$B$2:$F$439,5,0)</f>
        <v>AKTIF</v>
      </c>
      <c r="G27" s="46" t="str">
        <f>VLOOKUP($B27,master!$B$2:$S$595,16,0)</f>
        <v>081215880308</v>
      </c>
      <c r="H27" s="46" t="str">
        <f>VLOOKUP($B27,master!$B$2:$S$595,17,0)</f>
        <v>085712797164</v>
      </c>
      <c r="I27" s="46" t="str">
        <f>VLOOKUP($B27,master!$B$2:$S$595,8,0)</f>
        <v>PONGANGAN</v>
      </c>
      <c r="J27" s="46" t="str">
        <f>VLOOKUP($B27,master!$B$2:$S$595,9,0)</f>
        <v>02</v>
      </c>
      <c r="K27" s="46" t="str">
        <f>VLOOKUP($B27,master!$B$2:$S$595,11,0)</f>
        <v>WATES</v>
      </c>
      <c r="L27" s="46" t="str">
        <f>VLOOKUP($B27,master!$B$2:$S$595,12,0)</f>
        <v>MAGELANG UTARA</v>
      </c>
      <c r="M27" s="46" t="str">
        <f>VLOOKUP($B27,master!$B$2:$S$595,6,0)</f>
        <v>SISWANTO</v>
      </c>
      <c r="N27" s="58" t="str">
        <f>VLOOKUP($B27,master!$B$2:$S$595,15,0)</f>
        <v>SMP N 10 MAGELANG</v>
      </c>
      <c r="O27" s="58" t="str">
        <f>VLOOKUP($B27,master!$B$2:$S$595,4,0)</f>
        <v>11-10-2010</v>
      </c>
    </row>
    <row r="28" spans="1:15" ht="15.75" customHeight="1" x14ac:dyDescent="0.25">
      <c r="A28" s="56" t="s">
        <v>110</v>
      </c>
      <c r="B28" s="88" t="s">
        <v>2679</v>
      </c>
      <c r="C28" s="88" t="s">
        <v>4456</v>
      </c>
      <c r="D28" s="88" t="s">
        <v>2680</v>
      </c>
      <c r="E28" s="45" t="str">
        <f>VLOOKUP(D28,Total!$C$2:$D$439,2,0)</f>
        <v>10 RPL 1</v>
      </c>
      <c r="F28" s="45" t="str">
        <f>VLOOKUP(C28,Total!$B$2:$F$439,5,0)</f>
        <v>AKTIF</v>
      </c>
      <c r="G28" s="46" t="str">
        <f>VLOOKUP($B28,master!$B$2:$S$595,16,0)</f>
        <v>085228623606</v>
      </c>
      <c r="H28" s="46" t="str">
        <f>VLOOKUP($B28,master!$B$2:$S$595,17,0)</f>
        <v>088215613566</v>
      </c>
      <c r="I28" s="46" t="str">
        <f>VLOOKUP($B28,master!$B$2:$S$595,8,0)</f>
        <v>SRANDAKAN DK I</v>
      </c>
      <c r="J28" s="46" t="str">
        <f>VLOOKUP($B28,master!$B$2:$S$595,9,0)</f>
        <v>005</v>
      </c>
      <c r="K28" s="46" t="str">
        <f>VLOOKUP($B28,master!$B$2:$S$595,11,0)</f>
        <v>TRIMURTI</v>
      </c>
      <c r="L28" s="46" t="str">
        <f>VLOOKUP($B28,master!$B$2:$S$595,12,0)</f>
        <v>SRANDAKAN</v>
      </c>
      <c r="M28" s="46" t="str">
        <f>VLOOKUP($B28,master!$B$2:$S$595,6,0)</f>
        <v>MUJIRAN</v>
      </c>
      <c r="N28" s="58" t="str">
        <f>VLOOKUP($B28,master!$B$2:$S$595,15,0)</f>
        <v>SMP MUHAMMADIYAH BANTUL</v>
      </c>
      <c r="O28" s="58" t="str">
        <f>VLOOKUP($B28,master!$B$2:$S$595,4,0)</f>
        <v>11-01-2009</v>
      </c>
    </row>
    <row r="29" spans="1:15" ht="15.75" customHeight="1" x14ac:dyDescent="0.25">
      <c r="A29" s="56" t="s">
        <v>111</v>
      </c>
      <c r="B29" s="88" t="s">
        <v>3341</v>
      </c>
      <c r="C29" s="88" t="s">
        <v>4457</v>
      </c>
      <c r="D29" s="88" t="s">
        <v>3342</v>
      </c>
      <c r="E29" s="45" t="str">
        <f>VLOOKUP(D29,Total!$C$2:$D$439,2,0)</f>
        <v>10 RPL 1</v>
      </c>
      <c r="F29" s="45" t="str">
        <f>VLOOKUP(C29,Total!$B$2:$F$439,5,0)</f>
        <v>AKTIF</v>
      </c>
      <c r="G29" s="46" t="str">
        <f>VLOOKUP($B29,master!$B$2:$S$595,16,0)</f>
        <v>083816532441</v>
      </c>
      <c r="H29" s="46" t="str">
        <f>VLOOKUP($B29,master!$B$2:$S$595,17,0)</f>
        <v>0882003240512</v>
      </c>
      <c r="I29" s="46" t="str">
        <f>VLOOKUP($B29,master!$B$2:$S$595,8,0)</f>
        <v>TANJUNG</v>
      </c>
      <c r="J29" s="46" t="str">
        <f>VLOOKUP($B29,master!$B$2:$S$595,9,0)</f>
        <v>02</v>
      </c>
      <c r="K29" s="46" t="str">
        <f>VLOOKUP($B29,master!$B$2:$S$595,11,0)</f>
        <v>BANGUNHARJO</v>
      </c>
      <c r="L29" s="46" t="str">
        <f>VLOOKUP($B29,master!$B$2:$S$595,12,0)</f>
        <v>SEWON</v>
      </c>
      <c r="M29" s="46" t="str">
        <f>VLOOKUP($B29,master!$B$2:$S$595,6,0)</f>
        <v>SRI HARYANTI</v>
      </c>
      <c r="N29" s="58" t="str">
        <f>VLOOKUP($B29,master!$B$2:$S$595,15,0)</f>
        <v>MTS N 1 BANTUL</v>
      </c>
      <c r="O29" s="58" t="str">
        <f>VLOOKUP($B29,master!$B$2:$S$595,4,0)</f>
        <v>2-08-2009</v>
      </c>
    </row>
    <row r="30" spans="1:15" ht="15.75" customHeight="1" x14ac:dyDescent="0.25">
      <c r="A30" s="56" t="s">
        <v>112</v>
      </c>
      <c r="B30" s="88" t="s">
        <v>1993</v>
      </c>
      <c r="C30" s="88" t="s">
        <v>4458</v>
      </c>
      <c r="D30" s="88" t="s">
        <v>1994</v>
      </c>
      <c r="E30" s="45" t="str">
        <f>VLOOKUP(D30,Total!$C$2:$D$439,2,0)</f>
        <v>10 RPL 1</v>
      </c>
      <c r="F30" s="45" t="str">
        <f>VLOOKUP(C30,Total!$B$2:$F$439,5,0)</f>
        <v>AKTIF</v>
      </c>
      <c r="G30" s="46" t="str">
        <f>VLOOKUP($B30,master!$B$2:$S$595,16,0)</f>
        <v>082135479445</v>
      </c>
      <c r="H30" s="46" t="str">
        <f>VLOOKUP($B30,master!$B$2:$S$595,17,0)</f>
        <v>-</v>
      </c>
      <c r="I30" s="46" t="str">
        <f>VLOOKUP($B30,master!$B$2:$S$595,8,0)</f>
        <v>GEDANGAN</v>
      </c>
      <c r="J30" s="46" t="str">
        <f>VLOOKUP($B30,master!$B$2:$S$595,9,0)</f>
        <v>6</v>
      </c>
      <c r="K30" s="46" t="str">
        <f>VLOOKUP($B30,master!$B$2:$S$595,11,0)</f>
        <v>PANJANGREJO</v>
      </c>
      <c r="L30" s="46" t="str">
        <f>VLOOKUP($B30,master!$B$2:$S$595,12,0)</f>
        <v>PUNDONG</v>
      </c>
      <c r="M30" s="46" t="str">
        <f>VLOOKUP($B30,master!$B$2:$S$595,6,0)</f>
        <v>JATU ASTRI PRADISTA</v>
      </c>
      <c r="N30" s="58" t="str">
        <f>VLOOKUP($B30,master!$B$2:$S$595,15,0)</f>
        <v>SMP N 1 PUNDONG</v>
      </c>
      <c r="O30" s="58" t="str">
        <f>VLOOKUP($B30,master!$B$2:$S$595,4,0)</f>
        <v>19-03-2010</v>
      </c>
    </row>
    <row r="31" spans="1:15" ht="15.75" customHeight="1" x14ac:dyDescent="0.25">
      <c r="A31" s="56" t="s">
        <v>113</v>
      </c>
      <c r="B31" s="88" t="s">
        <v>1354</v>
      </c>
      <c r="C31" s="88" t="s">
        <v>4459</v>
      </c>
      <c r="D31" s="88" t="s">
        <v>1355</v>
      </c>
      <c r="E31" s="45" t="str">
        <f>VLOOKUP(D31,Total!$C$2:$D$439,2,0)</f>
        <v>10 RPL 1</v>
      </c>
      <c r="F31" s="45" t="str">
        <f>VLOOKUP(C31,Total!$B$2:$F$439,5,0)</f>
        <v>AKTIF</v>
      </c>
      <c r="G31" s="46" t="str">
        <f>VLOOKUP($B31,master!$B$2:$S$595,16,0)</f>
        <v>081391646454</v>
      </c>
      <c r="H31" s="46" t="str">
        <f>VLOOKUP($B31,master!$B$2:$S$595,17,0)</f>
        <v>08139164654</v>
      </c>
      <c r="I31" s="46" t="str">
        <f>VLOOKUP($B31,master!$B$2:$S$595,8,0)</f>
        <v>BRAJAN</v>
      </c>
      <c r="J31" s="46" t="str">
        <f>VLOOKUP($B31,master!$B$2:$S$595,9,0)</f>
        <v>6</v>
      </c>
      <c r="K31" s="46" t="str">
        <f>VLOOKUP($B31,master!$B$2:$S$595,11,0)</f>
        <v>TAMANTIRTO</v>
      </c>
      <c r="L31" s="46" t="str">
        <f>VLOOKUP($B31,master!$B$2:$S$595,12,0)</f>
        <v>KASIHAN</v>
      </c>
      <c r="M31" s="46" t="str">
        <f>VLOOKUP($B31,master!$B$2:$S$595,6,0)</f>
        <v>Ridwan Sutrisno / Sarah Adibah</v>
      </c>
      <c r="N31" s="58" t="str">
        <f>VLOOKUP($B31,master!$B$2:$S$595,15,0)</f>
        <v>Ponpes Riyadhul Qur'an Pajangan</v>
      </c>
      <c r="O31" s="58" t="str">
        <f>VLOOKUP($B31,master!$B$2:$S$595,4,0)</f>
        <v>26-03-2009</v>
      </c>
    </row>
    <row r="32" spans="1:15" ht="15.75" customHeight="1" x14ac:dyDescent="0.25">
      <c r="A32" s="56" t="s">
        <v>114</v>
      </c>
      <c r="B32" s="89" t="s">
        <v>1620</v>
      </c>
      <c r="C32" s="88" t="s">
        <v>4460</v>
      </c>
      <c r="D32" s="89" t="s">
        <v>1621</v>
      </c>
      <c r="E32" s="45" t="str">
        <f>VLOOKUP(D32,Total!$C$2:$D$439,2,0)</f>
        <v>10 RPL 1</v>
      </c>
      <c r="F32" s="45" t="str">
        <f>VLOOKUP(C32,Total!$B$2:$F$439,5,0)</f>
        <v>AKTIF</v>
      </c>
      <c r="G32" s="46" t="str">
        <f>VLOOKUP($B32,master!$B$2:$S$595,16,0)</f>
        <v>081578754050</v>
      </c>
      <c r="H32" s="46" t="str">
        <f>VLOOKUP($B32,master!$B$2:$S$595,17,0)</f>
        <v>0895336747393</v>
      </c>
      <c r="I32" s="46" t="str">
        <f>VLOOKUP($B32,master!$B$2:$S$595,8,0)</f>
        <v>IROYUDAN</v>
      </c>
      <c r="J32" s="46" t="str">
        <f>VLOOKUP($B32,master!$B$2:$S$595,9,0)</f>
        <v>003</v>
      </c>
      <c r="K32" s="46" t="str">
        <f>VLOOKUP($B32,master!$B$2:$S$595,11,0)</f>
        <v>GUWOSARI</v>
      </c>
      <c r="L32" s="46" t="str">
        <f>VLOOKUP($B32,master!$B$2:$S$595,12,0)</f>
        <v>PAJANGAN</v>
      </c>
      <c r="M32" s="46" t="str">
        <f>VLOOKUP($B32,master!$B$2:$S$595,6,0)</f>
        <v>Muhammad Sulistyo</v>
      </c>
      <c r="N32" s="58" t="str">
        <f>VLOOKUP($B32,master!$B$2:$S$595,15,0)</f>
        <v>SMP N 3 PAJANGAN</v>
      </c>
      <c r="O32" s="58" t="str">
        <f>VLOOKUP($B32,master!$B$2:$S$595,4,0)</f>
        <v>22-07-2009</v>
      </c>
    </row>
    <row r="33" spans="1:15" ht="15.75" customHeight="1" x14ac:dyDescent="0.25">
      <c r="A33" s="56" t="s">
        <v>115</v>
      </c>
      <c r="B33" s="88" t="s">
        <v>3359</v>
      </c>
      <c r="C33" s="88" t="s">
        <v>4461</v>
      </c>
      <c r="D33" s="88" t="s">
        <v>3360</v>
      </c>
      <c r="E33" s="45" t="str">
        <f>VLOOKUP(D33,Total!$C$2:$D$439,2,0)</f>
        <v>10 RPL 1</v>
      </c>
      <c r="F33" s="45" t="str">
        <f>VLOOKUP(C33,Total!$B$2:$F$439,5,0)</f>
        <v>AKTIF</v>
      </c>
      <c r="G33" s="46" t="str">
        <f>VLOOKUP($B33,master!$B$2:$S$595,16,0)</f>
        <v>08982005020</v>
      </c>
      <c r="H33" s="46" t="str">
        <f>VLOOKUP($B33,master!$B$2:$S$595,17,0)</f>
        <v>085786138867</v>
      </c>
      <c r="I33" s="46" t="str">
        <f>VLOOKUP($B33,master!$B$2:$S$595,8,0)</f>
        <v>GADUNGAN KEPUH</v>
      </c>
      <c r="J33" s="46" t="str">
        <f>VLOOKUP($B33,master!$B$2:$S$595,9,0)</f>
        <v>02</v>
      </c>
      <c r="K33" s="46" t="str">
        <f>VLOOKUP($B33,master!$B$2:$S$595,11,0)</f>
        <v>CANDEN</v>
      </c>
      <c r="L33" s="46" t="str">
        <f>VLOOKUP($B33,master!$B$2:$S$595,12,0)</f>
        <v>JETIS</v>
      </c>
      <c r="M33" s="46" t="str">
        <f>VLOOKUP($B33,master!$B$2:$S$595,6,0)</f>
        <v>YULIANTO</v>
      </c>
      <c r="N33" s="58" t="str">
        <f>VLOOKUP($B33,master!$B$2:$S$595,15,0)</f>
        <v>SMP N 3 JETIS</v>
      </c>
      <c r="O33" s="58" t="str">
        <f>VLOOKUP($B33,master!$B$2:$S$595,4,0)</f>
        <v>10-09-2009</v>
      </c>
    </row>
    <row r="34" spans="1:15" ht="15.75" customHeight="1" x14ac:dyDescent="0.25">
      <c r="A34" s="56" t="s">
        <v>116</v>
      </c>
      <c r="B34" s="88" t="s">
        <v>2957</v>
      </c>
      <c r="C34" s="88" t="s">
        <v>4462</v>
      </c>
      <c r="D34" s="88" t="s">
        <v>2958</v>
      </c>
      <c r="E34" s="45" t="str">
        <f>VLOOKUP(D34,Total!$C$2:$D$439,2,0)</f>
        <v>10 RPL 1</v>
      </c>
      <c r="F34" s="45" t="str">
        <f>VLOOKUP(C34,Total!$B$2:$F$439,5,0)</f>
        <v>AKTIF</v>
      </c>
      <c r="G34" s="46" t="str">
        <f>VLOOKUP($B34,master!$B$2:$S$595,16,0)</f>
        <v>085771514417</v>
      </c>
      <c r="H34" s="46" t="str">
        <f>VLOOKUP($B34,master!$B$2:$S$595,17,0)</f>
        <v>081263533799</v>
      </c>
      <c r="I34" s="46" t="str">
        <f>VLOOKUP($B34,master!$B$2:$S$595,8,0)</f>
        <v>PERUM PENDOWO ASRI B</v>
      </c>
      <c r="J34" s="46" t="str">
        <f>VLOOKUP($B34,master!$B$2:$S$595,9,0)</f>
        <v>9</v>
      </c>
      <c r="K34" s="46" t="str">
        <f>VLOOKUP($B34,master!$B$2:$S$595,11,0)</f>
        <v>PENDOWOHARJO</v>
      </c>
      <c r="L34" s="46" t="str">
        <f>VLOOKUP($B34,master!$B$2:$S$595,12,0)</f>
        <v>SEWON</v>
      </c>
      <c r="M34" s="46" t="str">
        <f>VLOOKUP($B34,master!$B$2:$S$595,6,0)</f>
        <v>SAFA MARWA</v>
      </c>
      <c r="N34" s="58" t="str">
        <f>VLOOKUP($B34,master!$B$2:$S$595,15,0)</f>
        <v>PKBM PERSADA</v>
      </c>
      <c r="O34" s="58" t="str">
        <f>VLOOKUP($B34,master!$B$2:$S$595,4,0)</f>
        <v>27-12-2008</v>
      </c>
    </row>
    <row r="35" spans="1:15" ht="15.75" customHeight="1" x14ac:dyDescent="0.25">
      <c r="A35" s="56" t="s">
        <v>117</v>
      </c>
      <c r="B35" s="88" t="s">
        <v>2926</v>
      </c>
      <c r="C35" s="88" t="s">
        <v>4463</v>
      </c>
      <c r="D35" s="88" t="s">
        <v>2927</v>
      </c>
      <c r="E35" s="45" t="str">
        <f>VLOOKUP(D35,Total!$C$2:$D$439,2,0)</f>
        <v>10 RPL 1</v>
      </c>
      <c r="F35" s="45" t="str">
        <f>VLOOKUP(C35,Total!$B$2:$F$439,5,0)</f>
        <v>AKTIF</v>
      </c>
      <c r="G35" s="46" t="str">
        <f>VLOOKUP($B35,master!$B$2:$S$595,16,0)</f>
        <v>085254464830</v>
      </c>
      <c r="H35" s="46" t="str">
        <f>VLOOKUP($B35,master!$B$2:$S$595,17,0)</f>
        <v>-</v>
      </c>
      <c r="I35" s="46" t="str">
        <f>VLOOKUP($B35,master!$B$2:$S$595,8,0)</f>
        <v>CEPOKO</v>
      </c>
      <c r="J35" s="46" t="str">
        <f>VLOOKUP($B35,master!$B$2:$S$595,9,0)</f>
        <v>1</v>
      </c>
      <c r="K35" s="46" t="str">
        <f>VLOOKUP($B35,master!$B$2:$S$595,11,0)</f>
        <v>SUMBERMULYO</v>
      </c>
      <c r="L35" s="46" t="str">
        <f>VLOOKUP($B35,master!$B$2:$S$595,12,0)</f>
        <v>BAMBANGLIPURO</v>
      </c>
      <c r="M35" s="46" t="str">
        <f>VLOOKUP($B35,master!$B$2:$S$595,6,0)</f>
        <v>HANAN MILARDI</v>
      </c>
      <c r="N35" s="58" t="str">
        <f>VLOOKUP($B35,master!$B$2:$S$595,15,0)</f>
        <v>SMP N BIAK KOTA</v>
      </c>
      <c r="O35" s="58" t="str">
        <f>VLOOKUP($B35,master!$B$2:$S$595,4,0)</f>
        <v>20-11-2009</v>
      </c>
    </row>
    <row r="36" spans="1:15" ht="15.75" customHeight="1" x14ac:dyDescent="0.25">
      <c r="A36" s="56" t="s">
        <v>118</v>
      </c>
      <c r="B36" s="89" t="s">
        <v>3861</v>
      </c>
      <c r="C36" s="88" t="s">
        <v>4464</v>
      </c>
      <c r="D36" s="89" t="s">
        <v>3862</v>
      </c>
      <c r="E36" s="45" t="str">
        <f>VLOOKUP(D36,Total!$C$2:$D$439,2,0)</f>
        <v>10 RPL 2</v>
      </c>
      <c r="F36" s="45" t="str">
        <f>VLOOKUP(C36,Total!$B$2:$F$439,5,0)</f>
        <v>AKTIF</v>
      </c>
      <c r="G36" s="46" t="str">
        <f>VLOOKUP($B36,master!$B$2:$S$595,16,0)</f>
        <v>088227297763</v>
      </c>
      <c r="H36" s="46" t="str">
        <f>VLOOKUP($B36,master!$B$2:$S$595,17,0)</f>
        <v>088902837724</v>
      </c>
      <c r="I36" s="46" t="str">
        <f>VLOOKUP($B36,master!$B$2:$S$595,8,0)</f>
        <v>SLANGGEN / MRIYAN</v>
      </c>
      <c r="J36" s="46" t="str">
        <f>VLOOKUP($B36,master!$B$2:$S$595,9,0)</f>
        <v>04</v>
      </c>
      <c r="K36" s="46" t="str">
        <f>VLOOKUP($B36,master!$B$2:$S$595,11,0)</f>
        <v>TIMBULHARJO</v>
      </c>
      <c r="L36" s="46" t="str">
        <f>VLOOKUP($B36,master!$B$2:$S$595,12,0)</f>
        <v>SEWON</v>
      </c>
      <c r="M36" s="46" t="str">
        <f>VLOOKUP($B36,master!$B$2:$S$595,6,0)</f>
        <v>WISNU TRI NUGROHO</v>
      </c>
      <c r="N36" s="58" t="str">
        <f>VLOOKUP($B36,master!$B$2:$S$595,15,0)</f>
        <v>SMP MUHAMMADIYAH IMOGIRI</v>
      </c>
      <c r="O36" s="58" t="str">
        <f>VLOOKUP($B36,master!$B$2:$S$595,4,0)</f>
        <v>20-12-2009</v>
      </c>
    </row>
    <row r="37" spans="1:15" ht="15.75" customHeight="1" x14ac:dyDescent="0.25">
      <c r="A37" s="56" t="s">
        <v>119</v>
      </c>
      <c r="B37" s="88" t="s">
        <v>3778</v>
      </c>
      <c r="C37" s="88" t="s">
        <v>4465</v>
      </c>
      <c r="D37" s="88" t="s">
        <v>3779</v>
      </c>
      <c r="E37" s="45" t="str">
        <f>VLOOKUP(D37,Total!$C$2:$D$439,2,0)</f>
        <v>10 RPL 2</v>
      </c>
      <c r="F37" s="45" t="str">
        <f>VLOOKUP(C37,Total!$B$2:$F$439,5,0)</f>
        <v>AKTIF</v>
      </c>
      <c r="G37" s="46" t="str">
        <f>VLOOKUP($B37,master!$B$2:$S$595,16,0)</f>
        <v>089675810604</v>
      </c>
      <c r="H37" s="46" t="str">
        <f>VLOOKUP($B37,master!$B$2:$S$595,17,0)</f>
        <v>0882003489051</v>
      </c>
      <c r="I37" s="46" t="str">
        <f>VLOOKUP($B37,master!$B$2:$S$595,8,0)</f>
        <v>SRAYU</v>
      </c>
      <c r="J37" s="46" t="str">
        <f>VLOOKUP($B37,master!$B$2:$S$595,9,0)</f>
        <v>06</v>
      </c>
      <c r="K37" s="46" t="str">
        <f>VLOOKUP($B37,master!$B$2:$S$595,11,0)</f>
        <v>CANDEN</v>
      </c>
      <c r="L37" s="46" t="str">
        <f>VLOOKUP($B37,master!$B$2:$S$595,12,0)</f>
        <v>JETIS</v>
      </c>
      <c r="M37" s="46" t="str">
        <f>VLOOKUP($B37,master!$B$2:$S$595,6,0)</f>
        <v>HARTINI</v>
      </c>
      <c r="N37" s="58" t="str">
        <f>VLOOKUP($B37,master!$B$2:$S$595,15,0)</f>
        <v>SMP N 2 JETIS</v>
      </c>
      <c r="O37" s="58" t="str">
        <f>VLOOKUP($B37,master!$B$2:$S$595,4,0)</f>
        <v>8-05-2010</v>
      </c>
    </row>
    <row r="38" spans="1:15" ht="15.75" customHeight="1" x14ac:dyDescent="0.25">
      <c r="A38" s="56" t="s">
        <v>120</v>
      </c>
      <c r="B38" s="88" t="s">
        <v>3023</v>
      </c>
      <c r="C38" s="88" t="s">
        <v>4466</v>
      </c>
      <c r="D38" s="88" t="s">
        <v>3024</v>
      </c>
      <c r="E38" s="45" t="str">
        <f>VLOOKUP(D38,Total!$C$2:$D$439,2,0)</f>
        <v>10 RPL 2</v>
      </c>
      <c r="F38" s="45" t="str">
        <f>VLOOKUP(C38,Total!$B$2:$F$439,5,0)</f>
        <v>AKTIF</v>
      </c>
      <c r="G38" s="46" t="str">
        <f>VLOOKUP($B38,master!$B$2:$S$595,16,0)</f>
        <v>085727721559</v>
      </c>
      <c r="H38" s="46" t="str">
        <f>VLOOKUP($B38,master!$B$2:$S$595,17,0)</f>
        <v>085727721544</v>
      </c>
      <c r="I38" s="46" t="str">
        <f>VLOOKUP($B38,master!$B$2:$S$595,8,0)</f>
        <v>PAKIS II</v>
      </c>
      <c r="J38" s="46" t="str">
        <f>VLOOKUP($B38,master!$B$2:$S$595,9,0)</f>
        <v>4</v>
      </c>
      <c r="K38" s="46" t="str">
        <f>VLOOKUP($B38,master!$B$2:$S$595,11,0)</f>
        <v>DLINGO</v>
      </c>
      <c r="L38" s="46" t="str">
        <f>VLOOKUP($B38,master!$B$2:$S$595,12,0)</f>
        <v>DLINGO</v>
      </c>
      <c r="M38" s="46" t="str">
        <f>VLOOKUP($B38,master!$B$2:$S$595,6,0)</f>
        <v>SUKIRAN</v>
      </c>
      <c r="N38" s="58" t="str">
        <f>VLOOKUP($B38,master!$B$2:$S$595,15,0)</f>
        <v>SMP N 1 DLINGO</v>
      </c>
      <c r="O38" s="58" t="str">
        <f>VLOOKUP($B38,master!$B$2:$S$595,4,0)</f>
        <v>17-07-2009</v>
      </c>
    </row>
    <row r="39" spans="1:15" ht="15.75" customHeight="1" x14ac:dyDescent="0.25">
      <c r="A39" s="56" t="s">
        <v>121</v>
      </c>
      <c r="B39" s="88" t="s">
        <v>3927</v>
      </c>
      <c r="C39" s="88" t="s">
        <v>4467</v>
      </c>
      <c r="D39" s="88" t="s">
        <v>3928</v>
      </c>
      <c r="E39" s="45" t="str">
        <f>VLOOKUP(D39,Total!$C$2:$D$439,2,0)</f>
        <v>10 RPL 2</v>
      </c>
      <c r="F39" s="45" t="str">
        <f>VLOOKUP(C39,Total!$B$2:$F$439,5,0)</f>
        <v>AKTIF</v>
      </c>
      <c r="G39" s="46" t="str">
        <f>VLOOKUP($B39,master!$B$2:$S$595,16,0)</f>
        <v>089607769730</v>
      </c>
      <c r="H39" s="46" t="str">
        <f>VLOOKUP($B39,master!$B$2:$S$595,17,0)</f>
        <v>0895622415463</v>
      </c>
      <c r="I39" s="46" t="str">
        <f>VLOOKUP($B39,master!$B$2:$S$595,8,0)</f>
        <v>BAKULAN</v>
      </c>
      <c r="J39" s="46" t="str">
        <f>VLOOKUP($B39,master!$B$2:$S$595,9,0)</f>
        <v>2</v>
      </c>
      <c r="K39" s="46" t="str">
        <f>VLOOKUP($B39,master!$B$2:$S$595,11,0)</f>
        <v>TRIRENGGO</v>
      </c>
      <c r="L39" s="46" t="str">
        <f>VLOOKUP($B39,master!$B$2:$S$595,12,0)</f>
        <v>BANTUL</v>
      </c>
      <c r="M39" s="46" t="str">
        <f>VLOOKUP($B39,master!$B$2:$S$595,6,0)</f>
        <v>LUHUR HANDOKO</v>
      </c>
      <c r="N39" s="58" t="str">
        <f>VLOOKUP($B39,master!$B$2:$S$595,15,0)</f>
        <v>SMP N 3 BANTUL</v>
      </c>
      <c r="O39" s="58" t="str">
        <f>VLOOKUP($B39,master!$B$2:$S$595,4,0)</f>
        <v>14-05-2009</v>
      </c>
    </row>
    <row r="40" spans="1:15" ht="15.75" customHeight="1" x14ac:dyDescent="0.25">
      <c r="A40" s="56" t="s">
        <v>122</v>
      </c>
      <c r="B40" s="89" t="s">
        <v>2901</v>
      </c>
      <c r="C40" s="88" t="s">
        <v>4468</v>
      </c>
      <c r="D40" s="89" t="s">
        <v>2902</v>
      </c>
      <c r="E40" s="45" t="str">
        <f>VLOOKUP(D40,Total!$C$2:$D$439,2,0)</f>
        <v>10 RPL 2</v>
      </c>
      <c r="F40" s="45" t="str">
        <f>VLOOKUP(C40,Total!$B$2:$F$439,5,0)</f>
        <v>AKTIF</v>
      </c>
      <c r="G40" s="46" t="str">
        <f>VLOOKUP($B40,master!$B$2:$S$595,16,0)</f>
        <v>081232427266</v>
      </c>
      <c r="H40" s="46" t="str">
        <f>VLOOKUP($B40,master!$B$2:$S$595,17,0)</f>
        <v>08813981532</v>
      </c>
      <c r="I40" s="46" t="str">
        <f>VLOOKUP($B40,master!$B$2:$S$595,8,0)</f>
        <v>PURWOREJO</v>
      </c>
      <c r="J40" s="46" t="str">
        <f>VLOOKUP($B40,master!$B$2:$S$595,9,0)</f>
        <v>04</v>
      </c>
      <c r="K40" s="46" t="str">
        <f>VLOOKUP($B40,master!$B$2:$S$595,11,0)</f>
        <v>WONOLELO</v>
      </c>
      <c r="L40" s="46" t="str">
        <f>VLOOKUP($B40,master!$B$2:$S$595,12,0)</f>
        <v>PLERET</v>
      </c>
      <c r="M40" s="46" t="str">
        <f>VLOOKUP($B40,master!$B$2:$S$595,6,0)</f>
        <v>Sokidi</v>
      </c>
      <c r="N40" s="58" t="str">
        <f>VLOOKUP($B40,master!$B$2:$S$595,15,0)</f>
        <v>SMP N 3 PLERET</v>
      </c>
      <c r="O40" s="58" t="str">
        <f>VLOOKUP($B40,master!$B$2:$S$595,4,0)</f>
        <v>28-02-2009</v>
      </c>
    </row>
    <row r="41" spans="1:15" ht="15.75" customHeight="1" x14ac:dyDescent="0.25">
      <c r="A41" s="56" t="s">
        <v>123</v>
      </c>
      <c r="B41" s="89" t="s">
        <v>3854</v>
      </c>
      <c r="C41" s="88" t="s">
        <v>4469</v>
      </c>
      <c r="D41" s="89" t="s">
        <v>3855</v>
      </c>
      <c r="E41" s="45" t="str">
        <f>VLOOKUP(D41,Total!$C$2:$D$439,2,0)</f>
        <v>10 RPL 2</v>
      </c>
      <c r="F41" s="45" t="str">
        <f>VLOOKUP(C41,Total!$B$2:$F$439,5,0)</f>
        <v>AKTIF</v>
      </c>
      <c r="G41" s="46" t="str">
        <f>VLOOKUP($B41,master!$B$2:$S$595,16,0)</f>
        <v>0895380405678</v>
      </c>
      <c r="H41" s="46" t="str">
        <f>VLOOKUP($B41,master!$B$2:$S$595,17,0)</f>
        <v>087714473392</v>
      </c>
      <c r="I41" s="46" t="str">
        <f>VLOOKUP($B41,master!$B$2:$S$595,8,0)</f>
        <v>KALINAMPU</v>
      </c>
      <c r="J41" s="46" t="str">
        <f>VLOOKUP($B41,master!$B$2:$S$595,9,0)</f>
        <v>003</v>
      </c>
      <c r="K41" s="46" t="str">
        <f>VLOOKUP($B41,master!$B$2:$S$595,11,0)</f>
        <v>SELOHARJO</v>
      </c>
      <c r="L41" s="46" t="str">
        <f>VLOOKUP($B41,master!$B$2:$S$595,12,0)</f>
        <v>PUNDONG</v>
      </c>
      <c r="M41" s="46" t="str">
        <f>VLOOKUP($B41,master!$B$2:$S$595,6,0)</f>
        <v>Sudi handono</v>
      </c>
      <c r="N41" s="58" t="str">
        <f>VLOOKUP($B41,master!$B$2:$S$595,15,0)</f>
        <v>SMP N 2 PUNDONG</v>
      </c>
      <c r="O41" s="58" t="str">
        <f>VLOOKUP($B41,master!$B$2:$S$595,4,0)</f>
        <v>20-11-2008</v>
      </c>
    </row>
    <row r="42" spans="1:15" ht="15.75" customHeight="1" x14ac:dyDescent="0.25">
      <c r="A42" s="56" t="s">
        <v>124</v>
      </c>
      <c r="B42" s="88" t="s">
        <v>894</v>
      </c>
      <c r="C42" s="88" t="s">
        <v>4470</v>
      </c>
      <c r="D42" s="88" t="s">
        <v>895</v>
      </c>
      <c r="E42" s="45" t="str">
        <f>VLOOKUP(D42,Total!$C$2:$D$439,2,0)</f>
        <v>10 RPL 2</v>
      </c>
      <c r="F42" s="45" t="str">
        <f>VLOOKUP(C42,Total!$B$2:$F$439,5,0)</f>
        <v>AKTIF</v>
      </c>
      <c r="G42" s="46" t="str">
        <f>VLOOKUP($B42,master!$B$2:$S$595,16,0)</f>
        <v>085150738695</v>
      </c>
      <c r="H42" s="46">
        <f>VLOOKUP($B42,master!$B$2:$S$595,17,0)</f>
        <v>0</v>
      </c>
      <c r="I42" s="46" t="str">
        <f>VLOOKUP($B42,master!$B$2:$S$595,8,0)</f>
        <v>NOGOSARI I</v>
      </c>
      <c r="J42" s="46" t="str">
        <f>VLOOKUP($B42,master!$B$2:$S$595,9,0)</f>
        <v>2</v>
      </c>
      <c r="K42" s="46" t="str">
        <f>VLOOKUP($B42,master!$B$2:$S$595,11,0)</f>
        <v>WUKIRSARI</v>
      </c>
      <c r="L42" s="46" t="str">
        <f>VLOOKUP($B42,master!$B$2:$S$595,12,0)</f>
        <v>IMOGIRI</v>
      </c>
      <c r="M42" s="46" t="str">
        <f>VLOOKUP($B42,master!$B$2:$S$595,6,0)</f>
        <v>PARJIANTO</v>
      </c>
      <c r="N42" s="58" t="str">
        <f>VLOOKUP($B42,master!$B$2:$S$595,15,0)</f>
        <v>SMP MUHAMMADIYAH IMOGIRI</v>
      </c>
      <c r="O42" s="58" t="str">
        <f>VLOOKUP($B42,master!$B$2:$S$595,4,0)</f>
        <v>4-07-2009</v>
      </c>
    </row>
    <row r="43" spans="1:15" ht="15.75" customHeight="1" x14ac:dyDescent="0.25">
      <c r="A43" s="56" t="s">
        <v>125</v>
      </c>
      <c r="B43" s="88" t="s">
        <v>2477</v>
      </c>
      <c r="C43" s="88" t="s">
        <v>4471</v>
      </c>
      <c r="D43" s="88" t="s">
        <v>2478</v>
      </c>
      <c r="E43" s="45" t="str">
        <f>VLOOKUP(D43,Total!$C$2:$D$439,2,0)</f>
        <v>10 RPL 2</v>
      </c>
      <c r="F43" s="45" t="str">
        <f>VLOOKUP(C43,Total!$B$2:$F$439,5,0)</f>
        <v>AKTIF</v>
      </c>
      <c r="G43" s="46" t="str">
        <f>VLOOKUP($B43,master!$B$2:$S$595,16,0)</f>
        <v>089618640044</v>
      </c>
      <c r="H43" s="46" t="str">
        <f>VLOOKUP($B43,master!$B$2:$S$595,17,0)</f>
        <v>089618640044</v>
      </c>
      <c r="I43" s="46" t="str">
        <f>VLOOKUP($B43,master!$B$2:$S$595,8,0)</f>
        <v>MRANGGEN</v>
      </c>
      <c r="J43" s="46" t="str">
        <f>VLOOKUP($B43,master!$B$2:$S$595,9,0)</f>
        <v>4</v>
      </c>
      <c r="K43" s="46" t="str">
        <f>VLOOKUP($B43,master!$B$2:$S$595,11,0)</f>
        <v>KEBONAGUNG</v>
      </c>
      <c r="L43" s="46" t="str">
        <f>VLOOKUP($B43,master!$B$2:$S$595,12,0)</f>
        <v>IMOGIRI</v>
      </c>
      <c r="M43" s="46" t="str">
        <f>VLOOKUP($B43,master!$B$2:$S$595,6,0)</f>
        <v>TRI WAHYUNI</v>
      </c>
      <c r="N43" s="58" t="str">
        <f>VLOOKUP($B43,master!$B$2:$S$595,15,0)</f>
        <v>SMP N 3 IMOGIRI</v>
      </c>
      <c r="O43" s="58" t="str">
        <f>VLOOKUP($B43,master!$B$2:$S$595,4,0)</f>
        <v>26-09-2009</v>
      </c>
    </row>
    <row r="44" spans="1:15" ht="15.75" customHeight="1" x14ac:dyDescent="0.25">
      <c r="A44" s="56" t="s">
        <v>126</v>
      </c>
      <c r="B44" s="88" t="s">
        <v>1695</v>
      </c>
      <c r="C44" s="88" t="s">
        <v>4472</v>
      </c>
      <c r="D44" s="88" t="s">
        <v>1696</v>
      </c>
      <c r="E44" s="45" t="str">
        <f>VLOOKUP(D44,Total!$C$2:$D$439,2,0)</f>
        <v>10 RPL 2</v>
      </c>
      <c r="F44" s="45" t="str">
        <f>VLOOKUP(C44,Total!$B$2:$F$439,5,0)</f>
        <v>AKTIF</v>
      </c>
      <c r="G44" s="46" t="str">
        <f>VLOOKUP($B44,master!$B$2:$S$595,16,0)</f>
        <v>085642426665</v>
      </c>
      <c r="H44" s="46" t="str">
        <f>VLOOKUP($B44,master!$B$2:$S$595,17,0)</f>
        <v>0895392790623</v>
      </c>
      <c r="I44" s="46" t="str">
        <f>VLOOKUP($B44,master!$B$2:$S$595,8,0)</f>
        <v>KADIBESO</v>
      </c>
      <c r="J44" s="46" t="str">
        <f>VLOOKUP($B44,master!$B$2:$S$595,9,0)</f>
        <v>01</v>
      </c>
      <c r="K44" s="46" t="str">
        <f>VLOOKUP($B44,master!$B$2:$S$595,11,0)</f>
        <v>SABDODADI</v>
      </c>
      <c r="L44" s="46" t="str">
        <f>VLOOKUP($B44,master!$B$2:$S$595,12,0)</f>
        <v>BANTUL</v>
      </c>
      <c r="M44" s="46" t="str">
        <f>VLOOKUP($B44,master!$B$2:$S$595,6,0)</f>
        <v>AGUNG PRAMONO</v>
      </c>
      <c r="N44" s="58" t="str">
        <f>VLOOKUP($B44,master!$B$2:$S$595,15,0)</f>
        <v>SMP N 3 BANTUL</v>
      </c>
      <c r="O44" s="58" t="str">
        <f>VLOOKUP($B44,master!$B$2:$S$595,4,0)</f>
        <v>12-10-2009</v>
      </c>
    </row>
    <row r="45" spans="1:15" ht="15.75" customHeight="1" x14ac:dyDescent="0.25">
      <c r="A45" s="56" t="s">
        <v>127</v>
      </c>
      <c r="B45" s="89" t="s">
        <v>3741</v>
      </c>
      <c r="C45" s="88" t="s">
        <v>4473</v>
      </c>
      <c r="D45" s="89" t="s">
        <v>3742</v>
      </c>
      <c r="E45" s="45" t="str">
        <f>VLOOKUP(D45,Total!$C$2:$D$439,2,0)</f>
        <v>10 RPL 2</v>
      </c>
      <c r="F45" s="45" t="str">
        <f>VLOOKUP(C45,Total!$B$2:$F$439,5,0)</f>
        <v>AKTIF</v>
      </c>
      <c r="G45" s="46" t="str">
        <f>VLOOKUP($B45,master!$B$2:$S$595,16,0)</f>
        <v>087888610740</v>
      </c>
      <c r="H45" s="46" t="str">
        <f>VLOOKUP($B45,master!$B$2:$S$595,17,0)</f>
        <v>089675888883</v>
      </c>
      <c r="I45" s="46" t="str">
        <f>VLOOKUP($B45,master!$B$2:$S$595,8,0)</f>
        <v>KENALAN</v>
      </c>
      <c r="J45" s="46" t="str">
        <f>VLOOKUP($B45,master!$B$2:$S$595,9,0)</f>
        <v>05</v>
      </c>
      <c r="K45" s="46" t="str">
        <f>VLOOKUP($B45,master!$B$2:$S$595,11,0)</f>
        <v>TAMANTIRTO</v>
      </c>
      <c r="L45" s="46" t="str">
        <f>VLOOKUP($B45,master!$B$2:$S$595,12,0)</f>
        <v>KASIHAN</v>
      </c>
      <c r="M45" s="46" t="str">
        <f>VLOOKUP($B45,master!$B$2:$S$595,6,0)</f>
        <v>TRI MARYANTI</v>
      </c>
      <c r="N45" s="58" t="str">
        <f>VLOOKUP($B45,master!$B$2:$S$595,15,0)</f>
        <v>SMP MATARAM KASIHAN</v>
      </c>
      <c r="O45" s="58" t="str">
        <f>VLOOKUP($B45,master!$B$2:$S$595,4,0)</f>
        <v>23-06-2009</v>
      </c>
    </row>
    <row r="46" spans="1:15" ht="15.75" customHeight="1" x14ac:dyDescent="0.25">
      <c r="A46" s="56" t="s">
        <v>128</v>
      </c>
      <c r="B46" s="88" t="s">
        <v>3667</v>
      </c>
      <c r="C46" s="88" t="s">
        <v>4474</v>
      </c>
      <c r="D46" s="88" t="s">
        <v>3668</v>
      </c>
      <c r="E46" s="45" t="str">
        <f>VLOOKUP(D46,Total!$C$2:$D$439,2,0)</f>
        <v>10 RPL 2</v>
      </c>
      <c r="F46" s="45" t="str">
        <f>VLOOKUP(C46,Total!$B$2:$F$439,5,0)</f>
        <v>AKTIF</v>
      </c>
      <c r="G46" s="46" t="str">
        <f>VLOOKUP($B46,master!$B$2:$S$595,16,0)</f>
        <v>08562935363</v>
      </c>
      <c r="H46" s="46" t="str">
        <f>VLOOKUP($B46,master!$B$2:$S$595,17,0)</f>
        <v>085729860640</v>
      </c>
      <c r="I46" s="46" t="str">
        <f>VLOOKUP($B46,master!$B$2:$S$595,8,0)</f>
        <v>TAMBALAN</v>
      </c>
      <c r="J46" s="46" t="str">
        <f>VLOOKUP($B46,master!$B$2:$S$595,9,0)</f>
        <v>4</v>
      </c>
      <c r="K46" s="46" t="str">
        <f>VLOOKUP($B46,master!$B$2:$S$595,11,0)</f>
        <v>PLERET</v>
      </c>
      <c r="L46" s="46" t="str">
        <f>VLOOKUP($B46,master!$B$2:$S$595,12,0)</f>
        <v>PLERET</v>
      </c>
      <c r="M46" s="46" t="str">
        <f>VLOOKUP($B46,master!$B$2:$S$595,6,0)</f>
        <v>ARI SUHANDONO</v>
      </c>
      <c r="N46" s="58" t="str">
        <f>VLOOKUP($B46,master!$B$2:$S$595,15,0)</f>
        <v>SMP MUHAMMADIYAH PLERET</v>
      </c>
      <c r="O46" s="58" t="str">
        <f>VLOOKUP($B46,master!$B$2:$S$595,4,0)</f>
        <v>3-08-2009</v>
      </c>
    </row>
    <row r="47" spans="1:15" ht="15.75" customHeight="1" x14ac:dyDescent="0.25">
      <c r="A47" s="56" t="s">
        <v>129</v>
      </c>
      <c r="B47" s="88" t="s">
        <v>931</v>
      </c>
      <c r="C47" s="88" t="s">
        <v>4475</v>
      </c>
      <c r="D47" s="88" t="s">
        <v>932</v>
      </c>
      <c r="E47" s="45" t="str">
        <f>VLOOKUP(D47,Total!$C$2:$D$439,2,0)</f>
        <v>10 RPL 2</v>
      </c>
      <c r="F47" s="45" t="str">
        <f>VLOOKUP(C47,Total!$B$2:$F$439,5,0)</f>
        <v>AKTIF</v>
      </c>
      <c r="G47" s="46" t="str">
        <f>VLOOKUP($B47,master!$B$2:$S$595,16,0)</f>
        <v>085155471102</v>
      </c>
      <c r="H47" s="46">
        <f>VLOOKUP($B47,master!$B$2:$S$595,17,0)</f>
        <v>0</v>
      </c>
      <c r="I47" s="46" t="str">
        <f>VLOOKUP($B47,master!$B$2:$S$595,8,0)</f>
        <v>BAKULAN</v>
      </c>
      <c r="J47" s="46" t="str">
        <f>VLOOKUP($B47,master!$B$2:$S$595,9,0)</f>
        <v>2</v>
      </c>
      <c r="K47" s="46" t="str">
        <f>VLOOKUP($B47,master!$B$2:$S$595,11,0)</f>
        <v>TRIRENGGO</v>
      </c>
      <c r="L47" s="46" t="str">
        <f>VLOOKUP($B47,master!$B$2:$S$595,12,0)</f>
        <v>BANTUL</v>
      </c>
      <c r="M47" s="46" t="str">
        <f>VLOOKUP($B47,master!$B$2:$S$595,6,0)</f>
        <v>DONI PRASETYO</v>
      </c>
      <c r="N47" s="58" t="str">
        <f>VLOOKUP($B47,master!$B$2:$S$595,15,0)</f>
        <v>SMP MUHAMMADIYAH BANTUL</v>
      </c>
      <c r="O47" s="58" t="str">
        <f>VLOOKUP($B47,master!$B$2:$S$595,4,0)</f>
        <v>13-07-2010</v>
      </c>
    </row>
    <row r="48" spans="1:15" ht="15.75" customHeight="1" x14ac:dyDescent="0.25">
      <c r="A48" s="56" t="s">
        <v>130</v>
      </c>
      <c r="B48" s="89" t="s">
        <v>2655</v>
      </c>
      <c r="C48" s="88" t="s">
        <v>4476</v>
      </c>
      <c r="D48" s="89" t="s">
        <v>2656</v>
      </c>
      <c r="E48" s="45" t="str">
        <f>VLOOKUP(D48,Total!$C$2:$D$439,2,0)</f>
        <v>10 RPL 2</v>
      </c>
      <c r="F48" s="45" t="str">
        <f>VLOOKUP(C48,Total!$B$2:$F$439,5,0)</f>
        <v>AKTIF</v>
      </c>
      <c r="G48" s="46" t="str">
        <f>VLOOKUP($B48,master!$B$2:$S$595,16,0)</f>
        <v>083159428957</v>
      </c>
      <c r="H48" s="46" t="str">
        <f>VLOOKUP($B48,master!$B$2:$S$595,17,0)</f>
        <v>083867462892</v>
      </c>
      <c r="I48" s="46" t="str">
        <f>VLOOKUP($B48,master!$B$2:$S$595,8,0)</f>
        <v>KARANGJATI</v>
      </c>
      <c r="J48" s="46" t="str">
        <f>VLOOKUP($B48,master!$B$2:$S$595,9,0)</f>
        <v>6</v>
      </c>
      <c r="K48" s="46" t="str">
        <f>VLOOKUP($B48,master!$B$2:$S$595,11,0)</f>
        <v>BANGUNJIWO</v>
      </c>
      <c r="L48" s="46" t="str">
        <f>VLOOKUP($B48,master!$B$2:$S$595,12,0)</f>
        <v>KASIHAN</v>
      </c>
      <c r="M48" s="46" t="str">
        <f>VLOOKUP($B48,master!$B$2:$S$595,6,0)</f>
        <v>TRIYANTO</v>
      </c>
      <c r="N48" s="58" t="str">
        <f>VLOOKUP($B48,master!$B$2:$S$595,15,0)</f>
        <v>SMP N 3 KASIHAN</v>
      </c>
      <c r="O48" s="58" t="str">
        <f>VLOOKUP($B48,master!$B$2:$S$595,4,0)</f>
        <v>27-01-2009</v>
      </c>
    </row>
    <row r="49" spans="1:15" ht="15.75" customHeight="1" x14ac:dyDescent="0.25">
      <c r="A49" s="56" t="s">
        <v>131</v>
      </c>
      <c r="B49" s="89" t="s">
        <v>3966</v>
      </c>
      <c r="C49" s="88" t="s">
        <v>4477</v>
      </c>
      <c r="D49" s="89" t="s">
        <v>3967</v>
      </c>
      <c r="E49" s="45" t="str">
        <f>VLOOKUP(D49,Total!$C$2:$D$439,2,0)</f>
        <v>10 RPL 2</v>
      </c>
      <c r="F49" s="45" t="str">
        <f>VLOOKUP(C49,Total!$B$2:$F$439,5,0)</f>
        <v>AKTIF</v>
      </c>
      <c r="G49" s="46" t="str">
        <f>VLOOKUP($B49,master!$B$2:$S$595,16,0)</f>
        <v>087810650119</v>
      </c>
      <c r="H49" s="46" t="str">
        <f>VLOOKUP($B49,master!$B$2:$S$595,17,0)</f>
        <v>087810650121</v>
      </c>
      <c r="I49" s="46" t="str">
        <f>VLOOKUP($B49,master!$B$2:$S$595,8,0)</f>
        <v>TEGALDOWO</v>
      </c>
      <c r="J49" s="46" t="str">
        <f>VLOOKUP($B49,master!$B$2:$S$595,9,0)</f>
        <v>02</v>
      </c>
      <c r="K49" s="46" t="str">
        <f>VLOOKUP($B49,master!$B$2:$S$595,11,0)</f>
        <v>BANTUL</v>
      </c>
      <c r="L49" s="46" t="str">
        <f>VLOOKUP($B49,master!$B$2:$S$595,12,0)</f>
        <v>BANTUL</v>
      </c>
      <c r="M49" s="46" t="str">
        <f>VLOOKUP($B49,master!$B$2:$S$595,6,0)</f>
        <v>Ariyani</v>
      </c>
      <c r="N49" s="58" t="str">
        <f>VLOOKUP($B49,master!$B$2:$S$595,15,0)</f>
        <v>SMP MUHAMMADIYAH BANTUL</v>
      </c>
      <c r="O49" s="58" t="str">
        <f>VLOOKUP($B49,master!$B$2:$S$595,4,0)</f>
        <v>20-08-2009</v>
      </c>
    </row>
    <row r="50" spans="1:15" ht="15.75" customHeight="1" x14ac:dyDescent="0.25">
      <c r="A50" s="56" t="s">
        <v>132</v>
      </c>
      <c r="B50" s="88" t="s">
        <v>3765</v>
      </c>
      <c r="C50" s="88" t="s">
        <v>4478</v>
      </c>
      <c r="D50" s="88" t="s">
        <v>3766</v>
      </c>
      <c r="E50" s="45" t="str">
        <f>VLOOKUP(D50,Total!$C$2:$D$439,2,0)</f>
        <v>10 RPL 2</v>
      </c>
      <c r="F50" s="45" t="str">
        <f>VLOOKUP(C50,Total!$B$2:$F$439,5,0)</f>
        <v>AKTIF</v>
      </c>
      <c r="G50" s="46" t="str">
        <f>VLOOKUP($B50,master!$B$2:$S$595,16,0)</f>
        <v>085740074766</v>
      </c>
      <c r="H50" s="46" t="str">
        <f>VLOOKUP($B50,master!$B$2:$S$595,17,0)</f>
        <v>08815619737</v>
      </c>
      <c r="I50" s="46" t="str">
        <f>VLOOKUP($B50,master!$B$2:$S$595,8,0)</f>
        <v>DALEMAN</v>
      </c>
      <c r="J50" s="46" t="str">
        <f>VLOOKUP($B50,master!$B$2:$S$595,9,0)</f>
        <v>04</v>
      </c>
      <c r="K50" s="46" t="str">
        <f>VLOOKUP($B50,master!$B$2:$S$595,11,0)</f>
        <v>GILANGHARJO</v>
      </c>
      <c r="L50" s="46" t="str">
        <f>VLOOKUP($B50,master!$B$2:$S$595,12,0)</f>
        <v>PANDAK</v>
      </c>
      <c r="M50" s="46" t="str">
        <f>VLOOKUP($B50,master!$B$2:$S$595,6,0)</f>
        <v>SUMARWAN</v>
      </c>
      <c r="N50" s="58" t="str">
        <f>VLOOKUP($B50,master!$B$2:$S$595,15,0)</f>
        <v>SMP N 1 PANDAK</v>
      </c>
      <c r="O50" s="58" t="str">
        <f>VLOOKUP($B50,master!$B$2:$S$595,4,0)</f>
        <v>2-03-2010</v>
      </c>
    </row>
    <row r="51" spans="1:15" ht="15.75" customHeight="1" x14ac:dyDescent="0.25">
      <c r="A51" s="56" t="s">
        <v>133</v>
      </c>
      <c r="B51" s="88" t="s">
        <v>2471</v>
      </c>
      <c r="C51" s="88" t="s">
        <v>4479</v>
      </c>
      <c r="D51" s="88" t="s">
        <v>2472</v>
      </c>
      <c r="E51" s="45" t="str">
        <f>VLOOKUP(D51,Total!$C$2:$D$439,2,0)</f>
        <v>10 RPL 2</v>
      </c>
      <c r="F51" s="45" t="str">
        <f>VLOOKUP(C51,Total!$B$2:$F$439,5,0)</f>
        <v>AKTIF</v>
      </c>
      <c r="G51" s="46" t="str">
        <f>VLOOKUP($B51,master!$B$2:$S$595,16,0)</f>
        <v>089648536651</v>
      </c>
      <c r="H51" s="46" t="str">
        <f>VLOOKUP($B51,master!$B$2:$S$595,17,0)</f>
        <v>081215851830</v>
      </c>
      <c r="I51" s="46" t="str">
        <f>VLOOKUP($B51,master!$B$2:$S$595,8,0)</f>
        <v>KARANGASEM</v>
      </c>
      <c r="J51" s="46" t="str">
        <f>VLOOKUP($B51,master!$B$2:$S$595,9,0)</f>
        <v>1</v>
      </c>
      <c r="K51" s="46" t="str">
        <f>VLOOKUP($B51,master!$B$2:$S$595,11,0)</f>
        <v>GILANGHARJO</v>
      </c>
      <c r="L51" s="46" t="str">
        <f>VLOOKUP($B51,master!$B$2:$S$595,12,0)</f>
        <v>PANDAK</v>
      </c>
      <c r="M51" s="46" t="str">
        <f>VLOOKUP($B51,master!$B$2:$S$595,6,0)</f>
        <v>RIANA</v>
      </c>
      <c r="N51" s="58" t="str">
        <f>VLOOKUP($B51,master!$B$2:$S$595,15,0)</f>
        <v>MTS N 4 BANTUL</v>
      </c>
      <c r="O51" s="58" t="str">
        <f>VLOOKUP($B51,master!$B$2:$S$595,4,0)</f>
        <v>17-07-2009</v>
      </c>
    </row>
    <row r="52" spans="1:15" ht="15.75" customHeight="1" x14ac:dyDescent="0.25">
      <c r="A52" s="56" t="s">
        <v>134</v>
      </c>
      <c r="B52" s="88" t="s">
        <v>3069</v>
      </c>
      <c r="C52" s="88" t="s">
        <v>4480</v>
      </c>
      <c r="D52" s="88" t="s">
        <v>3070</v>
      </c>
      <c r="E52" s="45" t="str">
        <f>VLOOKUP(D52,Total!$C$2:$D$439,2,0)</f>
        <v>10 RPL 2</v>
      </c>
      <c r="F52" s="45" t="str">
        <f>VLOOKUP(C52,Total!$B$2:$F$439,5,0)</f>
        <v>AKTIF</v>
      </c>
      <c r="G52" s="46" t="str">
        <f>VLOOKUP($B52,master!$B$2:$S$595,16,0)</f>
        <v>0895416181697</v>
      </c>
      <c r="H52" s="46" t="str">
        <f>VLOOKUP($B52,master!$B$2:$S$595,17,0)</f>
        <v>0895403122882</v>
      </c>
      <c r="I52" s="46" t="str">
        <f>VLOOKUP($B52,master!$B$2:$S$595,8,0)</f>
        <v>KEPEK</v>
      </c>
      <c r="J52" s="46" t="str">
        <f>VLOOKUP($B52,master!$B$2:$S$595,9,0)</f>
        <v>05</v>
      </c>
      <c r="K52" s="46" t="str">
        <f>VLOOKUP($B52,master!$B$2:$S$595,11,0)</f>
        <v>TIMBULHARJO</v>
      </c>
      <c r="L52" s="46" t="str">
        <f>VLOOKUP($B52,master!$B$2:$S$595,12,0)</f>
        <v>SEWON</v>
      </c>
      <c r="M52" s="46" t="str">
        <f>VLOOKUP($B52,master!$B$2:$S$595,6,0)</f>
        <v>PARJIONO</v>
      </c>
      <c r="N52" s="58" t="str">
        <f>VLOOKUP($B52,master!$B$2:$S$595,15,0)</f>
        <v>MTS N 2 BANTUL</v>
      </c>
      <c r="O52" s="58" t="str">
        <f>VLOOKUP($B52,master!$B$2:$S$595,4,0)</f>
        <v>30-01-2010</v>
      </c>
    </row>
    <row r="53" spans="1:15" ht="15.75" customHeight="1" x14ac:dyDescent="0.25">
      <c r="A53" s="56" t="s">
        <v>135</v>
      </c>
      <c r="B53" s="88" t="s">
        <v>3652</v>
      </c>
      <c r="C53" s="88" t="s">
        <v>4481</v>
      </c>
      <c r="D53" s="88" t="s">
        <v>3653</v>
      </c>
      <c r="E53" s="45" t="str">
        <f>VLOOKUP(D53,Total!$C$2:$D$439,2,0)</f>
        <v>10 RPL 2</v>
      </c>
      <c r="F53" s="45" t="str">
        <f>VLOOKUP(C53,Total!$B$2:$F$439,5,0)</f>
        <v>AKTIF</v>
      </c>
      <c r="G53" s="46" t="str">
        <f>VLOOKUP($B53,master!$B$2:$S$595,16,0)</f>
        <v>083869826088</v>
      </c>
      <c r="H53" s="46" t="str">
        <f>VLOOKUP($B53,master!$B$2:$S$595,17,0)</f>
        <v>0895808620402</v>
      </c>
      <c r="I53" s="46" t="str">
        <f>VLOOKUP($B53,master!$B$2:$S$595,8,0)</f>
        <v>CODE</v>
      </c>
      <c r="J53" s="46" t="str">
        <f>VLOOKUP($B53,master!$B$2:$S$595,9,0)</f>
        <v>5</v>
      </c>
      <c r="K53" s="46" t="str">
        <f>VLOOKUP($B53,master!$B$2:$S$595,11,0)</f>
        <v>TRIRENGGO</v>
      </c>
      <c r="L53" s="46" t="str">
        <f>VLOOKUP($B53,master!$B$2:$S$595,12,0)</f>
        <v>BANTUL</v>
      </c>
      <c r="M53" s="46" t="str">
        <f>VLOOKUP($B53,master!$B$2:$S$595,6,0)</f>
        <v>RUDI HARTONO</v>
      </c>
      <c r="N53" s="58" t="str">
        <f>VLOOKUP($B53,master!$B$2:$S$595,15,0)</f>
        <v>MTS N 5 BANTUL</v>
      </c>
      <c r="O53" s="58" t="str">
        <f>VLOOKUP($B53,master!$B$2:$S$595,4,0)</f>
        <v>28-06-2009</v>
      </c>
    </row>
    <row r="54" spans="1:15" ht="15.75" customHeight="1" x14ac:dyDescent="0.25">
      <c r="A54" s="56" t="s">
        <v>136</v>
      </c>
      <c r="B54" s="89" t="s">
        <v>2784</v>
      </c>
      <c r="C54" s="88" t="s">
        <v>4482</v>
      </c>
      <c r="D54" s="89" t="s">
        <v>2785</v>
      </c>
      <c r="E54" s="45" t="str">
        <f>VLOOKUP(D54,Total!$C$2:$D$439,2,0)</f>
        <v>10 RPL 2</v>
      </c>
      <c r="F54" s="45" t="str">
        <f>VLOOKUP(C54,Total!$B$2:$F$439,5,0)</f>
        <v>AKTIF</v>
      </c>
      <c r="G54" s="46" t="str">
        <f>VLOOKUP($B54,master!$B$2:$S$595,16,0)</f>
        <v>08179444707</v>
      </c>
      <c r="H54" s="46" t="str">
        <f>VLOOKUP($B54,master!$B$2:$S$595,17,0)</f>
        <v>082324101329</v>
      </c>
      <c r="I54" s="46" t="str">
        <f>VLOOKUP($B54,master!$B$2:$S$595,8,0)</f>
        <v>BANJARDOWO</v>
      </c>
      <c r="J54" s="46" t="str">
        <f>VLOOKUP($B54,master!$B$2:$S$595,9,0)</f>
        <v>87</v>
      </c>
      <c r="K54" s="46" t="str">
        <f>VLOOKUP($B54,master!$B$2:$S$595,11,0)</f>
        <v>PATALAN</v>
      </c>
      <c r="L54" s="46" t="str">
        <f>VLOOKUP($B54,master!$B$2:$S$595,12,0)</f>
        <v>JETIS</v>
      </c>
      <c r="M54" s="46" t="str">
        <f>VLOOKUP($B54,master!$B$2:$S$595,6,0)</f>
        <v>PARJIMAN</v>
      </c>
      <c r="N54" s="58" t="str">
        <f>VLOOKUP($B54,master!$B$2:$S$595,15,0)</f>
        <v>SMP N 1 JETIS</v>
      </c>
      <c r="O54" s="58" t="str">
        <f>VLOOKUP($B54,master!$B$2:$S$595,4,0)</f>
        <v>14-08-2009</v>
      </c>
    </row>
    <row r="55" spans="1:15" ht="15.75" customHeight="1" x14ac:dyDescent="0.25">
      <c r="A55" s="56" t="s">
        <v>137</v>
      </c>
      <c r="B55" s="88" t="s">
        <v>3314</v>
      </c>
      <c r="C55" s="88" t="s">
        <v>4483</v>
      </c>
      <c r="D55" s="88" t="s">
        <v>3315</v>
      </c>
      <c r="E55" s="45" t="str">
        <f>VLOOKUP(D55,Total!$C$2:$D$439,2,0)</f>
        <v>10 RPL 2</v>
      </c>
      <c r="F55" s="45" t="str">
        <f>VLOOKUP(C55,Total!$B$2:$F$439,5,0)</f>
        <v>AKTIF</v>
      </c>
      <c r="G55" s="46" t="str">
        <f>VLOOKUP($B55,master!$B$2:$S$595,16,0)</f>
        <v>085866162060</v>
      </c>
      <c r="H55" s="46" t="str">
        <f>VLOOKUP($B55,master!$B$2:$S$595,17,0)</f>
        <v>089649276935</v>
      </c>
      <c r="I55" s="46" t="str">
        <f>VLOOKUP($B55,master!$B$2:$S$595,8,0)</f>
        <v>TEGALLAYANG 9</v>
      </c>
      <c r="J55" s="46" t="str">
        <f>VLOOKUP($B55,master!$B$2:$S$595,9,0)</f>
        <v>3</v>
      </c>
      <c r="K55" s="46" t="str">
        <f>VLOOKUP($B55,master!$B$2:$S$595,11,0)</f>
        <v>CATURHARJO</v>
      </c>
      <c r="L55" s="46" t="str">
        <f>VLOOKUP($B55,master!$B$2:$S$595,12,0)</f>
        <v>PANDAK</v>
      </c>
      <c r="M55" s="46" t="str">
        <f>VLOOKUP($B55,master!$B$2:$S$595,6,0)</f>
        <v>Agus Sutarto</v>
      </c>
      <c r="N55" s="58" t="str">
        <f>VLOOKUP($B55,master!$B$2:$S$595,15,0)</f>
        <v>SMP N 2 PANDAK</v>
      </c>
      <c r="O55" s="58" t="str">
        <f>VLOOKUP($B55,master!$B$2:$S$595,4,0)</f>
        <v>2-09-2009</v>
      </c>
    </row>
    <row r="56" spans="1:15" ht="15.75" customHeight="1" x14ac:dyDescent="0.25">
      <c r="A56" s="56" t="s">
        <v>138</v>
      </c>
      <c r="B56" s="89" t="s">
        <v>3003</v>
      </c>
      <c r="C56" s="88" t="s">
        <v>4484</v>
      </c>
      <c r="D56" s="89" t="s">
        <v>3004</v>
      </c>
      <c r="E56" s="45" t="str">
        <f>VLOOKUP(D56,Total!$C$2:$D$439,2,0)</f>
        <v>10 RPL 2</v>
      </c>
      <c r="F56" s="45" t="str">
        <f>VLOOKUP(C56,Total!$B$2:$F$439,5,0)</f>
        <v>AKTIF</v>
      </c>
      <c r="G56" s="46" t="str">
        <f>VLOOKUP($B56,master!$B$2:$S$595,16,0)</f>
        <v>081931777023</v>
      </c>
      <c r="H56" s="46" t="str">
        <f>VLOOKUP($B56,master!$B$2:$S$595,17,0)</f>
        <v>083840717030</v>
      </c>
      <c r="I56" s="46" t="str">
        <f>VLOOKUP($B56,master!$B$2:$S$595,8,0)</f>
        <v>PUTON</v>
      </c>
      <c r="J56" s="46" t="str">
        <f>VLOOKUP($B56,master!$B$2:$S$595,9,0)</f>
        <v>03</v>
      </c>
      <c r="K56" s="46" t="str">
        <f>VLOOKUP($B56,master!$B$2:$S$595,11,0)</f>
        <v>TRIMULYO</v>
      </c>
      <c r="L56" s="46" t="str">
        <f>VLOOKUP($B56,master!$B$2:$S$595,12,0)</f>
        <v>JETIS</v>
      </c>
      <c r="M56" s="46" t="str">
        <f>VLOOKUP($B56,master!$B$2:$S$595,6,0)</f>
        <v>Riyani</v>
      </c>
      <c r="N56" s="58" t="str">
        <f>VLOOKUP($B56,master!$B$2:$S$595,15,0)</f>
        <v>SMP N 2 IMOGIRI</v>
      </c>
      <c r="O56" s="58" t="str">
        <f>VLOOKUP($B56,master!$B$2:$S$595,4,0)</f>
        <v>27-03-2009</v>
      </c>
    </row>
    <row r="57" spans="1:15" ht="15.75" customHeight="1" x14ac:dyDescent="0.25">
      <c r="A57" s="56" t="s">
        <v>139</v>
      </c>
      <c r="B57" s="89" t="s">
        <v>3715</v>
      </c>
      <c r="C57" s="88" t="s">
        <v>4485</v>
      </c>
      <c r="D57" s="89" t="s">
        <v>3716</v>
      </c>
      <c r="E57" s="45" t="str">
        <f>VLOOKUP(D57,Total!$C$2:$D$439,2,0)</f>
        <v>10 RPL 2</v>
      </c>
      <c r="F57" s="45" t="str">
        <f>VLOOKUP(C57,Total!$B$2:$F$439,5,0)</f>
        <v>AKTIF</v>
      </c>
      <c r="G57" s="46" t="str">
        <f>VLOOKUP($B57,master!$B$2:$S$595,16,0)</f>
        <v>08997462431</v>
      </c>
      <c r="H57" s="46" t="str">
        <f>VLOOKUP($B57,master!$B$2:$S$595,17,0)</f>
        <v>08997462431</v>
      </c>
      <c r="I57" s="46" t="str">
        <f>VLOOKUP($B57,master!$B$2:$S$595,8,0)</f>
        <v>SAWO DK. NGENTAK</v>
      </c>
      <c r="J57" s="46" t="str">
        <f>VLOOKUP($B57,master!$B$2:$S$595,9,0)</f>
        <v>03</v>
      </c>
      <c r="K57" s="46" t="str">
        <f>VLOOKUP($B57,master!$B$2:$S$595,11,0)</f>
        <v>SUMBERAGUNG</v>
      </c>
      <c r="L57" s="46" t="str">
        <f>VLOOKUP($B57,master!$B$2:$S$595,12,0)</f>
        <v>JETIS</v>
      </c>
      <c r="M57" s="46" t="str">
        <f>VLOOKUP($B57,master!$B$2:$S$595,6,0)</f>
        <v>MUGIYONO</v>
      </c>
      <c r="N57" s="58" t="str">
        <f>VLOOKUP($B57,master!$B$2:$S$595,15,0)</f>
        <v>SMP MUHAMMADIYAH IMOGIRI</v>
      </c>
      <c r="O57" s="58" t="str">
        <f>VLOOKUP($B57,master!$B$2:$S$595,4,0)</f>
        <v>21-10-2008</v>
      </c>
    </row>
    <row r="58" spans="1:15" ht="15.75" customHeight="1" x14ac:dyDescent="0.25">
      <c r="A58" s="56" t="s">
        <v>140</v>
      </c>
      <c r="B58" s="88" t="s">
        <v>3014</v>
      </c>
      <c r="C58" s="88" t="s">
        <v>4486</v>
      </c>
      <c r="D58" s="88" t="s">
        <v>3015</v>
      </c>
      <c r="E58" s="45" t="str">
        <f>VLOOKUP(D58,Total!$C$2:$D$439,2,0)</f>
        <v>10 RPL 2</v>
      </c>
      <c r="F58" s="45" t="str">
        <f>VLOOKUP(C58,Total!$B$2:$F$439,5,0)</f>
        <v>AKTIF</v>
      </c>
      <c r="G58" s="46" t="str">
        <f>VLOOKUP($B58,master!$B$2:$S$595,16,0)</f>
        <v>081278721704</v>
      </c>
      <c r="H58" s="46" t="str">
        <f>VLOOKUP($B58,master!$B$2:$S$595,17,0)</f>
        <v>082180605022</v>
      </c>
      <c r="I58" s="46" t="str">
        <f>VLOOKUP($B58,master!$B$2:$S$595,8,0)</f>
        <v>BEJI</v>
      </c>
      <c r="J58" s="46" t="str">
        <f>VLOOKUP($B58,master!$B$2:$S$595,9,0)</f>
        <v>1</v>
      </c>
      <c r="K58" s="46" t="str">
        <f>VLOOKUP($B58,master!$B$2:$S$595,11,0)</f>
        <v>SUMBERAGUNG</v>
      </c>
      <c r="L58" s="46" t="str">
        <f>VLOOKUP($B58,master!$B$2:$S$595,12,0)</f>
        <v>JETIS</v>
      </c>
      <c r="M58" s="46" t="str">
        <f>VLOOKUP($B58,master!$B$2:$S$595,6,0)</f>
        <v>NASIP</v>
      </c>
      <c r="N58" s="58" t="str">
        <f>VLOOKUP($B58,master!$B$2:$S$595,15,0)</f>
        <v>SMP N 3 TEBO</v>
      </c>
      <c r="O58" s="58" t="str">
        <f>VLOOKUP($B58,master!$B$2:$S$595,4,0)</f>
        <v>4-10-2009</v>
      </c>
    </row>
    <row r="59" spans="1:15" ht="15.75" customHeight="1" x14ac:dyDescent="0.25">
      <c r="A59" s="56" t="s">
        <v>141</v>
      </c>
      <c r="B59" s="88" t="s">
        <v>883</v>
      </c>
      <c r="C59" s="88" t="s">
        <v>4487</v>
      </c>
      <c r="D59" s="88" t="s">
        <v>884</v>
      </c>
      <c r="E59" s="45" t="str">
        <f>VLOOKUP(D59,Total!$C$2:$D$439,2,0)</f>
        <v>10 RPL 2</v>
      </c>
      <c r="F59" s="45" t="str">
        <f>VLOOKUP(C59,Total!$B$2:$F$439,5,0)</f>
        <v>AKTIF</v>
      </c>
      <c r="G59" s="46" t="str">
        <f>VLOOKUP($B59,master!$B$2:$S$595,16,0)</f>
        <v>087705478581</v>
      </c>
      <c r="H59" s="46">
        <f>VLOOKUP($B59,master!$B$2:$S$595,17,0)</f>
        <v>0</v>
      </c>
      <c r="I59" s="46" t="str">
        <f>VLOOKUP($B59,master!$B$2:$S$595,8,0)</f>
        <v>SOKOKEREP</v>
      </c>
      <c r="J59" s="46" t="str">
        <f>VLOOKUP($B59,master!$B$2:$S$595,9,0)</f>
        <v>7</v>
      </c>
      <c r="K59" s="46" t="str">
        <f>VLOOKUP($B59,master!$B$2:$S$595,11,0)</f>
        <v>SEMANU</v>
      </c>
      <c r="L59" s="46" t="str">
        <f>VLOOKUP($B59,master!$B$2:$S$595,12,0)</f>
        <v>SEMANU</v>
      </c>
      <c r="M59" s="46" t="str">
        <f>VLOOKUP($B59,master!$B$2:$S$595,6,0)</f>
        <v>HERMANU</v>
      </c>
      <c r="N59" s="58" t="str">
        <f>VLOOKUP($B59,master!$B$2:$S$595,15,0)</f>
        <v>SMP N 2 PAJANGAN</v>
      </c>
      <c r="O59" s="58" t="str">
        <f>VLOOKUP($B59,master!$B$2:$S$595,4,0)</f>
        <v>2-08-2009</v>
      </c>
    </row>
    <row r="60" spans="1:15" ht="15.75" customHeight="1" x14ac:dyDescent="0.25">
      <c r="A60" s="56" t="s">
        <v>142</v>
      </c>
      <c r="B60" s="88" t="s">
        <v>2791</v>
      </c>
      <c r="C60" s="88" t="s">
        <v>4488</v>
      </c>
      <c r="D60" s="88" t="s">
        <v>2792</v>
      </c>
      <c r="E60" s="45" t="str">
        <f>VLOOKUP(D60,Total!$C$2:$D$439,2,0)</f>
        <v>10 RPL 2</v>
      </c>
      <c r="F60" s="45" t="str">
        <f>VLOOKUP(C60,Total!$B$2:$F$439,5,0)</f>
        <v>AKTIF</v>
      </c>
      <c r="G60" s="46" t="str">
        <f>VLOOKUP($B60,master!$B$2:$S$595,16,0)</f>
        <v>082242073828</v>
      </c>
      <c r="H60" s="46" t="str">
        <f>VLOOKUP($B60,master!$B$2:$S$595,17,0)</f>
        <v>0882007390278</v>
      </c>
      <c r="I60" s="46" t="str">
        <f>VLOOKUP($B60,master!$B$2:$S$595,8,0)</f>
        <v>MANGGUNG</v>
      </c>
      <c r="J60" s="46" t="str">
        <f>VLOOKUP($B60,master!$B$2:$S$595,9,0)</f>
        <v>5</v>
      </c>
      <c r="K60" s="46" t="str">
        <f>VLOOKUP($B60,master!$B$2:$S$595,11,0)</f>
        <v>TIMBULHARJO</v>
      </c>
      <c r="L60" s="46" t="str">
        <f>VLOOKUP($B60,master!$B$2:$S$595,12,0)</f>
        <v>SEWON</v>
      </c>
      <c r="M60" s="46" t="str">
        <f>VLOOKUP($B60,master!$B$2:$S$595,6,0)</f>
        <v>R ANDRIAS NOVIARDI</v>
      </c>
      <c r="N60" s="58" t="str">
        <f>VLOOKUP($B60,master!$B$2:$S$595,15,0)</f>
        <v>SMP N 2 SEWON</v>
      </c>
      <c r="O60" s="58" t="str">
        <f>VLOOKUP($B60,master!$B$2:$S$595,4,0)</f>
        <v>1-10-2009</v>
      </c>
    </row>
    <row r="61" spans="1:15" ht="15.75" customHeight="1" x14ac:dyDescent="0.25">
      <c r="A61" s="56" t="s">
        <v>143</v>
      </c>
      <c r="B61" s="88" t="s">
        <v>3607</v>
      </c>
      <c r="C61" s="88" t="s">
        <v>4489</v>
      </c>
      <c r="D61" s="88" t="s">
        <v>3608</v>
      </c>
      <c r="E61" s="45" t="str">
        <f>VLOOKUP(D61,Total!$C$2:$D$439,2,0)</f>
        <v>10 RPL 2</v>
      </c>
      <c r="F61" s="45" t="str">
        <f>VLOOKUP(C61,Total!$B$2:$F$439,5,0)</f>
        <v>AKTIF</v>
      </c>
      <c r="G61" s="46" t="str">
        <f>VLOOKUP($B61,master!$B$2:$S$595,16,0)</f>
        <v>0895704357154</v>
      </c>
      <c r="H61" s="46" t="str">
        <f>VLOOKUP($B61,master!$B$2:$S$595,17,0)</f>
        <v>085925980963</v>
      </c>
      <c r="I61" s="46" t="str">
        <f>VLOOKUP($B61,master!$B$2:$S$595,8,0)</f>
        <v>PAYAMAN SELATAN</v>
      </c>
      <c r="J61" s="46" t="str">
        <f>VLOOKUP($B61,master!$B$2:$S$595,9,0)</f>
        <v>02</v>
      </c>
      <c r="K61" s="46" t="str">
        <f>VLOOKUP($B61,master!$B$2:$S$595,11,0)</f>
        <v>GIRIREJO</v>
      </c>
      <c r="L61" s="46" t="str">
        <f>VLOOKUP($B61,master!$B$2:$S$595,12,0)</f>
        <v>IMOGIRI</v>
      </c>
      <c r="M61" s="46" t="str">
        <f>VLOOKUP($B61,master!$B$2:$S$595,6,0)</f>
        <v>Harjito</v>
      </c>
      <c r="N61" s="58" t="str">
        <f>VLOOKUP($B61,master!$B$2:$S$595,15,0)</f>
        <v>SMP N 3 IMOGIRI</v>
      </c>
      <c r="O61" s="58" t="str">
        <f>VLOOKUP($B61,master!$B$2:$S$595,4,0)</f>
        <v>6-08-2009</v>
      </c>
    </row>
    <row r="62" spans="1:15" ht="15.75" customHeight="1" x14ac:dyDescent="0.25">
      <c r="A62" s="56" t="s">
        <v>144</v>
      </c>
      <c r="B62" s="88" t="s">
        <v>1203</v>
      </c>
      <c r="C62" s="88" t="s">
        <v>4490</v>
      </c>
      <c r="D62" s="88" t="s">
        <v>1204</v>
      </c>
      <c r="E62" s="45" t="str">
        <f>VLOOKUP(D62,Total!$C$2:$D$439,2,0)</f>
        <v>10 RPL 2</v>
      </c>
      <c r="F62" s="45" t="str">
        <f>VLOOKUP(C62,Total!$B$2:$F$439,5,0)</f>
        <v>AKTIF</v>
      </c>
      <c r="G62" s="46" t="str">
        <f>VLOOKUP($B62,master!$B$2:$S$595,16,0)</f>
        <v>081904004042</v>
      </c>
      <c r="H62" s="46" t="str">
        <f>VLOOKUP($B62,master!$B$2:$S$595,17,0)</f>
        <v>081326112480</v>
      </c>
      <c r="I62" s="46" t="str">
        <f>VLOOKUP($B62,master!$B$2:$S$595,8,0)</f>
        <v>TEGAL SEMPU</v>
      </c>
      <c r="J62" s="46" t="str">
        <f>VLOOKUP($B62,master!$B$2:$S$595,9,0)</f>
        <v>2</v>
      </c>
      <c r="K62" s="46" t="str">
        <f>VLOOKUP($B62,master!$B$2:$S$595,11,0)</f>
        <v>CATURHARJO</v>
      </c>
      <c r="L62" s="46" t="str">
        <f>VLOOKUP($B62,master!$B$2:$S$595,12,0)</f>
        <v>PANDAK</v>
      </c>
      <c r="M62" s="46" t="str">
        <f>VLOOKUP($B62,master!$B$2:$S$595,6,0)</f>
        <v>LANNY PRABERTI SARI</v>
      </c>
      <c r="N62" s="58" t="str">
        <f>VLOOKUP($B62,master!$B$2:$S$595,15,0)</f>
        <v>SMP N 2 PANDAK</v>
      </c>
      <c r="O62" s="58" t="str">
        <f>VLOOKUP($B62,master!$B$2:$S$595,4,0)</f>
        <v>8-09-2009</v>
      </c>
    </row>
    <row r="63" spans="1:15" ht="15.75" customHeight="1" x14ac:dyDescent="0.25">
      <c r="A63" s="56" t="s">
        <v>145</v>
      </c>
      <c r="B63" s="88" t="s">
        <v>3136</v>
      </c>
      <c r="C63" s="88" t="s">
        <v>4491</v>
      </c>
      <c r="D63" s="88" t="s">
        <v>3137</v>
      </c>
      <c r="E63" s="45" t="str">
        <f>VLOOKUP(D63,Total!$C$2:$D$439,2,0)</f>
        <v>10 RPL 2</v>
      </c>
      <c r="F63" s="45" t="str">
        <f>VLOOKUP(C63,Total!$B$2:$F$439,5,0)</f>
        <v>AKTIF</v>
      </c>
      <c r="G63" s="46" t="str">
        <f>VLOOKUP($B63,master!$B$2:$S$595,16,0)</f>
        <v>081210981305</v>
      </c>
      <c r="H63" s="46" t="str">
        <f>VLOOKUP($B63,master!$B$2:$S$595,17,0)</f>
        <v>08987871533</v>
      </c>
      <c r="I63" s="46" t="str">
        <f>VLOOKUP($B63,master!$B$2:$S$595,8,0)</f>
        <v>GELANGAN</v>
      </c>
      <c r="J63" s="46" t="str">
        <f>VLOOKUP($B63,master!$B$2:$S$595,9,0)</f>
        <v>15</v>
      </c>
      <c r="K63" s="46" t="str">
        <f>VLOOKUP($B63,master!$B$2:$S$595,11,0)</f>
        <v>PATALAN</v>
      </c>
      <c r="L63" s="46" t="str">
        <f>VLOOKUP($B63,master!$B$2:$S$595,12,0)</f>
        <v>JETIS</v>
      </c>
      <c r="M63" s="46" t="str">
        <f>VLOOKUP($B63,master!$B$2:$S$595,6,0)</f>
        <v>NANANG ZAIMUNTHOHA</v>
      </c>
      <c r="N63" s="58" t="str">
        <f>VLOOKUP($B63,master!$B$2:$S$595,15,0)</f>
        <v>SMP N 3 JETIS</v>
      </c>
      <c r="O63" s="58" t="str">
        <f>VLOOKUP($B63,master!$B$2:$S$595,4,0)</f>
        <v>27-09-2009</v>
      </c>
    </row>
    <row r="64" spans="1:15" ht="15.75" customHeight="1" x14ac:dyDescent="0.25">
      <c r="A64" s="56" t="s">
        <v>146</v>
      </c>
      <c r="B64" s="88" t="s">
        <v>1339</v>
      </c>
      <c r="C64" s="88" t="s">
        <v>4492</v>
      </c>
      <c r="D64" s="88" t="s">
        <v>1340</v>
      </c>
      <c r="E64" s="45" t="str">
        <f>VLOOKUP(D64,Total!$C$2:$D$439,2,0)</f>
        <v>10 RPL 2</v>
      </c>
      <c r="F64" s="45" t="str">
        <f>VLOOKUP(C64,Total!$B$2:$F$439,5,0)</f>
        <v>AKTIF</v>
      </c>
      <c r="G64" s="46" t="str">
        <f>VLOOKUP($B64,master!$B$2:$S$595,16,0)</f>
        <v>081393044040</v>
      </c>
      <c r="H64" s="46" t="str">
        <f>VLOOKUP($B64,master!$B$2:$S$595,17,0)</f>
        <v>083150030944</v>
      </c>
      <c r="I64" s="46" t="str">
        <f>VLOOKUP($B64,master!$B$2:$S$595,8,0)</f>
        <v>PEPE</v>
      </c>
      <c r="J64" s="46" t="str">
        <f>VLOOKUP($B64,master!$B$2:$S$595,9,0)</f>
        <v>04</v>
      </c>
      <c r="K64" s="46" t="str">
        <f>VLOOKUP($B64,master!$B$2:$S$595,11,0)</f>
        <v>TRIRENGGO</v>
      </c>
      <c r="L64" s="46" t="str">
        <f>VLOOKUP($B64,master!$B$2:$S$595,12,0)</f>
        <v>BANTUL</v>
      </c>
      <c r="M64" s="46" t="str">
        <f>VLOOKUP($B64,master!$B$2:$S$595,6,0)</f>
        <v>EKO PRASTYO</v>
      </c>
      <c r="N64" s="58" t="str">
        <f>VLOOKUP($B64,master!$B$2:$S$595,15,0)</f>
        <v>SMP MUHAMMADIYAH BANTUL</v>
      </c>
      <c r="O64" s="58" t="str">
        <f>VLOOKUP($B64,master!$B$2:$S$595,4,0)</f>
        <v>1-08-2010</v>
      </c>
    </row>
    <row r="65" spans="1:15" ht="15.75" customHeight="1" x14ac:dyDescent="0.25">
      <c r="A65" s="56" t="s">
        <v>147</v>
      </c>
      <c r="B65" s="88" t="s">
        <v>1910</v>
      </c>
      <c r="C65" s="88" t="s">
        <v>4493</v>
      </c>
      <c r="D65" s="88" t="s">
        <v>1911</v>
      </c>
      <c r="E65" s="45" t="str">
        <f>VLOOKUP(D65,Total!$C$2:$D$439,2,0)</f>
        <v>10 RPL 2</v>
      </c>
      <c r="F65" s="45" t="str">
        <f>VLOOKUP(C65,Total!$B$2:$F$439,5,0)</f>
        <v>AKTIF</v>
      </c>
      <c r="G65" s="46" t="str">
        <f>VLOOKUP($B65,master!$B$2:$S$595,16,0)</f>
        <v>083875520602</v>
      </c>
      <c r="H65" s="46" t="str">
        <f>VLOOKUP($B65,master!$B$2:$S$595,17,0)</f>
        <v>083193146754</v>
      </c>
      <c r="I65" s="46" t="str">
        <f>VLOOKUP($B65,master!$B$2:$S$595,8,0)</f>
        <v>MASAHAN</v>
      </c>
      <c r="J65" s="46" t="str">
        <f>VLOOKUP($B65,master!$B$2:$S$595,9,0)</f>
        <v>4</v>
      </c>
      <c r="K65" s="46" t="str">
        <f>VLOOKUP($B65,master!$B$2:$S$595,11,0)</f>
        <v>TRIRENGGO</v>
      </c>
      <c r="L65" s="46" t="str">
        <f>VLOOKUP($B65,master!$B$2:$S$595,12,0)</f>
        <v>BANTUL</v>
      </c>
      <c r="M65" s="46" t="str">
        <f>VLOOKUP($B65,master!$B$2:$S$595,6,0)</f>
        <v>ARIS SUSANTO</v>
      </c>
      <c r="N65" s="58" t="str">
        <f>VLOOKUP($B65,master!$B$2:$S$595,15,0)</f>
        <v>SMP N 1 BANTUL</v>
      </c>
      <c r="O65" s="58" t="str">
        <f>VLOOKUP($B65,master!$B$2:$S$595,4,0)</f>
        <v>22-04-2010</v>
      </c>
    </row>
    <row r="66" spans="1:15" ht="15.75" customHeight="1" x14ac:dyDescent="0.25">
      <c r="A66" s="56" t="s">
        <v>148</v>
      </c>
      <c r="B66" s="89" t="s">
        <v>3388</v>
      </c>
      <c r="C66" s="88" t="s">
        <v>4494</v>
      </c>
      <c r="D66" s="89" t="s">
        <v>3389</v>
      </c>
      <c r="E66" s="45" t="str">
        <f>VLOOKUP(D66,Total!$C$2:$D$439,2,0)</f>
        <v>10 RPL 2</v>
      </c>
      <c r="F66" s="45" t="str">
        <f>VLOOKUP(C66,Total!$B$2:$F$439,5,0)</f>
        <v>AKTIF</v>
      </c>
      <c r="G66" s="46" t="str">
        <f>VLOOKUP($B66,master!$B$2:$S$595,16,0)</f>
        <v>085943549781</v>
      </c>
      <c r="H66" s="46" t="str">
        <f>VLOOKUP($B66,master!$B$2:$S$595,17,0)</f>
        <v>087814149729</v>
      </c>
      <c r="I66" s="46" t="str">
        <f>VLOOKUP($B66,master!$B$2:$S$595,8,0)</f>
        <v>GATAK</v>
      </c>
      <c r="J66" s="46" t="str">
        <f>VLOOKUP($B66,master!$B$2:$S$595,9,0)</f>
        <v>5</v>
      </c>
      <c r="K66" s="46" t="str">
        <f>VLOOKUP($B66,master!$B$2:$S$595,11,0)</f>
        <v>SUMBERAGUNG</v>
      </c>
      <c r="L66" s="46" t="str">
        <f>VLOOKUP($B66,master!$B$2:$S$595,12,0)</f>
        <v>JETIS</v>
      </c>
      <c r="M66" s="46" t="str">
        <f>VLOOKUP($B66,master!$B$2:$S$595,6,0)</f>
        <v>SUMANTO</v>
      </c>
      <c r="N66" s="58" t="str">
        <f>VLOOKUP($B66,master!$B$2:$S$595,15,0)</f>
        <v>SMP N 1 JETIS</v>
      </c>
      <c r="O66" s="58" t="str">
        <f>VLOOKUP($B66,master!$B$2:$S$595,4,0)</f>
        <v>3-07-2010</v>
      </c>
    </row>
    <row r="67" spans="1:15" ht="15.75" customHeight="1" x14ac:dyDescent="0.25">
      <c r="A67" s="56" t="s">
        <v>149</v>
      </c>
      <c r="B67" s="88" t="s">
        <v>3451</v>
      </c>
      <c r="C67" s="88" t="s">
        <v>4064</v>
      </c>
      <c r="D67" s="88" t="s">
        <v>3452</v>
      </c>
      <c r="E67" s="45" t="str">
        <f>VLOOKUP(D67,Total!$C$2:$D$439,2,0)</f>
        <v>10 TAV</v>
      </c>
      <c r="F67" s="45" t="str">
        <f>VLOOKUP(C67,Total!$B$2:$F$439,5,0)</f>
        <v>AKTIF</v>
      </c>
      <c r="G67" s="46" t="str">
        <f>VLOOKUP($B67,master!$B$2:$S$595,16,0)</f>
        <v>081328824337</v>
      </c>
      <c r="H67" s="46" t="str">
        <f>VLOOKUP($B67,master!$B$2:$S$595,17,0)</f>
        <v>083136224185</v>
      </c>
      <c r="I67" s="46" t="str">
        <f>VLOOKUP($B67,master!$B$2:$S$595,8,0)</f>
        <v>GERSELO</v>
      </c>
      <c r="J67" s="46" t="str">
        <f>VLOOKUP($B67,master!$B$2:$S$595,9,0)</f>
        <v>051</v>
      </c>
      <c r="K67" s="46" t="str">
        <f>VLOOKUP($B67,master!$B$2:$S$595,11,0)</f>
        <v>PATALAN</v>
      </c>
      <c r="L67" s="46" t="str">
        <f>VLOOKUP($B67,master!$B$2:$S$595,12,0)</f>
        <v>JETIS</v>
      </c>
      <c r="M67" s="46" t="str">
        <f>VLOOKUP($B67,master!$B$2:$S$595,6,0)</f>
        <v>AMINA</v>
      </c>
      <c r="N67" s="58" t="str">
        <f>VLOOKUP($B67,master!$B$2:$S$595,15,0)</f>
        <v>SMP N 3 JETIS</v>
      </c>
      <c r="O67" s="58" t="str">
        <f>VLOOKUP($B67,master!$B$2:$S$595,4,0)</f>
        <v>8-06-2010</v>
      </c>
    </row>
    <row r="68" spans="1:15" ht="15.75" customHeight="1" x14ac:dyDescent="0.25">
      <c r="A68" s="56" t="s">
        <v>150</v>
      </c>
      <c r="B68" s="88" t="s">
        <v>3273</v>
      </c>
      <c r="C68" s="88" t="s">
        <v>4065</v>
      </c>
      <c r="D68" s="88" t="s">
        <v>3274</v>
      </c>
      <c r="E68" s="45" t="str">
        <f>VLOOKUP(D68,Total!$C$2:$D$439,2,0)</f>
        <v>10 TAV</v>
      </c>
      <c r="F68" s="45" t="str">
        <f>VLOOKUP(C68,Total!$B$2:$F$439,5,0)</f>
        <v>AKTIF</v>
      </c>
      <c r="G68" s="46" t="str">
        <f>VLOOKUP($B68,master!$B$2:$S$595,16,0)</f>
        <v>081228566895</v>
      </c>
      <c r="H68" s="46" t="str">
        <f>VLOOKUP($B68,master!$B$2:$S$595,17,0)</f>
        <v>082324687192</v>
      </c>
      <c r="I68" s="46" t="str">
        <f>VLOOKUP($B68,master!$B$2:$S$595,8,0)</f>
        <v>CEPOKO</v>
      </c>
      <c r="J68" s="46" t="str">
        <f>VLOOKUP($B68,master!$B$2:$S$595,9,0)</f>
        <v>06</v>
      </c>
      <c r="K68" s="46" t="str">
        <f>VLOOKUP($B68,master!$B$2:$S$595,11,0)</f>
        <v>TRIRENGGO</v>
      </c>
      <c r="L68" s="46" t="str">
        <f>VLOOKUP($B68,master!$B$2:$S$595,12,0)</f>
        <v>BANTUL</v>
      </c>
      <c r="M68" s="46" t="str">
        <f>VLOOKUP($B68,master!$B$2:$S$595,6,0)</f>
        <v>yuli nurkholis</v>
      </c>
      <c r="N68" s="58" t="str">
        <f>VLOOKUP($B68,master!$B$2:$S$595,15,0)</f>
        <v>SMP N 3 BANTUL</v>
      </c>
      <c r="O68" s="58" t="str">
        <f>VLOOKUP($B68,master!$B$2:$S$595,4,0)</f>
        <v>10-10-2009</v>
      </c>
    </row>
    <row r="69" spans="1:15" ht="15.75" customHeight="1" x14ac:dyDescent="0.25">
      <c r="A69" s="56" t="s">
        <v>151</v>
      </c>
      <c r="B69" s="88" t="s">
        <v>4031</v>
      </c>
      <c r="C69" s="88" t="s">
        <v>4066</v>
      </c>
      <c r="D69" s="88" t="s">
        <v>4032</v>
      </c>
      <c r="E69" s="45" t="str">
        <f>VLOOKUP(D69,Total!$C$2:$D$439,2,0)</f>
        <v>10 TAV</v>
      </c>
      <c r="F69" s="45" t="str">
        <f>VLOOKUP(C69,Total!$B$2:$F$439,5,0)</f>
        <v>AKTIF</v>
      </c>
      <c r="G69" s="46" t="str">
        <f>VLOOKUP($B69,master!$B$2:$S$595,16,0)</f>
        <v>089505973629</v>
      </c>
      <c r="H69" s="46" t="str">
        <f>VLOOKUP($B69,master!$B$2:$S$595,17,0)</f>
        <v>089618697080</v>
      </c>
      <c r="I69" s="46" t="str">
        <f>VLOOKUP($B69,master!$B$2:$S$595,8,0)</f>
        <v>WATULANGKAH</v>
      </c>
      <c r="J69" s="46" t="str">
        <f>VLOOKUP($B69,master!$B$2:$S$595,9,0)</f>
        <v>1</v>
      </c>
      <c r="K69" s="46" t="str">
        <f>VLOOKUP($B69,master!$B$2:$S$595,11,0)</f>
        <v>AMBARKETAWANG</v>
      </c>
      <c r="L69" s="46" t="str">
        <f>VLOOKUP($B69,master!$B$2:$S$595,12,0)</f>
        <v>GAMPING</v>
      </c>
      <c r="M69" s="46" t="str">
        <f>VLOOKUP($B69,master!$B$2:$S$595,6,0)</f>
        <v>SULASTRI</v>
      </c>
      <c r="N69" s="58" t="str">
        <f>VLOOKUP($B69,master!$B$2:$S$595,15,0)</f>
        <v>MTS AL HADI 2</v>
      </c>
      <c r="O69" s="58" t="str">
        <f>VLOOKUP($B69,master!$B$2:$S$595,4,0)</f>
        <v>29-10-2009</v>
      </c>
    </row>
    <row r="70" spans="1:15" ht="15.75" customHeight="1" x14ac:dyDescent="0.25">
      <c r="A70" s="56" t="s">
        <v>152</v>
      </c>
      <c r="B70" s="88" t="s">
        <v>3710</v>
      </c>
      <c r="C70" s="88" t="s">
        <v>4067</v>
      </c>
      <c r="D70" s="88" t="s">
        <v>3711</v>
      </c>
      <c r="E70" s="45" t="str">
        <f>VLOOKUP(D70,Total!$C$2:$D$439,2,0)</f>
        <v>10 TAV</v>
      </c>
      <c r="F70" s="45" t="str">
        <f>VLOOKUP(C70,Total!$B$2:$F$439,5,0)</f>
        <v>AKTIF</v>
      </c>
      <c r="G70" s="46" t="str">
        <f>VLOOKUP($B70,master!$B$2:$S$595,16,0)</f>
        <v>089527499643</v>
      </c>
      <c r="H70" s="46" t="str">
        <f>VLOOKUP($B70,master!$B$2:$S$595,17,0)</f>
        <v>0895417640030</v>
      </c>
      <c r="I70" s="46" t="str">
        <f>VLOOKUP($B70,master!$B$2:$S$595,8,0)</f>
        <v>SUDIMORO</v>
      </c>
      <c r="J70" s="46" t="str">
        <f>VLOOKUP($B70,master!$B$2:$S$595,9,0)</f>
        <v>04</v>
      </c>
      <c r="K70" s="46" t="str">
        <f>VLOOKUP($B70,master!$B$2:$S$595,11,0)</f>
        <v>TIMBULHARJO</v>
      </c>
      <c r="L70" s="46" t="str">
        <f>VLOOKUP($B70,master!$B$2:$S$595,12,0)</f>
        <v>SEWON</v>
      </c>
      <c r="M70" s="46" t="str">
        <f>VLOOKUP($B70,master!$B$2:$S$595,6,0)</f>
        <v>MUHAMMAD HERDI MARYANTO</v>
      </c>
      <c r="N70" s="58" t="str">
        <f>VLOOKUP($B70,master!$B$2:$S$595,15,0)</f>
        <v>MTS N 2 BANTUL</v>
      </c>
      <c r="O70" s="58" t="str">
        <f>VLOOKUP($B70,master!$B$2:$S$595,4,0)</f>
        <v>11-02-2010</v>
      </c>
    </row>
    <row r="71" spans="1:15" ht="15.75" customHeight="1" x14ac:dyDescent="0.25">
      <c r="A71" s="56" t="s">
        <v>153</v>
      </c>
      <c r="B71" s="89" t="s">
        <v>3736</v>
      </c>
      <c r="C71" s="88" t="s">
        <v>4068</v>
      </c>
      <c r="D71" s="89" t="s">
        <v>3737</v>
      </c>
      <c r="E71" s="45" t="str">
        <f>VLOOKUP(D71,Total!$C$2:$D$439,2,0)</f>
        <v>10 TAV</v>
      </c>
      <c r="F71" s="45" t="str">
        <f>VLOOKUP(C71,Total!$B$2:$F$439,5,0)</f>
        <v>AKTIF</v>
      </c>
      <c r="G71" s="46" t="str">
        <f>VLOOKUP($B71,master!$B$2:$S$595,16,0)</f>
        <v>0882005149408</v>
      </c>
      <c r="H71" s="46" t="str">
        <f>VLOOKUP($B71,master!$B$2:$S$595,17,0)</f>
        <v>0882005149408</v>
      </c>
      <c r="I71" s="46" t="str">
        <f>VLOOKUP($B71,master!$B$2:$S$595,8,0)</f>
        <v>DUKUH</v>
      </c>
      <c r="J71" s="46" t="str">
        <f>VLOOKUP($B71,master!$B$2:$S$595,9,0)</f>
        <v>3</v>
      </c>
      <c r="K71" s="46" t="str">
        <f>VLOOKUP($B71,master!$B$2:$S$595,11,0)</f>
        <v>SABDODADI</v>
      </c>
      <c r="L71" s="46" t="str">
        <f>VLOOKUP($B71,master!$B$2:$S$595,12,0)</f>
        <v>BANTUL</v>
      </c>
      <c r="M71" s="46" t="str">
        <f>VLOOKUP($B71,master!$B$2:$S$595,6,0)</f>
        <v>RIRIN DEVIANA</v>
      </c>
      <c r="N71" s="58" t="str">
        <f>VLOOKUP($B71,master!$B$2:$S$595,15,0)</f>
        <v>SMP N 23 BANDAR LAMPUNG</v>
      </c>
      <c r="O71" s="58" t="str">
        <f>VLOOKUP($B71,master!$B$2:$S$595,4,0)</f>
        <v>14-09-2009</v>
      </c>
    </row>
    <row r="72" spans="1:15" ht="15.75" customHeight="1" x14ac:dyDescent="0.25">
      <c r="A72" s="56" t="s">
        <v>154</v>
      </c>
      <c r="B72" s="88" t="s">
        <v>2069</v>
      </c>
      <c r="C72" s="88" t="s">
        <v>4069</v>
      </c>
      <c r="D72" s="88" t="s">
        <v>2070</v>
      </c>
      <c r="E72" s="45" t="str">
        <f>VLOOKUP(D72,Total!$C$2:$D$439,2,0)</f>
        <v>10 TAV</v>
      </c>
      <c r="F72" s="45" t="str">
        <f>VLOOKUP(C72,Total!$B$2:$F$439,5,0)</f>
        <v>AKTIF</v>
      </c>
      <c r="G72" s="46" t="str">
        <f>VLOOKUP($B72,master!$B$2:$S$595,16,0)</f>
        <v>083186036584/082133258731</v>
      </c>
      <c r="H72" s="46" t="str">
        <f>VLOOKUP($B72,master!$B$2:$S$595,17,0)</f>
        <v>083164501818</v>
      </c>
      <c r="I72" s="46" t="str">
        <f>VLOOKUP($B72,master!$B$2:$S$595,8,0)</f>
        <v>JL. PERMAI 6</v>
      </c>
      <c r="J72" s="46" t="str">
        <f>VLOOKUP($B72,master!$B$2:$S$595,9,0)</f>
        <v>4</v>
      </c>
      <c r="K72" s="46" t="str">
        <f>VLOOKUP($B72,master!$B$2:$S$595,11,0)</f>
        <v>PASAR II</v>
      </c>
      <c r="L72" s="46" t="str">
        <f>VLOOKUP($B72,master!$B$2:$S$595,12,0)</f>
        <v>MUARA ENIM</v>
      </c>
      <c r="M72" s="46" t="str">
        <f>VLOOKUP($B72,master!$B$2:$S$595,6,0)</f>
        <v>SITI FATIMAH</v>
      </c>
      <c r="N72" s="58" t="str">
        <f>VLOOKUP($B72,master!$B$2:$S$595,15,0)</f>
        <v>MTS N 1 MUARA ENIM</v>
      </c>
      <c r="O72" s="58" t="str">
        <f>VLOOKUP($B72,master!$B$2:$S$595,4,0)</f>
        <v>20-01-2010</v>
      </c>
    </row>
    <row r="73" spans="1:15" ht="15.75" customHeight="1" x14ac:dyDescent="0.25">
      <c r="A73" s="56" t="s">
        <v>155</v>
      </c>
      <c r="B73" s="88" t="s">
        <v>4023</v>
      </c>
      <c r="C73" s="88" t="s">
        <v>4070</v>
      </c>
      <c r="D73" s="88" t="s">
        <v>4024</v>
      </c>
      <c r="E73" s="45" t="str">
        <f>VLOOKUP(D73,Total!$C$2:$D$439,2,0)</f>
        <v>10 TAV</v>
      </c>
      <c r="F73" s="45" t="str">
        <f>VLOOKUP(C73,Total!$B$2:$F$439,5,0)</f>
        <v>AKTIF</v>
      </c>
      <c r="G73" s="46" t="str">
        <f>VLOOKUP($B73,master!$B$2:$S$595,16,0)</f>
        <v>082245862399</v>
      </c>
      <c r="H73" s="46" t="str">
        <f>VLOOKUP($B73,master!$B$2:$S$595,17,0)</f>
        <v>087832511854</v>
      </c>
      <c r="I73" s="46" t="str">
        <f>VLOOKUP($B73,master!$B$2:$S$595,8,0)</f>
        <v>SUDIMORO</v>
      </c>
      <c r="J73" s="46" t="str">
        <f>VLOOKUP($B73,master!$B$2:$S$595,9,0)</f>
        <v>7</v>
      </c>
      <c r="K73" s="46" t="str">
        <f>VLOOKUP($B73,master!$B$2:$S$595,11,0)</f>
        <v>TIMBULHARJO</v>
      </c>
      <c r="L73" s="46" t="str">
        <f>VLOOKUP($B73,master!$B$2:$S$595,12,0)</f>
        <v>SEWON</v>
      </c>
      <c r="M73" s="46" t="str">
        <f>VLOOKUP($B73,master!$B$2:$S$595,6,0)</f>
        <v>SUSILA WIBAWA</v>
      </c>
      <c r="N73" s="58" t="str">
        <f>VLOOKUP($B73,master!$B$2:$S$595,15,0)</f>
        <v>SMP PATRIA BANTUL</v>
      </c>
      <c r="O73" s="58" t="str">
        <f>VLOOKUP($B73,master!$B$2:$S$595,4,0)</f>
        <v>28-01-2010</v>
      </c>
    </row>
    <row r="74" spans="1:15" ht="15.75" customHeight="1" x14ac:dyDescent="0.25">
      <c r="A74" s="56" t="s">
        <v>156</v>
      </c>
      <c r="B74" s="88" t="s">
        <v>3490</v>
      </c>
      <c r="C74" s="88" t="s">
        <v>4071</v>
      </c>
      <c r="D74" s="88" t="s">
        <v>3491</v>
      </c>
      <c r="E74" s="45" t="str">
        <f>VLOOKUP(D74,Total!$C$2:$D$439,2,0)</f>
        <v>10 TAV</v>
      </c>
      <c r="F74" s="45" t="str">
        <f>VLOOKUP(C74,Total!$B$2:$F$439,5,0)</f>
        <v>AKTIF</v>
      </c>
      <c r="G74" s="46" t="str">
        <f>VLOOKUP($B74,master!$B$2:$S$595,16,0)</f>
        <v>089685572742</v>
      </c>
      <c r="H74" s="46" t="str">
        <f>VLOOKUP($B74,master!$B$2:$S$595,17,0)</f>
        <v>089685572742</v>
      </c>
      <c r="I74" s="46" t="str">
        <f>VLOOKUP($B74,master!$B$2:$S$595,8,0)</f>
        <v>DOBALAN</v>
      </c>
      <c r="J74" s="46" t="str">
        <f>VLOOKUP($B74,master!$B$2:$S$595,9,0)</f>
        <v>09</v>
      </c>
      <c r="K74" s="46" t="str">
        <f>VLOOKUP($B74,master!$B$2:$S$595,11,0)</f>
        <v>TIMBULHARJO</v>
      </c>
      <c r="L74" s="46" t="str">
        <f>VLOOKUP($B74,master!$B$2:$S$595,12,0)</f>
        <v>SEWON</v>
      </c>
      <c r="M74" s="46" t="str">
        <f>VLOOKUP($B74,master!$B$2:$S$595,6,0)</f>
        <v>SUPRAPTA</v>
      </c>
      <c r="N74" s="58" t="str">
        <f>VLOOKUP($B74,master!$B$2:$S$595,15,0)</f>
        <v>MTS N 2 BANTUL</v>
      </c>
      <c r="O74" s="58" t="str">
        <f>VLOOKUP($B74,master!$B$2:$S$595,4,0)</f>
        <v>7-07-2009</v>
      </c>
    </row>
    <row r="75" spans="1:15" ht="15.75" customHeight="1" x14ac:dyDescent="0.25">
      <c r="A75" s="56" t="s">
        <v>157</v>
      </c>
      <c r="B75" s="88" t="s">
        <v>3401</v>
      </c>
      <c r="C75" s="88" t="s">
        <v>4072</v>
      </c>
      <c r="D75" s="88" t="s">
        <v>3402</v>
      </c>
      <c r="E75" s="45" t="str">
        <f>VLOOKUP(D75,Total!$C$2:$D$439,2,0)</f>
        <v>10 TAV</v>
      </c>
      <c r="F75" s="45" t="str">
        <f>VLOOKUP(C75,Total!$B$2:$F$439,5,0)</f>
        <v>AKTIF</v>
      </c>
      <c r="G75" s="46" t="str">
        <f>VLOOKUP($B75,master!$B$2:$S$595,16,0)</f>
        <v>087839022104</v>
      </c>
      <c r="H75" s="46" t="str">
        <f>VLOOKUP($B75,master!$B$2:$S$595,17,0)</f>
        <v>08813811454</v>
      </c>
      <c r="I75" s="46" t="str">
        <f>VLOOKUP($B75,master!$B$2:$S$595,8,0)</f>
        <v>SERUT</v>
      </c>
      <c r="J75" s="46" t="str">
        <f>VLOOKUP($B75,master!$B$2:$S$595,9,0)</f>
        <v>5</v>
      </c>
      <c r="K75" s="46" t="str">
        <f>VLOOKUP($B75,master!$B$2:$S$595,11,0)</f>
        <v>PALBAPANG</v>
      </c>
      <c r="L75" s="46" t="str">
        <f>VLOOKUP($B75,master!$B$2:$S$595,12,0)</f>
        <v>BANTUL</v>
      </c>
      <c r="M75" s="46" t="str">
        <f>VLOOKUP($B75,master!$B$2:$S$595,6,0)</f>
        <v>ZAINAL ARIFIN</v>
      </c>
      <c r="N75" s="58" t="str">
        <f>VLOOKUP($B75,master!$B$2:$S$595,15,0)</f>
        <v>SMP N 3 BANTUL</v>
      </c>
      <c r="O75" s="58" t="str">
        <f>VLOOKUP($B75,master!$B$2:$S$595,4,0)</f>
        <v>13-03-2010</v>
      </c>
    </row>
    <row r="76" spans="1:15" ht="15.75" customHeight="1" x14ac:dyDescent="0.25">
      <c r="A76" s="56" t="s">
        <v>158</v>
      </c>
      <c r="B76" s="88" t="s">
        <v>3657</v>
      </c>
      <c r="C76" s="88" t="s">
        <v>4073</v>
      </c>
      <c r="D76" s="88" t="s">
        <v>3658</v>
      </c>
      <c r="E76" s="62" t="str">
        <f>VLOOKUP(D76,Total!$C$2:$D$439,2,0)</f>
        <v>10 TAV</v>
      </c>
      <c r="F76" s="45" t="str">
        <f>VLOOKUP(C76,Total!$B$2:$F$439,5,0)</f>
        <v>AKTIF</v>
      </c>
      <c r="G76" s="46" t="str">
        <f>VLOOKUP($B76,master!$B$2:$S$595,16,0)</f>
        <v>083129503540</v>
      </c>
      <c r="H76" s="46" t="str">
        <f>VLOOKUP($B76,master!$B$2:$S$595,17,0)</f>
        <v>083129503540</v>
      </c>
      <c r="I76" s="46" t="str">
        <f>VLOOKUP($B76,master!$B$2:$S$595,8,0)</f>
        <v>PUTON</v>
      </c>
      <c r="J76" s="46" t="str">
        <f>VLOOKUP($B76,master!$B$2:$S$595,9,0)</f>
        <v>01</v>
      </c>
      <c r="K76" s="46" t="str">
        <f>VLOOKUP($B76,master!$B$2:$S$595,11,0)</f>
        <v>TRIMULYO</v>
      </c>
      <c r="L76" s="46" t="str">
        <f>VLOOKUP($B76,master!$B$2:$S$595,12,0)</f>
        <v>JETIS</v>
      </c>
      <c r="M76" s="46" t="str">
        <f>VLOOKUP($B76,master!$B$2:$S$595,6,0)</f>
        <v>WAHYUDI</v>
      </c>
      <c r="N76" s="58" t="str">
        <f>VLOOKUP($B76,master!$B$2:$S$595,15,0)</f>
        <v>SMP PATRIA BANTUL</v>
      </c>
      <c r="O76" s="58" t="str">
        <f>VLOOKUP($B76,master!$B$2:$S$595,4,0)</f>
        <v>31-05-2008</v>
      </c>
    </row>
    <row r="77" spans="1:15" ht="15.75" customHeight="1" x14ac:dyDescent="0.25">
      <c r="A77" s="56" t="s">
        <v>159</v>
      </c>
      <c r="B77" s="88" t="s">
        <v>2340</v>
      </c>
      <c r="C77" s="88" t="s">
        <v>4074</v>
      </c>
      <c r="D77" s="88" t="s">
        <v>2341</v>
      </c>
      <c r="E77" s="45" t="str">
        <f>VLOOKUP(D77,Total!$C$2:$D$439,2,0)</f>
        <v>10 TAV</v>
      </c>
      <c r="F77" s="45" t="str">
        <f>VLOOKUP(C77,Total!$B$2:$F$439,5,0)</f>
        <v>AKTIF</v>
      </c>
      <c r="G77" s="46" t="str">
        <f>VLOOKUP($B77,master!$B$2:$S$595,16,0)</f>
        <v>081373181758</v>
      </c>
      <c r="H77" s="46" t="str">
        <f>VLOOKUP($B77,master!$B$2:$S$595,17,0)</f>
        <v>085216319559</v>
      </c>
      <c r="I77" s="46" t="str">
        <f>VLOOKUP($B77,master!$B$2:$S$595,8,0)</f>
        <v>NGASEM</v>
      </c>
      <c r="J77" s="46" t="str">
        <f>VLOOKUP($B77,master!$B$2:$S$595,9,0)</f>
        <v>04</v>
      </c>
      <c r="K77" s="46" t="str">
        <f>VLOOKUP($B77,master!$B$2:$S$595,11,0)</f>
        <v>TIMBULHARJO</v>
      </c>
      <c r="L77" s="46" t="str">
        <f>VLOOKUP($B77,master!$B$2:$S$595,12,0)</f>
        <v>SEWON</v>
      </c>
      <c r="M77" s="46" t="str">
        <f>VLOOKUP($B77,master!$B$2:$S$595,6,0)</f>
        <v>Ruli Febriyanto</v>
      </c>
      <c r="N77" s="58" t="str">
        <f>VLOOKUP($B77,master!$B$2:$S$595,15,0)</f>
        <v>Mts Nurul Ummah</v>
      </c>
      <c r="O77" s="58" t="str">
        <f>VLOOKUP($B77,master!$B$2:$S$595,4,0)</f>
        <v>2-07-2010</v>
      </c>
    </row>
    <row r="78" spans="1:15" ht="15.75" customHeight="1" x14ac:dyDescent="0.25">
      <c r="A78" s="56" t="s">
        <v>160</v>
      </c>
      <c r="B78" s="88" t="s">
        <v>1881</v>
      </c>
      <c r="C78" s="88" t="s">
        <v>4075</v>
      </c>
      <c r="D78" s="88" t="s">
        <v>1882</v>
      </c>
      <c r="E78" s="45" t="str">
        <f>VLOOKUP(D78,Total!$C$2:$D$439,2,0)</f>
        <v>10 TAV</v>
      </c>
      <c r="F78" s="45" t="str">
        <f>VLOOKUP(C78,Total!$B$2:$F$439,5,0)</f>
        <v>AKTIF</v>
      </c>
      <c r="G78" s="46" t="str">
        <f>VLOOKUP($B78,master!$B$2:$S$595,16,0)</f>
        <v>-</v>
      </c>
      <c r="H78" s="46" t="str">
        <f>VLOOKUP($B78,master!$B$2:$S$595,17,0)</f>
        <v>089506584565</v>
      </c>
      <c r="I78" s="46" t="str">
        <f>VLOOKUP($B78,master!$B$2:$S$595,8,0)</f>
        <v>MANDING SERUT</v>
      </c>
      <c r="J78" s="46" t="str">
        <f>VLOOKUP($B78,master!$B$2:$S$595,9,0)</f>
        <v>2</v>
      </c>
      <c r="K78" s="46" t="str">
        <f>VLOOKUP($B78,master!$B$2:$S$595,11,0)</f>
        <v>SABDODADI</v>
      </c>
      <c r="L78" s="46" t="str">
        <f>VLOOKUP($B78,master!$B$2:$S$595,12,0)</f>
        <v>BANTUL</v>
      </c>
      <c r="M78" s="46" t="str">
        <f>VLOOKUP($B78,master!$B$2:$S$595,6,0)</f>
        <v>ERWANTO</v>
      </c>
      <c r="N78" s="58" t="str">
        <f>VLOOKUP($B78,master!$B$2:$S$595,15,0)</f>
        <v>SMP N 3 BANTUL</v>
      </c>
      <c r="O78" s="58" t="str">
        <f>VLOOKUP($B78,master!$B$2:$S$595,4,0)</f>
        <v>29-06-2009</v>
      </c>
    </row>
    <row r="79" spans="1:15" ht="15.75" customHeight="1" x14ac:dyDescent="0.25">
      <c r="A79" s="56" t="s">
        <v>161</v>
      </c>
      <c r="B79" s="88" t="s">
        <v>3646</v>
      </c>
      <c r="C79" s="88" t="s">
        <v>4076</v>
      </c>
      <c r="D79" s="88" t="s">
        <v>3647</v>
      </c>
      <c r="E79" s="45" t="str">
        <f>VLOOKUP(D79,Total!$C$2:$D$439,2,0)</f>
        <v>10 TAV</v>
      </c>
      <c r="F79" s="45" t="str">
        <f>VLOOKUP(C79,Total!$B$2:$F$439,5,0)</f>
        <v>AKTIF</v>
      </c>
      <c r="G79" s="46" t="str">
        <f>VLOOKUP($B79,master!$B$2:$S$595,16,0)</f>
        <v>085747808471</v>
      </c>
      <c r="H79" s="46" t="str">
        <f>VLOOKUP($B79,master!$B$2:$S$595,17,0)</f>
        <v>083838245432</v>
      </c>
      <c r="I79" s="46" t="str">
        <f>VLOOKUP($B79,master!$B$2:$S$595,8,0)</f>
        <v>DERMAN DK XII GERSIK</v>
      </c>
      <c r="J79" s="46" t="str">
        <f>VLOOKUP($B79,master!$B$2:$S$595,9,0)</f>
        <v>6</v>
      </c>
      <c r="K79" s="46" t="str">
        <f>VLOOKUP($B79,master!$B$2:$S$595,11,0)</f>
        <v>SUMBERMULYO</v>
      </c>
      <c r="L79" s="46" t="str">
        <f>VLOOKUP($B79,master!$B$2:$S$595,12,0)</f>
        <v>BAMBANGLIPURO</v>
      </c>
      <c r="M79" s="46" t="str">
        <f>VLOOKUP($B79,master!$B$2:$S$595,6,0)</f>
        <v>TRI WARDOYO</v>
      </c>
      <c r="N79" s="58" t="str">
        <f>VLOOKUP($B79,master!$B$2:$S$595,15,0)</f>
        <v>SMP N 1 BAMBANGLIPURO</v>
      </c>
      <c r="O79" s="58" t="str">
        <f>VLOOKUP($B79,master!$B$2:$S$595,4,0)</f>
        <v>27-10-2009</v>
      </c>
    </row>
    <row r="80" spans="1:15" ht="15.75" customHeight="1" x14ac:dyDescent="0.25">
      <c r="A80" s="56" t="s">
        <v>162</v>
      </c>
      <c r="B80" s="90" t="s">
        <v>2597</v>
      </c>
      <c r="C80" s="88" t="s">
        <v>4137</v>
      </c>
      <c r="D80" s="90" t="s">
        <v>2598</v>
      </c>
      <c r="E80" s="45" t="str">
        <f>VLOOKUP(D80,Total!$C$2:$D$439,2,0)</f>
        <v>10 TKR 1</v>
      </c>
      <c r="F80" s="45" t="str">
        <f>VLOOKUP(C80,Total!$B$2:$F$439,5,0)</f>
        <v>AKTIF</v>
      </c>
      <c r="G80" s="46" t="str">
        <f>VLOOKUP($B80,master!$B$2:$S$595,16,0)</f>
        <v>087782074998</v>
      </c>
      <c r="H80" s="46" t="str">
        <f>VLOOKUP($B80,master!$B$2:$S$595,17,0)</f>
        <v>083138715683</v>
      </c>
      <c r="I80" s="46" t="str">
        <f>VLOOKUP($B80,master!$B$2:$S$595,8,0)</f>
        <v>BAKUNG</v>
      </c>
      <c r="J80" s="46" t="str">
        <f>VLOOKUP($B80,master!$B$2:$S$595,9,0)</f>
        <v>003</v>
      </c>
      <c r="K80" s="46" t="str">
        <f>VLOOKUP($B80,master!$B$2:$S$595,11,0)</f>
        <v>BANGUNHARJO</v>
      </c>
      <c r="L80" s="46" t="str">
        <f>VLOOKUP($B80,master!$B$2:$S$595,12,0)</f>
        <v>SEWON</v>
      </c>
      <c r="M80" s="46" t="str">
        <f>VLOOKUP($B80,master!$B$2:$S$595,6,0)</f>
        <v>Slamet Priyanto</v>
      </c>
      <c r="N80" s="58" t="str">
        <f>VLOOKUP($B80,master!$B$2:$S$595,15,0)</f>
        <v>MTS N 1 MAGELANG</v>
      </c>
      <c r="O80" s="58" t="str">
        <f>VLOOKUP($B80,master!$B$2:$S$595,4,0)</f>
        <v>28-10-2009</v>
      </c>
    </row>
    <row r="81" spans="1:15" ht="15.75" customHeight="1" x14ac:dyDescent="0.25">
      <c r="A81" s="56" t="s">
        <v>163</v>
      </c>
      <c r="B81" s="90" t="s">
        <v>2279</v>
      </c>
      <c r="C81" s="88" t="s">
        <v>4138</v>
      </c>
      <c r="D81" s="90" t="s">
        <v>2280</v>
      </c>
      <c r="E81" s="45" t="str">
        <f>VLOOKUP(D81,Total!$C$2:$D$439,2,0)</f>
        <v>10 TKR 1</v>
      </c>
      <c r="F81" s="45" t="str">
        <f>VLOOKUP(C81,Total!$B$2:$F$439,5,0)</f>
        <v>AKTIF</v>
      </c>
      <c r="G81" s="46" t="str">
        <f>VLOOKUP($B81,master!$B$2:$S$595,16,0)</f>
        <v>087818544963</v>
      </c>
      <c r="H81" s="46" t="str">
        <f>VLOOKUP($B81,master!$B$2:$S$595,17,0)</f>
        <v>08979340806</v>
      </c>
      <c r="I81" s="46" t="str">
        <f>VLOOKUP($B81,master!$B$2:$S$595,8,0)</f>
        <v>CABEYAN</v>
      </c>
      <c r="J81" s="46" t="str">
        <f>VLOOKUP($B81,master!$B$2:$S$595,9,0)</f>
        <v>5</v>
      </c>
      <c r="K81" s="46" t="str">
        <f>VLOOKUP($B81,master!$B$2:$S$595,11,0)</f>
        <v>PANGGUNGHARJO</v>
      </c>
      <c r="L81" s="46" t="str">
        <f>VLOOKUP($B81,master!$B$2:$S$595,12,0)</f>
        <v>SEWON</v>
      </c>
      <c r="M81" s="46" t="str">
        <f>VLOOKUP($B81,master!$B$2:$S$595,6,0)</f>
        <v>LOKALNI</v>
      </c>
      <c r="N81" s="58" t="str">
        <f>VLOOKUP($B81,master!$B$2:$S$595,15,0)</f>
        <v>MTS N 2 BREBES</v>
      </c>
      <c r="O81" s="58" t="str">
        <f>VLOOKUP($B81,master!$B$2:$S$595,4,0)</f>
        <v>7-09-2008</v>
      </c>
    </row>
    <row r="82" spans="1:15" ht="15.75" customHeight="1" x14ac:dyDescent="0.25">
      <c r="A82" s="56" t="s">
        <v>164</v>
      </c>
      <c r="B82" s="90" t="s">
        <v>1407</v>
      </c>
      <c r="C82" s="88" t="s">
        <v>4139</v>
      </c>
      <c r="D82" s="90" t="s">
        <v>1408</v>
      </c>
      <c r="E82" s="45" t="str">
        <f>VLOOKUP(D82,Total!$C$2:$D$439,2,0)</f>
        <v>10 TKR 1</v>
      </c>
      <c r="F82" s="45" t="str">
        <f>VLOOKUP(C82,Total!$B$2:$F$439,5,0)</f>
        <v>AKTIF</v>
      </c>
      <c r="G82" s="46" t="str">
        <f>VLOOKUP($B82,master!$B$2:$S$595,16,0)</f>
        <v>089623040020</v>
      </c>
      <c r="H82" s="46" t="str">
        <f>VLOOKUP($B82,master!$B$2:$S$595,17,0)</f>
        <v>089526419955</v>
      </c>
      <c r="I82" s="46" t="str">
        <f>VLOOKUP($B82,master!$B$2:$S$595,8,0)</f>
        <v>NGAGLIK</v>
      </c>
      <c r="J82" s="46" t="str">
        <f>VLOOKUP($B82,master!$B$2:$S$595,9,0)</f>
        <v>31</v>
      </c>
      <c r="K82" s="46" t="str">
        <f>VLOOKUP($B82,master!$B$2:$S$595,11,0)</f>
        <v>PENDOWOHARJO</v>
      </c>
      <c r="L82" s="46" t="str">
        <f>VLOOKUP($B82,master!$B$2:$S$595,12,0)</f>
        <v>SEWON</v>
      </c>
      <c r="M82" s="46" t="str">
        <f>VLOOKUP($B82,master!$B$2:$S$595,6,0)</f>
        <v>DARONI</v>
      </c>
      <c r="N82" s="58" t="str">
        <f>VLOOKUP($B82,master!$B$2:$S$595,15,0)</f>
        <v>SMP MUHAMMADIYAH SEWON</v>
      </c>
      <c r="O82" s="58" t="str">
        <f>VLOOKUP($B82,master!$B$2:$S$595,4,0)</f>
        <v>18-06-2010</v>
      </c>
    </row>
    <row r="83" spans="1:15" ht="15.75" customHeight="1" x14ac:dyDescent="0.25">
      <c r="A83" s="56" t="s">
        <v>165</v>
      </c>
      <c r="B83" s="90" t="s">
        <v>3278</v>
      </c>
      <c r="C83" s="88" t="s">
        <v>4140</v>
      </c>
      <c r="D83" s="90" t="s">
        <v>3279</v>
      </c>
      <c r="E83" s="45" t="str">
        <f>VLOOKUP(D83,Total!$C$2:$D$439,2,0)</f>
        <v>10 TKR 1</v>
      </c>
      <c r="F83" s="45" t="str">
        <f>VLOOKUP(C83,Total!$B$2:$F$439,5,0)</f>
        <v>AKTIF</v>
      </c>
      <c r="G83" s="46" t="str">
        <f>VLOOKUP($B83,master!$B$2:$S$595,16,0)</f>
        <v>085743856744</v>
      </c>
      <c r="H83" s="46" t="str">
        <f>VLOOKUP($B83,master!$B$2:$S$595,17,0)</f>
        <v>08812461857</v>
      </c>
      <c r="I83" s="46" t="str">
        <f>VLOOKUP($B83,master!$B$2:$S$595,8,0)</f>
        <v>WONOTAWANG</v>
      </c>
      <c r="J83" s="46" t="str">
        <f>VLOOKUP($B83,master!$B$2:$S$595,9,0)</f>
        <v>10</v>
      </c>
      <c r="K83" s="46" t="str">
        <f>VLOOKUP($B83,master!$B$2:$S$595,11,0)</f>
        <v>BANGUNJIWO</v>
      </c>
      <c r="L83" s="46" t="str">
        <f>VLOOKUP($B83,master!$B$2:$S$595,12,0)</f>
        <v>KASIHAN</v>
      </c>
      <c r="M83" s="46" t="str">
        <f>VLOOKUP($B83,master!$B$2:$S$595,6,0)</f>
        <v>SIGUN</v>
      </c>
      <c r="N83" s="58" t="str">
        <f>VLOOKUP($B83,master!$B$2:$S$595,15,0)</f>
        <v>SMP N 3 KASIHAN</v>
      </c>
      <c r="O83" s="58" t="str">
        <f>VLOOKUP($B83,master!$B$2:$S$595,4,0)</f>
        <v>9-06-2008</v>
      </c>
    </row>
    <row r="84" spans="1:15" ht="15.75" customHeight="1" x14ac:dyDescent="0.25">
      <c r="A84" s="56" t="s">
        <v>166</v>
      </c>
      <c r="B84" s="90" t="s">
        <v>2619</v>
      </c>
      <c r="C84" s="88" t="s">
        <v>4141</v>
      </c>
      <c r="D84" s="90" t="s">
        <v>2620</v>
      </c>
      <c r="E84" s="45" t="str">
        <f>VLOOKUP(D84,Total!$C$2:$D$439,2,0)</f>
        <v>10 TKR 1</v>
      </c>
      <c r="F84" s="45" t="str">
        <f>VLOOKUP(C84,Total!$B$2:$F$439,5,0)</f>
        <v>AKTIF</v>
      </c>
      <c r="G84" s="46" t="str">
        <f>VLOOKUP($B84,master!$B$2:$S$595,16,0)</f>
        <v>081270222022</v>
      </c>
      <c r="H84" s="46" t="str">
        <f>VLOOKUP($B84,master!$B$2:$S$595,17,0)</f>
        <v>081933616646</v>
      </c>
      <c r="I84" s="46" t="str">
        <f>VLOOKUP($B84,master!$B$2:$S$595,8,0)</f>
        <v>NITIKAN UH 6/476</v>
      </c>
      <c r="J84" s="46" t="str">
        <f>VLOOKUP($B84,master!$B$2:$S$595,9,0)</f>
        <v>48</v>
      </c>
      <c r="K84" s="46" t="str">
        <f>VLOOKUP($B84,master!$B$2:$S$595,11,0)</f>
        <v>SOROSUTAN</v>
      </c>
      <c r="L84" s="46" t="str">
        <f>VLOOKUP($B84,master!$B$2:$S$595,12,0)</f>
        <v>UMBULHARJO</v>
      </c>
      <c r="M84" s="46" t="str">
        <f>VLOOKUP($B84,master!$B$2:$S$595,6,0)</f>
        <v>ABDUL MUNIP</v>
      </c>
      <c r="N84" s="58" t="str">
        <f>VLOOKUP($B84,master!$B$2:$S$595,15,0)</f>
        <v>MTS N 1 YOGYAKARTA</v>
      </c>
      <c r="O84" s="58" t="str">
        <f>VLOOKUP($B84,master!$B$2:$S$595,4,0)</f>
        <v>6-07-2008</v>
      </c>
    </row>
    <row r="85" spans="1:15" ht="15.75" customHeight="1" x14ac:dyDescent="0.25">
      <c r="A85" s="56" t="s">
        <v>167</v>
      </c>
      <c r="B85" s="90" t="s">
        <v>2971</v>
      </c>
      <c r="C85" s="88" t="s">
        <v>4142</v>
      </c>
      <c r="D85" s="90" t="s">
        <v>2972</v>
      </c>
      <c r="E85" s="45" t="str">
        <f>VLOOKUP(D85,Total!$C$2:$D$439,2,0)</f>
        <v>10 TKR 1</v>
      </c>
      <c r="F85" s="45" t="str">
        <f>VLOOKUP(C85,Total!$B$2:$F$439,5,0)</f>
        <v>AKTIF</v>
      </c>
      <c r="G85" s="46" t="str">
        <f>VLOOKUP($B85,master!$B$2:$S$595,16,0)</f>
        <v>082322725179</v>
      </c>
      <c r="H85" s="46" t="str">
        <f>VLOOKUP($B85,master!$B$2:$S$595,17,0)</f>
        <v>0882008063087</v>
      </c>
      <c r="I85" s="46" t="str">
        <f>VLOOKUP($B85,master!$B$2:$S$595,8,0)</f>
        <v>JIGUDAN</v>
      </c>
      <c r="J85" s="46" t="str">
        <f>VLOOKUP($B85,master!$B$2:$S$595,9,0)</f>
        <v>4</v>
      </c>
      <c r="K85" s="46" t="str">
        <f>VLOOKUP($B85,master!$B$2:$S$595,11,0)</f>
        <v>TRIHARJO</v>
      </c>
      <c r="L85" s="46" t="str">
        <f>VLOOKUP($B85,master!$B$2:$S$595,12,0)</f>
        <v>PANDAK</v>
      </c>
      <c r="M85" s="46" t="str">
        <f>VLOOKUP($B85,master!$B$2:$S$595,6,0)</f>
        <v>RIDWAN</v>
      </c>
      <c r="N85" s="58" t="str">
        <f>VLOOKUP($B85,master!$B$2:$S$595,15,0)</f>
        <v>SMP N 2 PANDAK</v>
      </c>
      <c r="O85" s="58" t="str">
        <f>VLOOKUP($B85,master!$B$2:$S$595,4,0)</f>
        <v>11-03-2009</v>
      </c>
    </row>
    <row r="86" spans="1:15" ht="15.75" customHeight="1" x14ac:dyDescent="0.25">
      <c r="A86" s="56" t="s">
        <v>168</v>
      </c>
      <c r="B86" s="90" t="s">
        <v>2099</v>
      </c>
      <c r="C86" s="88" t="s">
        <v>4143</v>
      </c>
      <c r="D86" s="90" t="s">
        <v>2100</v>
      </c>
      <c r="E86" s="45" t="str">
        <f>VLOOKUP(D86,Total!$C$2:$D$439,2,0)</f>
        <v>10 TKR 1</v>
      </c>
      <c r="F86" s="45" t="str">
        <f>VLOOKUP(C86,Total!$B$2:$F$439,5,0)</f>
        <v>AKTIF</v>
      </c>
      <c r="G86" s="46" t="str">
        <f>VLOOKUP($B86,master!$B$2:$S$595,16,0)</f>
        <v>083867410626</v>
      </c>
      <c r="H86" s="46" t="str">
        <f>VLOOKUP($B86,master!$B$2:$S$595,17,0)</f>
        <v>083841783584</v>
      </c>
      <c r="I86" s="46" t="str">
        <f>VLOOKUP($B86,master!$B$2:$S$595,8,0)</f>
        <v>WATUGAJAH</v>
      </c>
      <c r="J86" s="46" t="str">
        <f>VLOOKUP($B86,master!$B$2:$S$595,9,0)</f>
        <v>18</v>
      </c>
      <c r="K86" s="46" t="str">
        <f>VLOOKUP($B86,master!$B$2:$S$595,11,0)</f>
        <v>GIRIJATI</v>
      </c>
      <c r="L86" s="46" t="str">
        <f>VLOOKUP($B86,master!$B$2:$S$595,12,0)</f>
        <v>PURWOSARI</v>
      </c>
      <c r="M86" s="46" t="str">
        <f>VLOOKUP($B86,master!$B$2:$S$595,6,0)</f>
        <v>SUTONO</v>
      </c>
      <c r="N86" s="58" t="str">
        <f>VLOOKUP($B86,master!$B$2:$S$595,15,0)</f>
        <v>SMP N 2 PURWOSARI</v>
      </c>
      <c r="O86" s="58" t="str">
        <f>VLOOKUP($B86,master!$B$2:$S$595,4,0)</f>
        <v>13-12-2009</v>
      </c>
    </row>
    <row r="87" spans="1:15" ht="15.75" customHeight="1" x14ac:dyDescent="0.25">
      <c r="A87" s="56" t="s">
        <v>169</v>
      </c>
      <c r="B87" s="90" t="s">
        <v>3683</v>
      </c>
      <c r="C87" s="88" t="s">
        <v>4144</v>
      </c>
      <c r="D87" s="90" t="s">
        <v>3684</v>
      </c>
      <c r="E87" s="45" t="str">
        <f>VLOOKUP(D87,Total!$C$2:$D$439,2,0)</f>
        <v>10 TKR 1</v>
      </c>
      <c r="F87" s="45" t="str">
        <f>VLOOKUP(C87,Total!$B$2:$F$439,5,0)</f>
        <v>AKTIF</v>
      </c>
      <c r="G87" s="46" t="str">
        <f>VLOOKUP($B87,master!$B$2:$S$595,16,0)</f>
        <v>08562960805</v>
      </c>
      <c r="H87" s="46" t="str">
        <f>VLOOKUP($B87,master!$B$2:$S$595,17,0)</f>
        <v>089619436271</v>
      </c>
      <c r="I87" s="46" t="str">
        <f>VLOOKUP($B87,master!$B$2:$S$595,8,0)</f>
        <v>JEJERAN II</v>
      </c>
      <c r="J87" s="46" t="str">
        <f>VLOOKUP($B87,master!$B$2:$S$595,9,0)</f>
        <v>2</v>
      </c>
      <c r="K87" s="46" t="str">
        <f>VLOOKUP($B87,master!$B$2:$S$595,11,0)</f>
        <v>WONOKROMO</v>
      </c>
      <c r="L87" s="46" t="str">
        <f>VLOOKUP($B87,master!$B$2:$S$595,12,0)</f>
        <v>PLERET</v>
      </c>
      <c r="M87" s="46" t="str">
        <f>VLOOKUP($B87,master!$B$2:$S$595,6,0)</f>
        <v>UMI KHOIRIYAH</v>
      </c>
      <c r="N87" s="58" t="str">
        <f>VLOOKUP($B87,master!$B$2:$S$595,15,0)</f>
        <v>SMP N 2 PLERET</v>
      </c>
      <c r="O87" s="58" t="str">
        <f>VLOOKUP($B87,master!$B$2:$S$595,4,0)</f>
        <v>9-02-2010</v>
      </c>
    </row>
    <row r="88" spans="1:15" ht="15.75" customHeight="1" x14ac:dyDescent="0.25">
      <c r="A88" s="56" t="s">
        <v>170</v>
      </c>
      <c r="B88" s="90" t="s">
        <v>1279</v>
      </c>
      <c r="C88" s="88" t="s">
        <v>4145</v>
      </c>
      <c r="D88" s="90" t="s">
        <v>1280</v>
      </c>
      <c r="E88" s="62" t="str">
        <f>VLOOKUP(D88,Total!$C$2:$D$439,2,0)</f>
        <v>10 TKR 1</v>
      </c>
      <c r="F88" s="45" t="str">
        <f>VLOOKUP(C88,Total!$B$2:$F$439,5,0)</f>
        <v>AKTIF</v>
      </c>
      <c r="G88" s="46" t="str">
        <f>VLOOKUP($B88,master!$B$2:$S$595,16,0)</f>
        <v>085274121614</v>
      </c>
      <c r="H88" s="46" t="str">
        <f>VLOOKUP($B88,master!$B$2:$S$595,17,0)</f>
        <v>00</v>
      </c>
      <c r="I88" s="46" t="str">
        <f>VLOOKUP($B88,master!$B$2:$S$595,8,0)</f>
        <v>KARANGMOJO</v>
      </c>
      <c r="J88" s="46" t="str">
        <f>VLOOKUP($B88,master!$B$2:$S$595,9,0)</f>
        <v>02</v>
      </c>
      <c r="K88" s="46" t="str">
        <f>VLOOKUP($B88,master!$B$2:$S$595,11,0)</f>
        <v>TRIRENGGO</v>
      </c>
      <c r="L88" s="46" t="str">
        <f>VLOOKUP($B88,master!$B$2:$S$595,12,0)</f>
        <v>BANTUL</v>
      </c>
      <c r="M88" s="46" t="str">
        <f>VLOOKUP($B88,master!$B$2:$S$595,6,0)</f>
        <v>Maryatno</v>
      </c>
      <c r="N88" s="58" t="str">
        <f>VLOOKUP($B88,master!$B$2:$S$595,15,0)</f>
        <v>SMP Islam Prestasi Al Mubtadi-ien</v>
      </c>
      <c r="O88" s="58" t="str">
        <f>VLOOKUP($B88,master!$B$2:$S$595,4,0)</f>
        <v>27-01-2010</v>
      </c>
    </row>
    <row r="89" spans="1:15" ht="15.75" customHeight="1" x14ac:dyDescent="0.25">
      <c r="A89" s="56" t="s">
        <v>171</v>
      </c>
      <c r="B89" s="90" t="s">
        <v>1072</v>
      </c>
      <c r="C89" s="88" t="s">
        <v>4146</v>
      </c>
      <c r="D89" s="90" t="s">
        <v>1073</v>
      </c>
      <c r="E89" s="45" t="str">
        <f>VLOOKUP(D89,Total!$C$2:$D$439,2,0)</f>
        <v>10 TKR 1</v>
      </c>
      <c r="F89" s="45" t="str">
        <f>VLOOKUP(C89,Total!$B$2:$F$439,5,0)</f>
        <v>AKTIF</v>
      </c>
      <c r="G89" s="46" t="str">
        <f>VLOOKUP($B89,master!$B$2:$S$595,16,0)</f>
        <v>087839523082</v>
      </c>
      <c r="H89" s="46">
        <f>VLOOKUP($B89,master!$B$2:$S$595,17,0)</f>
        <v>0</v>
      </c>
      <c r="I89" s="46" t="str">
        <f>VLOOKUP($B89,master!$B$2:$S$595,8,0)</f>
        <v>MONGGANG</v>
      </c>
      <c r="J89" s="46" t="str">
        <f>VLOOKUP($B89,master!$B$2:$S$595,9,0)</f>
        <v>3</v>
      </c>
      <c r="K89" s="46" t="str">
        <f>VLOOKUP($B89,master!$B$2:$S$595,11,0)</f>
        <v>SRIHARDONO</v>
      </c>
      <c r="L89" s="46" t="str">
        <f>VLOOKUP($B89,master!$B$2:$S$595,12,0)</f>
        <v>PUNDONG</v>
      </c>
      <c r="M89" s="46" t="str">
        <f>VLOOKUP($B89,master!$B$2:$S$595,6,0)</f>
        <v>ARMI OKTAVIYANTI</v>
      </c>
      <c r="N89" s="58" t="str">
        <f>VLOOKUP($B89,master!$B$2:$S$595,15,0)</f>
        <v>SMP N 1 PUNDONG</v>
      </c>
      <c r="O89" s="58" t="str">
        <f>VLOOKUP($B89,master!$B$2:$S$595,4,0)</f>
        <v>4-09-2009</v>
      </c>
    </row>
    <row r="90" spans="1:15" ht="15.75" customHeight="1" x14ac:dyDescent="0.25">
      <c r="A90" s="56" t="s">
        <v>172</v>
      </c>
      <c r="B90" s="92" t="s">
        <v>3961</v>
      </c>
      <c r="C90" s="88" t="s">
        <v>4147</v>
      </c>
      <c r="D90" s="92" t="s">
        <v>3962</v>
      </c>
      <c r="E90" s="45" t="str">
        <f>VLOOKUP(D90,Total!$C$2:$D$439,2,0)</f>
        <v>10 TKR 1</v>
      </c>
      <c r="F90" s="45" t="str">
        <f>VLOOKUP(C90,Total!$B$2:$F$439,5,0)</f>
        <v>AKTIF</v>
      </c>
      <c r="G90" s="46" t="str">
        <f>VLOOKUP($B90,master!$B$2:$S$595,16,0)</f>
        <v>082138393955</v>
      </c>
      <c r="H90" s="46" t="str">
        <f>VLOOKUP($B90,master!$B$2:$S$595,17,0)</f>
        <v>082138393955</v>
      </c>
      <c r="I90" s="46" t="str">
        <f>VLOOKUP($B90,master!$B$2:$S$595,8,0)</f>
        <v>BRAJAN</v>
      </c>
      <c r="J90" s="46" t="str">
        <f>VLOOKUP($B90,master!$B$2:$S$595,9,0)</f>
        <v>05</v>
      </c>
      <c r="K90" s="46" t="str">
        <f>VLOOKUP($B90,master!$B$2:$S$595,11,0)</f>
        <v>TAMANTIRTO</v>
      </c>
      <c r="L90" s="46" t="str">
        <f>VLOOKUP($B90,master!$B$2:$S$595,12,0)</f>
        <v>KASIHAN</v>
      </c>
      <c r="M90" s="46" t="str">
        <f>VLOOKUP($B90,master!$B$2:$S$595,6,0)</f>
        <v>KANDAM</v>
      </c>
      <c r="N90" s="58" t="str">
        <f>VLOOKUP($B90,master!$B$2:$S$595,15,0)</f>
        <v>SMP MUHAMMADIYAH BANTUL</v>
      </c>
      <c r="O90" s="58" t="str">
        <f>VLOOKUP($B90,master!$B$2:$S$595,4,0)</f>
        <v>6-07-2010</v>
      </c>
    </row>
    <row r="91" spans="1:15" ht="15.75" customHeight="1" x14ac:dyDescent="0.25">
      <c r="A91" s="56" t="s">
        <v>173</v>
      </c>
      <c r="B91" s="90" t="s">
        <v>755</v>
      </c>
      <c r="C91" s="88" t="s">
        <v>4148</v>
      </c>
      <c r="D91" s="90" t="s">
        <v>756</v>
      </c>
      <c r="E91" s="45" t="str">
        <f>VLOOKUP(D91,Total!$C$2:$D$439,2,0)</f>
        <v>10 TKR 1</v>
      </c>
      <c r="F91" s="45" t="str">
        <f>VLOOKUP(C91,Total!$B$2:$F$439,5,0)</f>
        <v>AKTIF</v>
      </c>
      <c r="G91" s="46" t="str">
        <f>VLOOKUP($B91,master!$B$2:$S$595,16,0)</f>
        <v>085640939299</v>
      </c>
      <c r="H91" s="46">
        <f>VLOOKUP($B91,master!$B$2:$S$595,17,0)</f>
        <v>0</v>
      </c>
      <c r="I91" s="46" t="str">
        <f>VLOOKUP($B91,master!$B$2:$S$595,8,0)</f>
        <v>SOKA</v>
      </c>
      <c r="J91" s="46" t="str">
        <f>VLOOKUP($B91,master!$B$2:$S$595,9,0)</f>
        <v>1</v>
      </c>
      <c r="K91" s="46" t="str">
        <f>VLOOKUP($B91,master!$B$2:$S$595,11,0)</f>
        <v>SELOHARJO</v>
      </c>
      <c r="L91" s="46" t="str">
        <f>VLOOKUP($B91,master!$B$2:$S$595,12,0)</f>
        <v>PUNDONG</v>
      </c>
      <c r="M91" s="46" t="str">
        <f>VLOOKUP($B91,master!$B$2:$S$595,6,0)</f>
        <v>PONIDI</v>
      </c>
      <c r="N91" s="58" t="str">
        <f>VLOOKUP($B91,master!$B$2:$S$595,15,0)</f>
        <v>SMP N 1 PUNDONG</v>
      </c>
      <c r="O91" s="58" t="str">
        <f>VLOOKUP($B91,master!$B$2:$S$595,4,0)</f>
        <v>12-09-2009</v>
      </c>
    </row>
    <row r="92" spans="1:15" ht="15.75" customHeight="1" x14ac:dyDescent="0.25">
      <c r="A92" s="56" t="s">
        <v>174</v>
      </c>
      <c r="B92" s="90" t="s">
        <v>3771</v>
      </c>
      <c r="C92" s="88" t="s">
        <v>4149</v>
      </c>
      <c r="D92" s="90" t="s">
        <v>3772</v>
      </c>
      <c r="E92" s="45" t="str">
        <f>VLOOKUP(D92,Total!$C$2:$D$439,2,0)</f>
        <v>10 TKR 1</v>
      </c>
      <c r="F92" s="45" t="str">
        <f>VLOOKUP(C92,Total!$B$2:$F$439,5,0)</f>
        <v>AKTIF</v>
      </c>
      <c r="G92" s="46" t="str">
        <f>VLOOKUP($B92,master!$B$2:$S$595,16,0)</f>
        <v>082`35197733</v>
      </c>
      <c r="H92" s="46" t="str">
        <f>VLOOKUP($B92,master!$B$2:$S$595,17,0)</f>
        <v>089687611990</v>
      </c>
      <c r="I92" s="46" t="str">
        <f>VLOOKUP($B92,master!$B$2:$S$595,8,0)</f>
        <v>BAKULAN KULON</v>
      </c>
      <c r="J92" s="46" t="str">
        <f>VLOOKUP($B92,master!$B$2:$S$595,9,0)</f>
        <v>O1</v>
      </c>
      <c r="K92" s="46" t="str">
        <f>VLOOKUP($B92,master!$B$2:$S$595,11,0)</f>
        <v>TRIRENGGO</v>
      </c>
      <c r="L92" s="46" t="str">
        <f>VLOOKUP($B92,master!$B$2:$S$595,12,0)</f>
        <v>BANTUL</v>
      </c>
      <c r="M92" s="46" t="str">
        <f>VLOOKUP($B92,master!$B$2:$S$595,6,0)</f>
        <v>BAYU CAHYONO AJI</v>
      </c>
      <c r="N92" s="58" t="str">
        <f>VLOOKUP($B92,master!$B$2:$S$595,15,0)</f>
        <v>SMP UNGGULAN AISYIYAH</v>
      </c>
      <c r="O92" s="58" t="str">
        <f>VLOOKUP($B92,master!$B$2:$S$595,4,0)</f>
        <v>4-07-2010</v>
      </c>
    </row>
    <row r="93" spans="1:15" ht="15.75" customHeight="1" x14ac:dyDescent="0.25">
      <c r="A93" s="56" t="s">
        <v>175</v>
      </c>
      <c r="B93" s="90" t="s">
        <v>1700</v>
      </c>
      <c r="C93" s="88" t="s">
        <v>4150</v>
      </c>
      <c r="D93" s="90" t="s">
        <v>1701</v>
      </c>
      <c r="E93" s="45" t="str">
        <f>VLOOKUP(D93,Total!$C$2:$D$439,2,0)</f>
        <v>10 TKR 1</v>
      </c>
      <c r="F93" s="45" t="str">
        <f>VLOOKUP(C93,Total!$B$2:$F$439,5,0)</f>
        <v>AKTIF</v>
      </c>
      <c r="G93" s="46" t="str">
        <f>VLOOKUP($B93,master!$B$2:$S$595,16,0)</f>
        <v>085643311769</v>
      </c>
      <c r="H93" s="46" t="str">
        <f>VLOOKUP($B93,master!$B$2:$S$595,17,0)</f>
        <v>088216622919</v>
      </c>
      <c r="I93" s="46" t="str">
        <f>VLOOKUP($B93,master!$B$2:$S$595,8,0)</f>
        <v>NGABEAN</v>
      </c>
      <c r="J93" s="46" t="str">
        <f>VLOOKUP($B93,master!$B$2:$S$595,9,0)</f>
        <v>1</v>
      </c>
      <c r="K93" s="46" t="str">
        <f>VLOOKUP($B93,master!$B$2:$S$595,11,0)</f>
        <v>TRIHARJO</v>
      </c>
      <c r="L93" s="46" t="str">
        <f>VLOOKUP($B93,master!$B$2:$S$595,12,0)</f>
        <v>PANDAK</v>
      </c>
      <c r="M93" s="46" t="str">
        <f>VLOOKUP($B93,master!$B$2:$S$595,6,0)</f>
        <v>JONI SLAMET RIYADI</v>
      </c>
      <c r="N93" s="58" t="str">
        <f>VLOOKUP($B93,master!$B$2:$S$595,15,0)</f>
        <v>SMP N 3 PANDAK</v>
      </c>
      <c r="O93" s="58" t="str">
        <f>VLOOKUP($B93,master!$B$2:$S$595,4,0)</f>
        <v>2-09-2009</v>
      </c>
    </row>
    <row r="94" spans="1:15" ht="15.75" customHeight="1" x14ac:dyDescent="0.25">
      <c r="A94" s="56" t="s">
        <v>176</v>
      </c>
      <c r="B94" s="90" t="s">
        <v>3938</v>
      </c>
      <c r="C94" s="88" t="s">
        <v>4151</v>
      </c>
      <c r="D94" s="90" t="s">
        <v>3939</v>
      </c>
      <c r="E94" s="45" t="str">
        <f>VLOOKUP(D94,Total!$C$2:$D$439,2,0)</f>
        <v>10 TKR 1</v>
      </c>
      <c r="F94" s="45" t="str">
        <f>VLOOKUP(C94,Total!$B$2:$F$439,5,0)</f>
        <v>AKTIF</v>
      </c>
      <c r="G94" s="46" t="str">
        <f>VLOOKUP($B94,master!$B$2:$S$595,16,0)</f>
        <v>088221313600</v>
      </c>
      <c r="H94" s="46" t="str">
        <f>VLOOKUP($B94,master!$B$2:$S$595,17,0)</f>
        <v>082224465760</v>
      </c>
      <c r="I94" s="46" t="str">
        <f>VLOOKUP($B94,master!$B$2:$S$595,8,0)</f>
        <v>BRONGKOL</v>
      </c>
      <c r="J94" s="46" t="str">
        <f>VLOOKUP($B94,master!$B$2:$S$595,9,0)</f>
        <v>95</v>
      </c>
      <c r="K94" s="46" t="str">
        <f>VLOOKUP($B94,master!$B$2:$S$595,11,0)</f>
        <v>ARGODADI</v>
      </c>
      <c r="L94" s="46" t="str">
        <f>VLOOKUP($B94,master!$B$2:$S$595,12,0)</f>
        <v>SEDAYU</v>
      </c>
      <c r="M94" s="46" t="str">
        <f>VLOOKUP($B94,master!$B$2:$S$595,6,0)</f>
        <v>PARTIYAH</v>
      </c>
      <c r="N94" s="58" t="str">
        <f>VLOOKUP($B94,master!$B$2:$S$595,15,0)</f>
        <v>SMP N 2 SEDAYU</v>
      </c>
      <c r="O94" s="58" t="str">
        <f>VLOOKUP($B94,master!$B$2:$S$595,4,0)</f>
        <v>6-01-2010</v>
      </c>
    </row>
    <row r="95" spans="1:15" ht="15.75" customHeight="1" x14ac:dyDescent="0.25">
      <c r="A95" s="56" t="s">
        <v>177</v>
      </c>
      <c r="B95" s="90" t="s">
        <v>1804</v>
      </c>
      <c r="C95" s="88" t="s">
        <v>4152</v>
      </c>
      <c r="D95" s="90" t="s">
        <v>1805</v>
      </c>
      <c r="E95" s="45" t="str">
        <f>VLOOKUP(D95,Total!$C$2:$D$439,2,0)</f>
        <v>10 TKR 1</v>
      </c>
      <c r="F95" s="45" t="str">
        <f>VLOOKUP(C95,Total!$B$2:$F$439,5,0)</f>
        <v>AKTIF</v>
      </c>
      <c r="G95" s="46" t="str">
        <f>VLOOKUP($B95,master!$B$2:$S$595,16,0)</f>
        <v>083153282012</v>
      </c>
      <c r="H95" s="46" t="str">
        <f>VLOOKUP($B95,master!$B$2:$S$595,17,0)</f>
        <v>0881012383808</v>
      </c>
      <c r="I95" s="46" t="str">
        <f>VLOOKUP($B95,master!$B$2:$S$595,8,0)</f>
        <v>GABUG</v>
      </c>
      <c r="J95" s="46" t="str">
        <f>VLOOKUP($B95,master!$B$2:$S$595,9,0)</f>
        <v>5</v>
      </c>
      <c r="K95" s="46" t="str">
        <f>VLOOKUP($B95,master!$B$2:$S$595,11,0)</f>
        <v>GIRICAHYO</v>
      </c>
      <c r="L95" s="46" t="str">
        <f>VLOOKUP($B95,master!$B$2:$S$595,12,0)</f>
        <v>PURWOSARI</v>
      </c>
      <c r="M95" s="46" t="str">
        <f>VLOOKUP($B95,master!$B$2:$S$595,6,0)</f>
        <v>ANI</v>
      </c>
      <c r="N95" s="58" t="str">
        <f>VLOOKUP($B95,master!$B$2:$S$595,15,0)</f>
        <v>SMP N 1 PURWOSARI</v>
      </c>
      <c r="O95" s="58" t="str">
        <f>VLOOKUP($B95,master!$B$2:$S$595,4,0)</f>
        <v>11-06-2008</v>
      </c>
    </row>
    <row r="96" spans="1:15" ht="15.75" customHeight="1" x14ac:dyDescent="0.25">
      <c r="A96" s="56" t="s">
        <v>178</v>
      </c>
      <c r="B96" s="90" t="s">
        <v>923</v>
      </c>
      <c r="C96" s="88" t="s">
        <v>4153</v>
      </c>
      <c r="D96" s="90" t="s">
        <v>924</v>
      </c>
      <c r="E96" s="45" t="str">
        <f>VLOOKUP(D96,Total!$C$2:$D$439,2,0)</f>
        <v>10 TKR 1</v>
      </c>
      <c r="F96" s="45" t="str">
        <f>VLOOKUP(C96,Total!$B$2:$F$439,5,0)</f>
        <v>AKTIF</v>
      </c>
      <c r="G96" s="46" t="str">
        <f>VLOOKUP($B96,master!$B$2:$S$595,16,0)</f>
        <v>085802724914</v>
      </c>
      <c r="H96" s="46">
        <f>VLOOKUP($B96,master!$B$2:$S$595,17,0)</f>
        <v>0</v>
      </c>
      <c r="I96" s="46" t="str">
        <f>VLOOKUP($B96,master!$B$2:$S$595,8,0)</f>
        <v>MRISI</v>
      </c>
      <c r="J96" s="46" t="str">
        <f>VLOOKUP($B96,master!$B$2:$S$595,9,0)</f>
        <v>03</v>
      </c>
      <c r="K96" s="46" t="str">
        <f>VLOOKUP($B96,master!$B$2:$S$595,11,0)</f>
        <v>TIRTONIRMOLO</v>
      </c>
      <c r="L96" s="46" t="str">
        <f>VLOOKUP($B96,master!$B$2:$S$595,12,0)</f>
        <v>KASIHAN</v>
      </c>
      <c r="M96" s="46" t="str">
        <f>VLOOKUP($B96,master!$B$2:$S$595,6,0)</f>
        <v>EKO HARJUNI</v>
      </c>
      <c r="N96" s="58" t="str">
        <f>VLOOKUP($B96,master!$B$2:$S$595,15,0)</f>
        <v>SMP MUHAMMADIYAH KASIHAN</v>
      </c>
      <c r="O96" s="58" t="str">
        <f>VLOOKUP($B96,master!$B$2:$S$595,4,0)</f>
        <v>29-11-2009</v>
      </c>
    </row>
    <row r="97" spans="1:15" ht="15.75" customHeight="1" x14ac:dyDescent="0.25">
      <c r="A97" s="56" t="s">
        <v>179</v>
      </c>
      <c r="B97" s="90" t="s">
        <v>3868</v>
      </c>
      <c r="C97" s="88" t="s">
        <v>4154</v>
      </c>
      <c r="D97" s="90" t="s">
        <v>3869</v>
      </c>
      <c r="E97" s="45" t="str">
        <f>VLOOKUP(D97,Total!$C$2:$D$439,2,0)</f>
        <v>10 TKR 1</v>
      </c>
      <c r="F97" s="45" t="str">
        <f>VLOOKUP(C97,Total!$B$2:$F$439,5,0)</f>
        <v>AKTIF</v>
      </c>
      <c r="G97" s="46" t="str">
        <f>VLOOKUP($B97,master!$B$2:$S$595,16,0)</f>
        <v>087772101232</v>
      </c>
      <c r="H97" s="46" t="str">
        <f>VLOOKUP($B97,master!$B$2:$S$595,17,0)</f>
        <v>087891277506</v>
      </c>
      <c r="I97" s="46" t="str">
        <f>VLOOKUP($B97,master!$B$2:$S$595,8,0)</f>
        <v>bANTUL KARANG</v>
      </c>
      <c r="J97" s="46" t="str">
        <f>VLOOKUP($B97,master!$B$2:$S$595,9,0)</f>
        <v>4</v>
      </c>
      <c r="K97" s="46" t="str">
        <f>VLOOKUP($B97,master!$B$2:$S$595,11,0)</f>
        <v>RINGIN HARJO</v>
      </c>
      <c r="L97" s="46" t="str">
        <f>VLOOKUP($B97,master!$B$2:$S$595,12,0)</f>
        <v>BANTUL</v>
      </c>
      <c r="M97" s="46" t="str">
        <f>VLOOKUP($B97,master!$B$2:$S$595,6,0)</f>
        <v>DWI ASTUTI</v>
      </c>
      <c r="N97" s="58" t="str">
        <f>VLOOKUP($B97,master!$B$2:$S$595,15,0)</f>
        <v>SMP N 3 BANTUL</v>
      </c>
      <c r="O97" s="58" t="str">
        <f>VLOOKUP($B97,master!$B$2:$S$595,4,0)</f>
        <v>21-10-2009</v>
      </c>
    </row>
    <row r="98" spans="1:15" ht="15.75" customHeight="1" x14ac:dyDescent="0.25">
      <c r="A98" s="56" t="s">
        <v>180</v>
      </c>
      <c r="B98" s="90" t="s">
        <v>2491</v>
      </c>
      <c r="C98" s="88" t="s">
        <v>4155</v>
      </c>
      <c r="D98" s="90" t="s">
        <v>2492</v>
      </c>
      <c r="E98" s="45" t="str">
        <f>VLOOKUP(D98,Total!$C$2:$D$439,2,0)</f>
        <v>10 TKR 1</v>
      </c>
      <c r="F98" s="45" t="str">
        <f>VLOOKUP(C98,Total!$B$2:$F$439,5,0)</f>
        <v>AKTIF</v>
      </c>
      <c r="G98" s="46" t="str">
        <f>VLOOKUP($B98,master!$B$2:$S$595,16,0)</f>
        <v>088216705883</v>
      </c>
      <c r="H98" s="46" t="str">
        <f>VLOOKUP($B98,master!$B$2:$S$595,17,0)</f>
        <v>0881024717048</v>
      </c>
      <c r="I98" s="46" t="str">
        <f>VLOOKUP($B98,master!$B$2:$S$595,8,0)</f>
        <v>SOROWAJAN</v>
      </c>
      <c r="J98" s="46" t="str">
        <f>VLOOKUP($B98,master!$B$2:$S$595,9,0)</f>
        <v>10</v>
      </c>
      <c r="K98" s="46" t="str">
        <f>VLOOKUP($B98,master!$B$2:$S$595,11,0)</f>
        <v>PANGGUNGHARJO</v>
      </c>
      <c r="L98" s="46" t="str">
        <f>VLOOKUP($B98,master!$B$2:$S$595,12,0)</f>
        <v>SEWON</v>
      </c>
      <c r="M98" s="46" t="str">
        <f>VLOOKUP($B98,master!$B$2:$S$595,6,0)</f>
        <v>NUR CHOLIS</v>
      </c>
      <c r="N98" s="58" t="str">
        <f>VLOOKUP($B98,master!$B$2:$S$595,15,0)</f>
        <v>MTS N 1 BANTUL</v>
      </c>
      <c r="O98" s="58" t="str">
        <f>VLOOKUP($B98,master!$B$2:$S$595,4,0)</f>
        <v>25-03-2010</v>
      </c>
    </row>
    <row r="99" spans="1:15" ht="15.75" customHeight="1" x14ac:dyDescent="0.25">
      <c r="A99" s="56" t="s">
        <v>181</v>
      </c>
      <c r="B99" s="90" t="s">
        <v>1736</v>
      </c>
      <c r="C99" s="88" t="s">
        <v>4156</v>
      </c>
      <c r="D99" s="90" t="s">
        <v>1737</v>
      </c>
      <c r="E99" s="45" t="str">
        <f>VLOOKUP(D99,Total!$C$2:$D$439,2,0)</f>
        <v>10 TKR 1</v>
      </c>
      <c r="F99" s="45" t="str">
        <f>VLOOKUP(C99,Total!$B$2:$F$439,5,0)</f>
        <v>AKTIF</v>
      </c>
      <c r="G99" s="46" t="str">
        <f>VLOOKUP($B99,master!$B$2:$S$595,16,0)</f>
        <v>088215392377</v>
      </c>
      <c r="H99" s="46" t="str">
        <f>VLOOKUP($B99,master!$B$2:$S$595,17,0)</f>
        <v>0882003768466</v>
      </c>
      <c r="I99" s="46" t="str">
        <f>VLOOKUP($B99,master!$B$2:$S$595,8,0)</f>
        <v>GABUG</v>
      </c>
      <c r="J99" s="46" t="str">
        <f>VLOOKUP($B99,master!$B$2:$S$595,9,0)</f>
        <v>05</v>
      </c>
      <c r="K99" s="46" t="str">
        <f>VLOOKUP($B99,master!$B$2:$S$595,11,0)</f>
        <v>GIRICAHYO</v>
      </c>
      <c r="L99" s="46" t="str">
        <f>VLOOKUP($B99,master!$B$2:$S$595,12,0)</f>
        <v>PURWOSARI</v>
      </c>
      <c r="M99" s="46" t="str">
        <f>VLOOKUP($B99,master!$B$2:$S$595,6,0)</f>
        <v>NGADIYONO</v>
      </c>
      <c r="N99" s="58" t="str">
        <f>VLOOKUP($B99,master!$B$2:$S$595,15,0)</f>
        <v>SMP N 1 PURWOSARI</v>
      </c>
      <c r="O99" s="58" t="str">
        <f>VLOOKUP($B99,master!$B$2:$S$595,4,0)</f>
        <v>17-03-2009</v>
      </c>
    </row>
    <row r="100" spans="1:15" ht="15.75" customHeight="1" x14ac:dyDescent="0.25">
      <c r="A100" s="56" t="s">
        <v>182</v>
      </c>
      <c r="B100" s="90" t="s">
        <v>2577</v>
      </c>
      <c r="C100" s="88" t="s">
        <v>4157</v>
      </c>
      <c r="D100" s="90" t="s">
        <v>2578</v>
      </c>
      <c r="E100" s="45" t="str">
        <f>VLOOKUP(D100,Total!$C$2:$D$439,2,0)</f>
        <v>10 TKR 1</v>
      </c>
      <c r="F100" s="45" t="str">
        <f>VLOOKUP(C100,Total!$B$2:$F$439,5,0)</f>
        <v>AKTIF</v>
      </c>
      <c r="G100" s="46" t="str">
        <f>VLOOKUP($B100,master!$B$2:$S$595,16,0)</f>
        <v>081318700083</v>
      </c>
      <c r="H100" s="46" t="str">
        <f>VLOOKUP($B100,master!$B$2:$S$595,17,0)</f>
        <v>085890338403</v>
      </c>
      <c r="I100" s="46" t="str">
        <f>VLOOKUP($B100,master!$B$2:$S$595,8,0)</f>
        <v>BABAKAN</v>
      </c>
      <c r="J100" s="46" t="str">
        <f>VLOOKUP($B100,master!$B$2:$S$595,9,0)</f>
        <v>03</v>
      </c>
      <c r="K100" s="46" t="str">
        <f>VLOOKUP($B100,master!$B$2:$S$595,11,0)</f>
        <v>PONCOSARI</v>
      </c>
      <c r="L100" s="46" t="str">
        <f>VLOOKUP($B100,master!$B$2:$S$595,12,0)</f>
        <v>SRANDAKAN</v>
      </c>
      <c r="M100" s="46" t="str">
        <f>VLOOKUP($B100,master!$B$2:$S$595,6,0)</f>
        <v>ZUNIANTO</v>
      </c>
      <c r="N100" s="58" t="str">
        <f>VLOOKUP($B100,master!$B$2:$S$595,15,0)</f>
        <v>SMP N 2 SRANDAKAN</v>
      </c>
      <c r="O100" s="58" t="str">
        <f>VLOOKUP($B100,master!$B$2:$S$595,4,0)</f>
        <v>6-08-2009</v>
      </c>
    </row>
    <row r="101" spans="1:15" ht="15.75" customHeight="1" x14ac:dyDescent="0.25">
      <c r="A101" s="56" t="s">
        <v>183</v>
      </c>
      <c r="B101" s="90" t="s">
        <v>1928</v>
      </c>
      <c r="C101" s="88" t="s">
        <v>4158</v>
      </c>
      <c r="D101" s="90" t="s">
        <v>1929</v>
      </c>
      <c r="E101" s="45" t="str">
        <f>VLOOKUP(D101,Total!$C$2:$D$439,2,0)</f>
        <v>10 TKR 1</v>
      </c>
      <c r="F101" s="45" t="str">
        <f>VLOOKUP(C101,Total!$B$2:$F$439,5,0)</f>
        <v>AKTIF</v>
      </c>
      <c r="G101" s="46" t="str">
        <f>VLOOKUP($B101,master!$B$2:$S$595,16,0)</f>
        <v>08975391730</v>
      </c>
      <c r="H101" s="46" t="str">
        <f>VLOOKUP($B101,master!$B$2:$S$595,17,0)</f>
        <v>085729960943</v>
      </c>
      <c r="I101" s="46" t="str">
        <f>VLOOKUP($B101,master!$B$2:$S$595,8,0)</f>
        <v>BLUNYAHAN</v>
      </c>
      <c r="J101" s="46" t="str">
        <f>VLOOKUP($B101,master!$B$2:$S$595,9,0)</f>
        <v>46</v>
      </c>
      <c r="K101" s="46" t="str">
        <f>VLOOKUP($B101,master!$B$2:$S$595,11,0)</f>
        <v>PENDOWOHARJO</v>
      </c>
      <c r="L101" s="46" t="str">
        <f>VLOOKUP($B101,master!$B$2:$S$595,12,0)</f>
        <v>SEWON</v>
      </c>
      <c r="M101" s="46" t="str">
        <f>VLOOKUP($B101,master!$B$2:$S$595,6,0)</f>
        <v>DARMAWAN</v>
      </c>
      <c r="N101" s="58" t="str">
        <f>VLOOKUP($B101,master!$B$2:$S$595,15,0)</f>
        <v>SMP N 3 SEWON</v>
      </c>
      <c r="O101" s="58" t="str">
        <f>VLOOKUP($B101,master!$B$2:$S$595,4,0)</f>
        <v>30-07-2009</v>
      </c>
    </row>
    <row r="102" spans="1:15" ht="15.75" customHeight="1" x14ac:dyDescent="0.25">
      <c r="A102" s="56" t="s">
        <v>184</v>
      </c>
      <c r="B102" s="90" t="s">
        <v>3261</v>
      </c>
      <c r="C102" s="88" t="s">
        <v>4159</v>
      </c>
      <c r="D102" s="90" t="s">
        <v>3262</v>
      </c>
      <c r="E102" s="45" t="str">
        <f>VLOOKUP(D102,Total!$C$2:$D$439,2,0)</f>
        <v>10 TKR 1</v>
      </c>
      <c r="F102" s="45" t="str">
        <f>VLOOKUP(C102,Total!$B$2:$F$439,5,0)</f>
        <v>AKTIF</v>
      </c>
      <c r="G102" s="46" t="str">
        <f>VLOOKUP($B102,master!$B$2:$S$595,16,0)</f>
        <v>082329193430</v>
      </c>
      <c r="H102" s="46" t="str">
        <f>VLOOKUP($B102,master!$B$2:$S$595,17,0)</f>
        <v>082133073432</v>
      </c>
      <c r="I102" s="46" t="str">
        <f>VLOOKUP($B102,master!$B$2:$S$595,8,0)</f>
        <v>KALIPAKEL</v>
      </c>
      <c r="J102" s="46" t="str">
        <f>VLOOKUP($B102,master!$B$2:$S$595,9,0)</f>
        <v>3</v>
      </c>
      <c r="K102" s="46" t="str">
        <f>VLOOKUP($B102,master!$B$2:$S$595,11,0)</f>
        <v>DONOTIRTO</v>
      </c>
      <c r="L102" s="46" t="str">
        <f>VLOOKUP($B102,master!$B$2:$S$595,12,0)</f>
        <v>KRETEK</v>
      </c>
      <c r="M102" s="46" t="str">
        <f>VLOOKUP($B102,master!$B$2:$S$595,6,0)</f>
        <v>SRI WINANTI</v>
      </c>
      <c r="N102" s="58" t="str">
        <f>VLOOKUP($B102,master!$B$2:$S$595,15,0)</f>
        <v>SMP N 2 KRETEK</v>
      </c>
      <c r="O102" s="58" t="str">
        <f>VLOOKUP($B102,master!$B$2:$S$595,4,0)</f>
        <v>19-10-2009</v>
      </c>
    </row>
    <row r="103" spans="1:15" ht="15.75" customHeight="1" x14ac:dyDescent="0.25">
      <c r="A103" s="56" t="s">
        <v>185</v>
      </c>
      <c r="B103" s="90" t="s">
        <v>3429</v>
      </c>
      <c r="C103" s="88" t="s">
        <v>4160</v>
      </c>
      <c r="D103" s="90" t="s">
        <v>3430</v>
      </c>
      <c r="E103" s="45" t="str">
        <f>VLOOKUP(D103,Total!$C$2:$D$439,2,0)</f>
        <v>10 TKR 1</v>
      </c>
      <c r="F103" s="45" t="str">
        <f>VLOOKUP(C103,Total!$B$2:$F$439,5,0)</f>
        <v>AKTIF</v>
      </c>
      <c r="G103" s="46" t="str">
        <f>VLOOKUP($B103,master!$B$2:$S$595,16,0)</f>
        <v>081568428424</v>
      </c>
      <c r="H103" s="46" t="str">
        <f>VLOOKUP($B103,master!$B$2:$S$595,17,0)</f>
        <v>089676399553</v>
      </c>
      <c r="I103" s="46" t="str">
        <f>VLOOKUP($B103,master!$B$2:$S$595,8,0)</f>
        <v>GANDEKAN</v>
      </c>
      <c r="J103" s="46" t="str">
        <f>VLOOKUP($B103,master!$B$2:$S$595,9,0)</f>
        <v>001</v>
      </c>
      <c r="K103" s="46" t="str">
        <f>VLOOKUP($B103,master!$B$2:$S$595,11,0)</f>
        <v>TRIRENGGO</v>
      </c>
      <c r="L103" s="46" t="str">
        <f>VLOOKUP($B103,master!$B$2:$S$595,12,0)</f>
        <v>BANTUL</v>
      </c>
      <c r="M103" s="46" t="str">
        <f>VLOOKUP($B103,master!$B$2:$S$595,6,0)</f>
        <v>INDARTO</v>
      </c>
      <c r="N103" s="58" t="str">
        <f>VLOOKUP($B103,master!$B$2:$S$595,15,0)</f>
        <v>MTS N 4 BANTUL</v>
      </c>
      <c r="O103" s="58" t="str">
        <f>VLOOKUP($B103,master!$B$2:$S$595,4,0)</f>
        <v>31-03-2010</v>
      </c>
    </row>
    <row r="104" spans="1:15" ht="15.75" customHeight="1" x14ac:dyDescent="0.25">
      <c r="A104" s="56" t="s">
        <v>186</v>
      </c>
      <c r="B104" s="90" t="s">
        <v>1210</v>
      </c>
      <c r="C104" s="88" t="s">
        <v>4161</v>
      </c>
      <c r="D104" s="90" t="s">
        <v>1211</v>
      </c>
      <c r="E104" s="45" t="str">
        <f>VLOOKUP(D104,Total!$C$2:$D$439,2,0)</f>
        <v>10 TKR 1</v>
      </c>
      <c r="F104" s="45" t="str">
        <f>VLOOKUP(C104,Total!$B$2:$F$439,5,0)</f>
        <v>AKTIF</v>
      </c>
      <c r="G104" s="46" t="str">
        <f>VLOOKUP($B104,master!$B$2:$S$595,16,0)</f>
        <v>081931186867</v>
      </c>
      <c r="H104" s="46" t="str">
        <f>VLOOKUP($B104,master!$B$2:$S$595,17,0)</f>
        <v>081931186867</v>
      </c>
      <c r="I104" s="46" t="str">
        <f>VLOOKUP($B104,master!$B$2:$S$595,8,0)</f>
        <v>GEDONGAN</v>
      </c>
      <c r="J104" s="46" t="str">
        <f>VLOOKUP($B104,master!$B$2:$S$595,9,0)</f>
        <v>1</v>
      </c>
      <c r="K104" s="46" t="str">
        <f>VLOOKUP($B104,master!$B$2:$S$595,11,0)</f>
        <v>SRIGADING</v>
      </c>
      <c r="L104" s="46" t="str">
        <f>VLOOKUP($B104,master!$B$2:$S$595,12,0)</f>
        <v>SANDEN</v>
      </c>
      <c r="M104" s="46" t="str">
        <f>VLOOKUP($B104,master!$B$2:$S$595,6,0)</f>
        <v>BRANTI MURINI</v>
      </c>
      <c r="N104" s="58" t="str">
        <f>VLOOKUP($B104,master!$B$2:$S$595,15,0)</f>
        <v>SMP N 2 SANDEN</v>
      </c>
      <c r="O104" s="58" t="str">
        <f>VLOOKUP($B104,master!$B$2:$S$595,4,0)</f>
        <v>24-04-2009</v>
      </c>
    </row>
    <row r="105" spans="1:15" ht="15.75" customHeight="1" x14ac:dyDescent="0.25">
      <c r="A105" s="56" t="s">
        <v>187</v>
      </c>
      <c r="B105" s="90" t="s">
        <v>1450</v>
      </c>
      <c r="C105" s="88" t="s">
        <v>4162</v>
      </c>
      <c r="D105" s="90" t="s">
        <v>4516</v>
      </c>
      <c r="E105" s="45" t="str">
        <f>VLOOKUP(D105,Total!$C$2:$D$439,2,0)</f>
        <v>10 TKR 1</v>
      </c>
      <c r="F105" s="45" t="str">
        <f>VLOOKUP(C105,Total!$B$2:$F$439,5,0)</f>
        <v>AKTIF</v>
      </c>
      <c r="G105" s="46" t="str">
        <f>VLOOKUP($B105,master!$B$2:$S$595,16,0)</f>
        <v>0882003778503</v>
      </c>
      <c r="H105" s="46" t="str">
        <f>VLOOKUP($B105,master!$B$2:$S$595,17,0)</f>
        <v>0882003778503</v>
      </c>
      <c r="I105" s="46" t="str">
        <f>VLOOKUP($B105,master!$B$2:$S$595,8,0)</f>
        <v>MRISI</v>
      </c>
      <c r="J105" s="46" t="str">
        <f>VLOOKUP($B105,master!$B$2:$S$595,9,0)</f>
        <v>9</v>
      </c>
      <c r="K105" s="46" t="str">
        <f>VLOOKUP($B105,master!$B$2:$S$595,11,0)</f>
        <v>TIRTONIRMOLO</v>
      </c>
      <c r="L105" s="46" t="str">
        <f>VLOOKUP($B105,master!$B$2:$S$595,12,0)</f>
        <v>KASIHAN</v>
      </c>
      <c r="M105" s="46" t="str">
        <f>VLOOKUP($B105,master!$B$2:$S$595,6,0)</f>
        <v>ARIF SLAMET RIYADI</v>
      </c>
      <c r="N105" s="58" t="str">
        <f>VLOOKUP($B105,master!$B$2:$S$595,15,0)</f>
        <v>MTS MUHAMMADIYAH KASIHAN</v>
      </c>
      <c r="O105" s="58" t="str">
        <f>VLOOKUP($B105,master!$B$2:$S$595,4,0)</f>
        <v>19-01-2009</v>
      </c>
    </row>
    <row r="106" spans="1:15" ht="15.75" customHeight="1" x14ac:dyDescent="0.25">
      <c r="A106" s="56" t="s">
        <v>188</v>
      </c>
      <c r="B106" s="90" t="s">
        <v>3395</v>
      </c>
      <c r="C106" s="88" t="s">
        <v>4163</v>
      </c>
      <c r="D106" s="90" t="s">
        <v>3396</v>
      </c>
      <c r="E106" s="45" t="str">
        <f>VLOOKUP(D106,Total!$C$2:$D$439,2,0)</f>
        <v>10 TKR 1</v>
      </c>
      <c r="F106" s="45" t="str">
        <f>VLOOKUP(C106,Total!$B$2:$F$439,5,0)</f>
        <v>AKTIF</v>
      </c>
      <c r="G106" s="46" t="str">
        <f>VLOOKUP($B106,master!$B$2:$S$595,16,0)</f>
        <v>085103202345</v>
      </c>
      <c r="H106" s="46" t="str">
        <f>VLOOKUP($B106,master!$B$2:$S$595,17,0)</f>
        <v>085728404634</v>
      </c>
      <c r="I106" s="46" t="str">
        <f>VLOOKUP($B106,master!$B$2:$S$595,8,0)</f>
        <v>PERUM BANGUNJIWO SEJ</v>
      </c>
      <c r="J106" s="46" t="str">
        <f>VLOOKUP($B106,master!$B$2:$S$595,9,0)</f>
        <v>6</v>
      </c>
      <c r="K106" s="46" t="str">
        <f>VLOOKUP($B106,master!$B$2:$S$595,11,0)</f>
        <v>BANGUNJIWO</v>
      </c>
      <c r="L106" s="46" t="str">
        <f>VLOOKUP($B106,master!$B$2:$S$595,12,0)</f>
        <v>KASIHAN</v>
      </c>
      <c r="M106" s="46" t="str">
        <f>VLOOKUP($B106,master!$B$2:$S$595,6,0)</f>
        <v>ARIF NUR</v>
      </c>
      <c r="N106" s="58" t="str">
        <f>VLOOKUP($B106,master!$B$2:$S$595,15,0)</f>
        <v>MTS MUHAMMADIYAH KASIHAN</v>
      </c>
      <c r="O106" s="58" t="str">
        <f>VLOOKUP($B106,master!$B$2:$S$595,4,0)</f>
        <v>9-04-2009</v>
      </c>
    </row>
    <row r="107" spans="1:15" ht="15.75" customHeight="1" x14ac:dyDescent="0.25">
      <c r="A107" s="56" t="s">
        <v>189</v>
      </c>
      <c r="B107" s="98" t="s">
        <v>4038</v>
      </c>
      <c r="C107" s="88" t="s">
        <v>4164</v>
      </c>
      <c r="D107" s="98" t="s">
        <v>4039</v>
      </c>
      <c r="E107" s="45" t="str">
        <f>VLOOKUP(D107,Total!$C$2:$D$439,2,0)</f>
        <v>10 TKR 1</v>
      </c>
      <c r="F107" s="45" t="str">
        <f>VLOOKUP(C107,Total!$B$2:$F$439,5,0)</f>
        <v>KELUAR</v>
      </c>
      <c r="G107" s="46" t="str">
        <f>VLOOKUP($B107,master!$B$2:$S$595,16,0)</f>
        <v>081311217690</v>
      </c>
      <c r="H107" s="46" t="str">
        <f>VLOOKUP($B107,master!$B$2:$S$595,17,0)</f>
        <v>082136414166</v>
      </c>
      <c r="I107" s="46" t="str">
        <f>VLOOKUP($B107,master!$B$2:$S$595,8,0)</f>
        <v>JIGUDAN</v>
      </c>
      <c r="J107" s="46" t="str">
        <f>VLOOKUP($B107,master!$B$2:$S$595,9,0)</f>
        <v>4</v>
      </c>
      <c r="K107" s="46" t="str">
        <f>VLOOKUP($B107,master!$B$2:$S$595,11,0)</f>
        <v>TRIHARJO</v>
      </c>
      <c r="L107" s="46" t="str">
        <f>VLOOKUP($B107,master!$B$2:$S$595,12,0)</f>
        <v>PANDAK</v>
      </c>
      <c r="M107" s="46" t="str">
        <f>VLOOKUP($B107,master!$B$2:$S$595,6,0)</f>
        <v>MARGIYANTO</v>
      </c>
      <c r="N107" s="58" t="str">
        <f>VLOOKUP($B107,master!$B$2:$S$595,15,0)</f>
        <v>SMP 2 VETERAN BANTUL</v>
      </c>
      <c r="O107" s="58" t="str">
        <f>VLOOKUP($B107,master!$B$2:$S$595,4,0)</f>
        <v>23-03-2008</v>
      </c>
    </row>
    <row r="108" spans="1:15" ht="15.75" customHeight="1" x14ac:dyDescent="0.25">
      <c r="A108" s="56" t="s">
        <v>190</v>
      </c>
      <c r="B108" s="90" t="s">
        <v>1713</v>
      </c>
      <c r="C108" s="88" t="s">
        <v>4165</v>
      </c>
      <c r="D108" s="90" t="s">
        <v>1714</v>
      </c>
      <c r="E108" s="45" t="str">
        <f>VLOOKUP(D108,Total!$C$2:$D$439,2,0)</f>
        <v>10 TKR 1</v>
      </c>
      <c r="F108" s="45" t="str">
        <f>VLOOKUP(C108,Total!$B$2:$F$439,5,0)</f>
        <v>AKTIF</v>
      </c>
      <c r="G108" s="46" t="str">
        <f>VLOOKUP($B108,master!$B$2:$S$595,16,0)</f>
        <v>089501523614</v>
      </c>
      <c r="H108" s="46" t="str">
        <f>VLOOKUP($B108,master!$B$2:$S$595,17,0)</f>
        <v>089692709050</v>
      </c>
      <c r="I108" s="46" t="str">
        <f>VLOOKUP($B108,master!$B$2:$S$595,8,0)</f>
        <v>WATU</v>
      </c>
      <c r="J108" s="46" t="str">
        <f>VLOOKUP($B108,master!$B$2:$S$595,9,0)</f>
        <v>4</v>
      </c>
      <c r="K108" s="46" t="str">
        <f>VLOOKUP($B108,master!$B$2:$S$595,11,0)</f>
        <v>PANJANGREJO</v>
      </c>
      <c r="L108" s="46" t="str">
        <f>VLOOKUP($B108,master!$B$2:$S$595,12,0)</f>
        <v>PUNDONG</v>
      </c>
      <c r="M108" s="46" t="str">
        <f>VLOOKUP($B108,master!$B$2:$S$595,6,0)</f>
        <v>ALBANI</v>
      </c>
      <c r="N108" s="58" t="str">
        <f>VLOOKUP($B108,master!$B$2:$S$595,15,0)</f>
        <v>SMP N 1 PUNDONG</v>
      </c>
      <c r="O108" s="58" t="str">
        <f>VLOOKUP($B108,master!$B$2:$S$595,4,0)</f>
        <v>30-04-2010</v>
      </c>
    </row>
    <row r="109" spans="1:15" ht="15.75" customHeight="1" x14ac:dyDescent="0.25">
      <c r="A109" s="56" t="s">
        <v>191</v>
      </c>
      <c r="B109" s="90" t="s">
        <v>2321</v>
      </c>
      <c r="C109" s="88" t="s">
        <v>4166</v>
      </c>
      <c r="D109" s="90" t="s">
        <v>2322</v>
      </c>
      <c r="E109" s="45" t="str">
        <f>VLOOKUP(D109,Total!$C$2:$D$439,2,0)</f>
        <v>10 TKR 1</v>
      </c>
      <c r="F109" s="45" t="str">
        <f>VLOOKUP(C109,Total!$B$2:$F$439,5,0)</f>
        <v>AKTIF</v>
      </c>
      <c r="G109" s="46" t="str">
        <f>VLOOKUP($B109,master!$B$2:$S$595,16,0)</f>
        <v>08122781899</v>
      </c>
      <c r="H109" s="46" t="str">
        <f>VLOOKUP($B109,master!$B$2:$S$595,17,0)</f>
        <v>08122781899</v>
      </c>
      <c r="I109" s="46" t="str">
        <f>VLOOKUP($B109,master!$B$2:$S$595,8,0)</f>
        <v>KARANGPULE</v>
      </c>
      <c r="J109" s="46" t="str">
        <f>VLOOKUP($B109,master!$B$2:$S$595,9,0)</f>
        <v>2</v>
      </c>
      <c r="K109" s="46" t="str">
        <f>VLOOKUP($B109,master!$B$2:$S$595,11,0)</f>
        <v>TIRTONIRMOLO</v>
      </c>
      <c r="L109" s="46" t="str">
        <f>VLOOKUP($B109,master!$B$2:$S$595,12,0)</f>
        <v>KASIHAN</v>
      </c>
      <c r="M109" s="46" t="str">
        <f>VLOOKUP($B109,master!$B$2:$S$595,6,0)</f>
        <v>KUSNANTO</v>
      </c>
      <c r="N109" s="58" t="str">
        <f>VLOOKUP($B109,master!$B$2:$S$595,15,0)</f>
        <v>SMP MUHAMMADIYAH 8 YOGYAKARTA</v>
      </c>
      <c r="O109" s="58" t="str">
        <f>VLOOKUP($B109,master!$B$2:$S$595,4,0)</f>
        <v>4-06-2010</v>
      </c>
    </row>
    <row r="110" spans="1:15" ht="15.75" customHeight="1" x14ac:dyDescent="0.25">
      <c r="A110" s="56" t="s">
        <v>192</v>
      </c>
      <c r="B110" s="90" t="s">
        <v>1400</v>
      </c>
      <c r="C110" s="88" t="s">
        <v>4167</v>
      </c>
      <c r="D110" s="90" t="s">
        <v>1401</v>
      </c>
      <c r="E110" s="45" t="str">
        <f>VLOOKUP(D110,Total!$C$2:$D$439,2,0)</f>
        <v>10 TKR 1</v>
      </c>
      <c r="F110" s="45" t="str">
        <f>VLOOKUP(C110,Total!$B$2:$F$439,5,0)</f>
        <v>AKTIF</v>
      </c>
      <c r="G110" s="46" t="str">
        <f>VLOOKUP($B110,master!$B$2:$S$595,16,0)</f>
        <v>082135442511</v>
      </c>
      <c r="H110" s="46" t="str">
        <f>VLOOKUP($B110,master!$B$2:$S$595,17,0)</f>
        <v>085692349969</v>
      </c>
      <c r="I110" s="46" t="str">
        <f>VLOOKUP($B110,master!$B$2:$S$595,8,0)</f>
        <v>MAYUNGAN II</v>
      </c>
      <c r="J110" s="46" t="str">
        <f>VLOOKUP($B110,master!$B$2:$S$595,9,0)</f>
        <v>3</v>
      </c>
      <c r="K110" s="46" t="str">
        <f>VLOOKUP($B110,master!$B$2:$S$595,11,0)</f>
        <v>MURTIGADING</v>
      </c>
      <c r="L110" s="46" t="str">
        <f>VLOOKUP($B110,master!$B$2:$S$595,12,0)</f>
        <v>SANDEN</v>
      </c>
      <c r="M110" s="46" t="str">
        <f>VLOOKUP($B110,master!$B$2:$S$595,6,0)</f>
        <v>MARWANTO</v>
      </c>
      <c r="N110" s="58" t="str">
        <f>VLOOKUP($B110,master!$B$2:$S$595,15,0)</f>
        <v>SMP N 2 SANDEN</v>
      </c>
      <c r="O110" s="58" t="str">
        <f>VLOOKUP($B110,master!$B$2:$S$595,4,0)</f>
        <v>19-08-2009</v>
      </c>
    </row>
    <row r="111" spans="1:15" ht="15.75" customHeight="1" x14ac:dyDescent="0.25">
      <c r="A111" s="56" t="s">
        <v>193</v>
      </c>
      <c r="B111" s="90" t="s">
        <v>1511</v>
      </c>
      <c r="C111" s="88" t="s">
        <v>4168</v>
      </c>
      <c r="D111" s="90" t="s">
        <v>1512</v>
      </c>
      <c r="E111" s="45" t="str">
        <f>VLOOKUP(D111,Total!$C$2:$D$439,2,0)</f>
        <v>10 TKR 1</v>
      </c>
      <c r="F111" s="45" t="str">
        <f>VLOOKUP(C111,Total!$B$2:$F$439,5,0)</f>
        <v>AKTIF</v>
      </c>
      <c r="G111" s="46" t="str">
        <f>VLOOKUP($B111,master!$B$2:$S$595,16,0)</f>
        <v>085729547825</v>
      </c>
      <c r="H111" s="46" t="str">
        <f>VLOOKUP($B111,master!$B$2:$S$595,17,0)</f>
        <v>-</v>
      </c>
      <c r="I111" s="46" t="str">
        <f>VLOOKUP($B111,master!$B$2:$S$595,8,0)</f>
        <v>KADIROJO</v>
      </c>
      <c r="J111" s="46" t="str">
        <f>VLOOKUP($B111,master!$B$2:$S$595,9,0)</f>
        <v>-</v>
      </c>
      <c r="K111" s="46" t="str">
        <f>VLOOKUP($B111,master!$B$2:$S$595,11,0)</f>
        <v>PALBAPANG</v>
      </c>
      <c r="L111" s="46" t="str">
        <f>VLOOKUP($B111,master!$B$2:$S$595,12,0)</f>
        <v>BANTUL</v>
      </c>
      <c r="M111" s="46" t="str">
        <f>VLOOKUP($B111,master!$B$2:$S$595,6,0)</f>
        <v>RULIANI</v>
      </c>
      <c r="N111" s="58" t="str">
        <f>VLOOKUP($B111,master!$B$2:$S$595,15,0)</f>
        <v>SMP MUHAMMADIYAH BANTUL</v>
      </c>
      <c r="O111" s="58" t="str">
        <f>VLOOKUP($B111,master!$B$2:$S$595,4,0)</f>
        <v>15-05-2009</v>
      </c>
    </row>
    <row r="112" spans="1:15" ht="15.75" customHeight="1" x14ac:dyDescent="0.25">
      <c r="A112" s="56" t="s">
        <v>194</v>
      </c>
      <c r="B112" s="92" t="s">
        <v>1775</v>
      </c>
      <c r="C112" s="88" t="s">
        <v>4169</v>
      </c>
      <c r="D112" s="92" t="s">
        <v>1776</v>
      </c>
      <c r="E112" s="45" t="str">
        <f>VLOOKUP(D112,Total!$C$2:$D$439,2,0)</f>
        <v>10 TKR 2</v>
      </c>
      <c r="F112" s="45" t="str">
        <f>VLOOKUP(C112,Total!$B$2:$F$439,5,0)</f>
        <v>AKTIF</v>
      </c>
      <c r="G112" s="46" t="str">
        <f>VLOOKUP($B112,master!$B$2:$S$595,16,0)</f>
        <v>087737493149</v>
      </c>
      <c r="H112" s="46" t="str">
        <f>VLOOKUP($B112,master!$B$2:$S$595,17,0)</f>
        <v>087737493140</v>
      </c>
      <c r="I112" s="46" t="str">
        <f>VLOOKUP($B112,master!$B$2:$S$595,8,0)</f>
        <v>DENGOKAN</v>
      </c>
      <c r="J112" s="46" t="str">
        <f>VLOOKUP($B112,master!$B$2:$S$595,9,0)</f>
        <v>51</v>
      </c>
      <c r="K112" s="46" t="str">
        <f>VLOOKUP($B112,master!$B$2:$S$595,11,0)</f>
        <v>SRIGADING</v>
      </c>
      <c r="L112" s="46" t="str">
        <f>VLOOKUP($B112,master!$B$2:$S$595,12,0)</f>
        <v>SANDEN</v>
      </c>
      <c r="M112" s="46" t="str">
        <f>VLOOKUP($B112,master!$B$2:$S$595,6,0)</f>
        <v>SUHARYANTA</v>
      </c>
      <c r="N112" s="58" t="str">
        <f>VLOOKUP($B112,master!$B$2:$S$595,15,0)</f>
        <v>SMP N 2 SANDEN</v>
      </c>
      <c r="O112" s="58" t="str">
        <f>VLOOKUP($B112,master!$B$2:$S$595,4,0)</f>
        <v>21-06-2009</v>
      </c>
    </row>
    <row r="113" spans="1:15" ht="15.75" customHeight="1" x14ac:dyDescent="0.25">
      <c r="A113" s="56" t="s">
        <v>195</v>
      </c>
      <c r="B113" s="92" t="s">
        <v>716</v>
      </c>
      <c r="C113" s="88" t="s">
        <v>4170</v>
      </c>
      <c r="D113" s="92" t="s">
        <v>717</v>
      </c>
      <c r="E113" s="45" t="str">
        <f>VLOOKUP(D113,Total!$C$2:$D$439,2,0)</f>
        <v>10 TKR 2</v>
      </c>
      <c r="F113" s="45" t="str">
        <f>VLOOKUP(C113,Total!$B$2:$F$439,5,0)</f>
        <v>AKTIF</v>
      </c>
      <c r="G113" s="46" t="str">
        <f>VLOOKUP($B113,master!$B$2:$S$595,16,0)</f>
        <v>089504591520</v>
      </c>
      <c r="H113" s="46">
        <f>VLOOKUP($B113,master!$B$2:$S$595,17,0)</f>
        <v>0</v>
      </c>
      <c r="I113" s="46" t="str">
        <f>VLOOKUP($B113,master!$B$2:$S$595,8,0)</f>
        <v>GANDEKAN</v>
      </c>
      <c r="J113" s="46" t="str">
        <f>VLOOKUP($B113,master!$B$2:$S$595,9,0)</f>
        <v>1</v>
      </c>
      <c r="K113" s="46" t="str">
        <f>VLOOKUP($B113,master!$B$2:$S$595,11,0)</f>
        <v>TRIRENGGO</v>
      </c>
      <c r="L113" s="46" t="str">
        <f>VLOOKUP($B113,master!$B$2:$S$595,12,0)</f>
        <v>BANTUL</v>
      </c>
      <c r="M113" s="46" t="str">
        <f>VLOOKUP($B113,master!$B$2:$S$595,6,0)</f>
        <v>MURDIMAN</v>
      </c>
      <c r="N113" s="58" t="str">
        <f>VLOOKUP($B113,master!$B$2:$S$595,15,0)</f>
        <v>SMP ISLAM PRESTASI</v>
      </c>
      <c r="O113" s="58" t="str">
        <f>VLOOKUP($B113,master!$B$2:$S$595,4,0)</f>
        <v>15-08-2008</v>
      </c>
    </row>
    <row r="114" spans="1:15" ht="15.75" customHeight="1" x14ac:dyDescent="0.25">
      <c r="A114" s="56" t="s">
        <v>196</v>
      </c>
      <c r="B114" s="92" t="s">
        <v>1258</v>
      </c>
      <c r="C114" s="88" t="s">
        <v>4171</v>
      </c>
      <c r="D114" s="92" t="s">
        <v>1259</v>
      </c>
      <c r="E114" s="45" t="str">
        <f>VLOOKUP(D114,Total!$C$2:$D$439,2,0)</f>
        <v>10 TKR 2</v>
      </c>
      <c r="F114" s="45" t="str">
        <f>VLOOKUP(C114,Total!$B$2:$F$439,5,0)</f>
        <v>AKTIF</v>
      </c>
      <c r="G114" s="46" t="str">
        <f>VLOOKUP($B114,master!$B$2:$S$595,16,0)</f>
        <v>081225973514</v>
      </c>
      <c r="H114" s="46" t="str">
        <f>VLOOKUP($B114,master!$B$2:$S$595,17,0)</f>
        <v>082328026645</v>
      </c>
      <c r="I114" s="46" t="str">
        <f>VLOOKUP($B114,master!$B$2:$S$595,8,0)</f>
        <v>WATU</v>
      </c>
      <c r="J114" s="46" t="str">
        <f>VLOOKUP($B114,master!$B$2:$S$595,9,0)</f>
        <v>5</v>
      </c>
      <c r="K114" s="46" t="str">
        <f>VLOOKUP($B114,master!$B$2:$S$595,11,0)</f>
        <v>PANJANGREJO</v>
      </c>
      <c r="L114" s="46" t="str">
        <f>VLOOKUP($B114,master!$B$2:$S$595,12,0)</f>
        <v>PUNDONG</v>
      </c>
      <c r="M114" s="46" t="str">
        <f>VLOOKUP($B114,master!$B$2:$S$595,6,0)</f>
        <v>SUPARJIAYANTO</v>
      </c>
      <c r="N114" s="58" t="str">
        <f>VLOOKUP($B114,master!$B$2:$S$595,15,0)</f>
        <v>SMP N 1 PUNDONG</v>
      </c>
      <c r="O114" s="58" t="str">
        <f>VLOOKUP($B114,master!$B$2:$S$595,4,0)</f>
        <v>24-10-2009</v>
      </c>
    </row>
    <row r="115" spans="1:15" ht="15.75" customHeight="1" x14ac:dyDescent="0.25">
      <c r="A115" s="56" t="s">
        <v>197</v>
      </c>
      <c r="B115" s="92" t="s">
        <v>788</v>
      </c>
      <c r="C115" s="88" t="s">
        <v>4172</v>
      </c>
      <c r="D115" s="92" t="s">
        <v>789</v>
      </c>
      <c r="E115" s="45" t="str">
        <f>VLOOKUP(D115,Total!$C$2:$D$439,2,0)</f>
        <v>10 TKR 2</v>
      </c>
      <c r="F115" s="45" t="str">
        <f>VLOOKUP(C115,Total!$B$2:$F$439,5,0)</f>
        <v>AKTIF</v>
      </c>
      <c r="G115" s="46" t="str">
        <f>VLOOKUP($B115,master!$B$2:$S$595,16,0)</f>
        <v>085643837838</v>
      </c>
      <c r="H115" s="46">
        <f>VLOOKUP($B115,master!$B$2:$S$595,17,0)</f>
        <v>0</v>
      </c>
      <c r="I115" s="46" t="str">
        <f>VLOOKUP($B115,master!$B$2:$S$595,8,0)</f>
        <v>SRUNGGO II</v>
      </c>
      <c r="J115" s="46" t="str">
        <f>VLOOKUP($B115,master!$B$2:$S$595,9,0)</f>
        <v>10</v>
      </c>
      <c r="K115" s="46" t="str">
        <f>VLOOKUP($B115,master!$B$2:$S$595,11,0)</f>
        <v>SELOPAMIORO</v>
      </c>
      <c r="L115" s="46" t="str">
        <f>VLOOKUP($B115,master!$B$2:$S$595,12,0)</f>
        <v>IMOGIRI</v>
      </c>
      <c r="M115" s="46" t="str">
        <f>VLOOKUP($B115,master!$B$2:$S$595,6,0)</f>
        <v>SUPARDI</v>
      </c>
      <c r="N115" s="58" t="str">
        <f>VLOOKUP($B115,master!$B$2:$S$595,15,0)</f>
        <v>SMP N 2 IMOGIRI</v>
      </c>
      <c r="O115" s="58" t="str">
        <f>VLOOKUP($B115,master!$B$2:$S$595,4,0)</f>
        <v>15-05-2009</v>
      </c>
    </row>
    <row r="116" spans="1:15" ht="15.75" customHeight="1" x14ac:dyDescent="0.25">
      <c r="A116" s="56" t="s">
        <v>198</v>
      </c>
      <c r="B116" s="92" t="s">
        <v>1190</v>
      </c>
      <c r="C116" s="88" t="s">
        <v>4173</v>
      </c>
      <c r="D116" s="92" t="s">
        <v>1191</v>
      </c>
      <c r="E116" s="45" t="str">
        <f>VLOOKUP(D116,Total!$C$2:$D$439,2,0)</f>
        <v>10 TKR 2</v>
      </c>
      <c r="F116" s="45" t="str">
        <f>VLOOKUP(C116,Total!$B$2:$F$439,5,0)</f>
        <v>AKTIF</v>
      </c>
      <c r="G116" s="46" t="str">
        <f>VLOOKUP($B116,master!$B$2:$S$595,16,0)</f>
        <v>081809699898</v>
      </c>
      <c r="H116" s="46" t="str">
        <f>VLOOKUP($B116,master!$B$2:$S$595,17,0)</f>
        <v>089653507563</v>
      </c>
      <c r="I116" s="46" t="str">
        <f>VLOOKUP($B116,master!$B$2:$S$595,8,0)</f>
        <v>PULUHAN KIDUL</v>
      </c>
      <c r="J116" s="46" t="str">
        <f>VLOOKUP($B116,master!$B$2:$S$595,9,0)</f>
        <v>52</v>
      </c>
      <c r="K116" s="46" t="str">
        <f>VLOOKUP($B116,master!$B$2:$S$595,11,0)</f>
        <v>TRIMURTI</v>
      </c>
      <c r="L116" s="46" t="str">
        <f>VLOOKUP($B116,master!$B$2:$S$595,12,0)</f>
        <v>SRANDAKAN</v>
      </c>
      <c r="M116" s="46" t="str">
        <f>VLOOKUP($B116,master!$B$2:$S$595,6,0)</f>
        <v>ARYANTA</v>
      </c>
      <c r="N116" s="58" t="str">
        <f>VLOOKUP($B116,master!$B$2:$S$595,15,0)</f>
        <v>SMP N 1 SRANDAKAN</v>
      </c>
      <c r="O116" s="58" t="str">
        <f>VLOOKUP($B116,master!$B$2:$S$595,4,0)</f>
        <v>25-02-2010</v>
      </c>
    </row>
    <row r="117" spans="1:15" ht="15.75" customHeight="1" x14ac:dyDescent="0.25">
      <c r="A117" s="56" t="s">
        <v>199</v>
      </c>
      <c r="B117" s="92" t="s">
        <v>1552</v>
      </c>
      <c r="C117" s="88" t="s">
        <v>4174</v>
      </c>
      <c r="D117" s="92" t="s">
        <v>1553</v>
      </c>
      <c r="E117" s="45" t="str">
        <f>VLOOKUP(D117,Total!$C$2:$D$439,2,0)</f>
        <v>10 TKR 2</v>
      </c>
      <c r="F117" s="45" t="str">
        <f>VLOOKUP(C117,Total!$B$2:$F$439,5,0)</f>
        <v>AKTIF</v>
      </c>
      <c r="G117" s="46" t="str">
        <f>VLOOKUP($B117,master!$B$2:$S$595,16,0)</f>
        <v>088216622314</v>
      </c>
      <c r="H117" s="46" t="str">
        <f>VLOOKUP($B117,master!$B$2:$S$595,17,0)</f>
        <v>-</v>
      </c>
      <c r="I117" s="46" t="str">
        <f>VLOOKUP($B117,master!$B$2:$S$595,8,0)</f>
        <v>SAWIT</v>
      </c>
      <c r="J117" s="46" t="str">
        <f>VLOOKUP($B117,master!$B$2:$S$595,9,0)</f>
        <v>05</v>
      </c>
      <c r="K117" s="46" t="str">
        <f>VLOOKUP($B117,master!$B$2:$S$595,11,0)</f>
        <v>PANGGUNGHARJO</v>
      </c>
      <c r="L117" s="46" t="str">
        <f>VLOOKUP($B117,master!$B$2:$S$595,12,0)</f>
        <v>SEWON</v>
      </c>
      <c r="M117" s="46" t="str">
        <f>VLOOKUP($B117,master!$B$2:$S$595,6,0)</f>
        <v>PARDIYANA</v>
      </c>
      <c r="N117" s="58" t="str">
        <f>VLOOKUP($B117,master!$B$2:$S$595,15,0)</f>
        <v>SMP MUHAMMADIYAH SEWON</v>
      </c>
      <c r="O117" s="58" t="str">
        <f>VLOOKUP($B117,master!$B$2:$S$595,4,0)</f>
        <v>16-08-2009</v>
      </c>
    </row>
    <row r="118" spans="1:15" ht="15.75" customHeight="1" x14ac:dyDescent="0.25">
      <c r="A118" s="56" t="s">
        <v>200</v>
      </c>
      <c r="B118" s="92" t="s">
        <v>1084</v>
      </c>
      <c r="C118" s="88" t="s">
        <v>4175</v>
      </c>
      <c r="D118" s="92" t="s">
        <v>1085</v>
      </c>
      <c r="E118" s="45" t="str">
        <f>VLOOKUP(D118,Total!$C$2:$D$439,2,0)</f>
        <v>10 TKR 2</v>
      </c>
      <c r="F118" s="45" t="str">
        <f>VLOOKUP(C118,Total!$B$2:$F$439,5,0)</f>
        <v>AKTIF</v>
      </c>
      <c r="G118" s="46" t="str">
        <f>VLOOKUP($B118,master!$B$2:$S$595,16,0)</f>
        <v>083830884221</v>
      </c>
      <c r="H118" s="46">
        <f>VLOOKUP($B118,master!$B$2:$S$595,17,0)</f>
        <v>0</v>
      </c>
      <c r="I118" s="46" t="str">
        <f>VLOOKUP($B118,master!$B$2:$S$595,8,0)</f>
        <v>SEMBUNGAN</v>
      </c>
      <c r="J118" s="46" t="str">
        <f>VLOOKUP($B118,master!$B$2:$S$595,9,0)</f>
        <v>5</v>
      </c>
      <c r="K118" s="46" t="str">
        <f>VLOOKUP($B118,master!$B$2:$S$595,11,0)</f>
        <v>BANGUNJIWO</v>
      </c>
      <c r="L118" s="46" t="str">
        <f>VLOOKUP($B118,master!$B$2:$S$595,12,0)</f>
        <v>KASIHAN</v>
      </c>
      <c r="M118" s="46" t="str">
        <f>VLOOKUP($B118,master!$B$2:$S$595,6,0)</f>
        <v>MUNARWAN</v>
      </c>
      <c r="N118" s="58" t="str">
        <f>VLOOKUP($B118,master!$B$2:$S$595,15,0)</f>
        <v>SMP N 4 SEWON</v>
      </c>
      <c r="O118" s="58" t="str">
        <f>VLOOKUP($B118,master!$B$2:$S$595,4,0)</f>
        <v>3-08-2009</v>
      </c>
    </row>
    <row r="119" spans="1:15" ht="15.75" customHeight="1" x14ac:dyDescent="0.25">
      <c r="A119" s="56" t="s">
        <v>201</v>
      </c>
      <c r="B119" s="92" t="s">
        <v>1254</v>
      </c>
      <c r="C119" s="88" t="s">
        <v>4176</v>
      </c>
      <c r="D119" s="92" t="s">
        <v>1255</v>
      </c>
      <c r="E119" s="45" t="str">
        <f>VLOOKUP(D119,Total!$C$2:$D$439,2,0)</f>
        <v>10 TKR 2</v>
      </c>
      <c r="F119" s="45" t="str">
        <f>VLOOKUP(C119,Total!$B$2:$F$439,5,0)</f>
        <v>AKTIF</v>
      </c>
      <c r="G119" s="46" t="str">
        <f>VLOOKUP($B119,master!$B$2:$S$595,16,0)</f>
        <v>-</v>
      </c>
      <c r="H119" s="46" t="str">
        <f>VLOOKUP($B119,master!$B$2:$S$595,17,0)</f>
        <v>088806060618</v>
      </c>
      <c r="I119" s="46" t="str">
        <f>VLOOKUP($B119,master!$B$2:$S$595,8,0)</f>
        <v>PAGUNG</v>
      </c>
      <c r="J119" s="46" t="str">
        <f>VLOOKUP($B119,master!$B$2:$S$595,9,0)</f>
        <v>4</v>
      </c>
      <c r="K119" s="46" t="str">
        <f>VLOOKUP($B119,master!$B$2:$S$595,11,0)</f>
        <v>TIRTOMULYO</v>
      </c>
      <c r="L119" s="46" t="str">
        <f>VLOOKUP($B119,master!$B$2:$S$595,12,0)</f>
        <v>KRETEK</v>
      </c>
      <c r="M119" s="46" t="str">
        <f>VLOOKUP($B119,master!$B$2:$S$595,6,0)</f>
        <v>JUMAKIR</v>
      </c>
      <c r="N119" s="58" t="str">
        <f>VLOOKUP($B119,master!$B$2:$S$595,15,0)</f>
        <v>SMP N 1 KRETEK</v>
      </c>
      <c r="O119" s="58" t="str">
        <f>VLOOKUP($B119,master!$B$2:$S$595,4,0)</f>
        <v>30-06-2010</v>
      </c>
    </row>
    <row r="120" spans="1:15" ht="15.75" customHeight="1" x14ac:dyDescent="0.25">
      <c r="A120" s="56" t="s">
        <v>202</v>
      </c>
      <c r="B120" s="92" t="s">
        <v>1582</v>
      </c>
      <c r="C120" s="88" t="s">
        <v>4177</v>
      </c>
      <c r="D120" s="92" t="s">
        <v>1583</v>
      </c>
      <c r="E120" s="45" t="str">
        <f>VLOOKUP(D120,Total!$C$2:$D$439,2,0)</f>
        <v>10 TKR 2</v>
      </c>
      <c r="F120" s="45" t="str">
        <f>VLOOKUP(C120,Total!$B$2:$F$439,5,0)</f>
        <v>AKTIF</v>
      </c>
      <c r="G120" s="46" t="str">
        <f>VLOOKUP($B120,master!$B$2:$S$595,16,0)</f>
        <v>085727745367</v>
      </c>
      <c r="H120" s="46" t="str">
        <f>VLOOKUP($B120,master!$B$2:$S$595,17,0)</f>
        <v>085740011755</v>
      </c>
      <c r="I120" s="46" t="str">
        <f>VLOOKUP($B120,master!$B$2:$S$595,8,0)</f>
        <v>BELUKAN</v>
      </c>
      <c r="J120" s="46" t="str">
        <f>VLOOKUP($B120,master!$B$2:$S$595,9,0)</f>
        <v>1</v>
      </c>
      <c r="K120" s="46" t="str">
        <f>VLOOKUP($B120,master!$B$2:$S$595,11,0)</f>
        <v>SABDODADI</v>
      </c>
      <c r="L120" s="46" t="str">
        <f>VLOOKUP($B120,master!$B$2:$S$595,12,0)</f>
        <v>BANTUL</v>
      </c>
      <c r="M120" s="46" t="str">
        <f>VLOOKUP($B120,master!$B$2:$S$595,6,0)</f>
        <v>DJEDI PRASTOWO</v>
      </c>
      <c r="N120" s="58" t="str">
        <f>VLOOKUP($B120,master!$B$2:$S$595,15,0)</f>
        <v>MTS N 2 BANTUL</v>
      </c>
      <c r="O120" s="58" t="str">
        <f>VLOOKUP($B120,master!$B$2:$S$595,4,0)</f>
        <v>30-08-2009</v>
      </c>
    </row>
    <row r="121" spans="1:15" ht="15.75" customHeight="1" x14ac:dyDescent="0.25">
      <c r="A121" s="56" t="s">
        <v>203</v>
      </c>
      <c r="B121" s="92" t="s">
        <v>1438</v>
      </c>
      <c r="C121" s="88" t="s">
        <v>4178</v>
      </c>
      <c r="D121" s="92" t="s">
        <v>1439</v>
      </c>
      <c r="E121" s="45" t="str">
        <f>VLOOKUP(D121,Total!$C$2:$D$439,2,0)</f>
        <v>10 TKR 2</v>
      </c>
      <c r="F121" s="45" t="str">
        <f>VLOOKUP(C121,Total!$B$2:$F$439,5,0)</f>
        <v>AKTIF</v>
      </c>
      <c r="G121" s="46" t="str">
        <f>VLOOKUP($B121,master!$B$2:$S$595,16,0)</f>
        <v>082372506455</v>
      </c>
      <c r="H121" s="46" t="str">
        <f>VLOOKUP($B121,master!$B$2:$S$595,17,0)</f>
        <v>082372506455</v>
      </c>
      <c r="I121" s="46" t="str">
        <f>VLOOKUP($B121,master!$B$2:$S$595,8,0)</f>
        <v>JATI</v>
      </c>
      <c r="J121" s="46" t="str">
        <f>VLOOKUP($B121,master!$B$2:$S$595,9,0)</f>
        <v>04</v>
      </c>
      <c r="K121" s="46" t="str">
        <f>VLOOKUP($B121,master!$B$2:$S$595,11,0)</f>
        <v>BANARAN</v>
      </c>
      <c r="L121" s="46" t="str">
        <f>VLOOKUP($B121,master!$B$2:$S$595,12,0)</f>
        <v>GALUR</v>
      </c>
      <c r="M121" s="46" t="str">
        <f>VLOOKUP($B121,master!$B$2:$S$595,6,0)</f>
        <v>Priyogo rusdi asmono</v>
      </c>
      <c r="N121" s="58" t="str">
        <f>VLOOKUP($B121,master!$B$2:$S$595,15,0)</f>
        <v>MTs Darul Ulum Muhammadiyah Galur</v>
      </c>
      <c r="O121" s="58" t="str">
        <f>VLOOKUP($B121,master!$B$2:$S$595,4,0)</f>
        <v>18-04-2009</v>
      </c>
    </row>
    <row r="122" spans="1:15" ht="15.75" customHeight="1" x14ac:dyDescent="0.25">
      <c r="A122" s="56" t="s">
        <v>204</v>
      </c>
      <c r="B122" s="92" t="s">
        <v>639</v>
      </c>
      <c r="C122" s="88" t="s">
        <v>4179</v>
      </c>
      <c r="D122" s="92" t="s">
        <v>4060</v>
      </c>
      <c r="E122" s="45" t="str">
        <f>VLOOKUP(D122,Total!$C$2:$D$439,2,0)</f>
        <v>10 TKR 2</v>
      </c>
      <c r="F122" s="45" t="str">
        <f>VLOOKUP(C122,Total!$B$2:$F$439,5,0)</f>
        <v>AKTIF</v>
      </c>
      <c r="G122" s="46" t="str">
        <f>VLOOKUP($B122,master!$B$2:$S$595,16,0)</f>
        <v>08972189566</v>
      </c>
      <c r="H122" s="46">
        <f>VLOOKUP($B122,master!$B$2:$S$595,17,0)</f>
        <v>0</v>
      </c>
      <c r="I122" s="46" t="str">
        <f>VLOOKUP($B122,master!$B$2:$S$595,8,0)</f>
        <v>PELEMSEWU</v>
      </c>
      <c r="J122" s="46" t="str">
        <f>VLOOKUP($B122,master!$B$2:$S$595,9,0)</f>
        <v>5</v>
      </c>
      <c r="K122" s="46" t="str">
        <f>VLOOKUP($B122,master!$B$2:$S$595,11,0)</f>
        <v>PANGGUNGHARJO</v>
      </c>
      <c r="L122" s="46" t="str">
        <f>VLOOKUP($B122,master!$B$2:$S$595,12,0)</f>
        <v>SEWON</v>
      </c>
      <c r="M122" s="46" t="str">
        <f>VLOOKUP($B122,master!$B$2:$S$595,6,0)</f>
        <v>MUDAKIR</v>
      </c>
      <c r="N122" s="58" t="str">
        <f>VLOOKUP($B122,master!$B$2:$S$595,15,0)</f>
        <v>SMP MUHAMMADIYAH SEWON</v>
      </c>
      <c r="O122" s="58" t="str">
        <f>VLOOKUP($B122,master!$B$2:$S$595,4,0)</f>
        <v>20-03-2010</v>
      </c>
    </row>
    <row r="123" spans="1:15" ht="15.75" customHeight="1" x14ac:dyDescent="0.25">
      <c r="A123" s="56" t="s">
        <v>205</v>
      </c>
      <c r="B123" s="92" t="s">
        <v>821</v>
      </c>
      <c r="C123" s="88" t="s">
        <v>4180</v>
      </c>
      <c r="D123" s="92" t="s">
        <v>822</v>
      </c>
      <c r="E123" s="45" t="str">
        <f>VLOOKUP(D123,Total!$C$2:$D$439,2,0)</f>
        <v>10 TKR 2</v>
      </c>
      <c r="F123" s="45" t="str">
        <f>VLOOKUP(C123,Total!$B$2:$F$439,5,0)</f>
        <v>AKTIF</v>
      </c>
      <c r="G123" s="46" t="str">
        <f>VLOOKUP($B123,master!$B$2:$S$595,16,0)</f>
        <v>083103779037</v>
      </c>
      <c r="H123" s="46">
        <f>VLOOKUP($B123,master!$B$2:$S$595,17,0)</f>
        <v>0</v>
      </c>
      <c r="I123" s="46" t="str">
        <f>VLOOKUP($B123,master!$B$2:$S$595,8,0)</f>
        <v>GANDEKAN</v>
      </c>
      <c r="J123" s="46" t="str">
        <f>VLOOKUP($B123,master!$B$2:$S$595,9,0)</f>
        <v>5</v>
      </c>
      <c r="K123" s="46" t="str">
        <f>VLOOKUP($B123,master!$B$2:$S$595,11,0)</f>
        <v>TRIRENGGO</v>
      </c>
      <c r="L123" s="46" t="str">
        <f>VLOOKUP($B123,master!$B$2:$S$595,12,0)</f>
        <v>BANTUL</v>
      </c>
      <c r="M123" s="46" t="str">
        <f>VLOOKUP($B123,master!$B$2:$S$595,6,0)</f>
        <v>TUMIJO</v>
      </c>
      <c r="N123" s="58" t="str">
        <f>VLOOKUP($B123,master!$B$2:$S$595,15,0)</f>
        <v>SMP MUHAMMADIYAH BANTUL</v>
      </c>
      <c r="O123" s="58" t="str">
        <f>VLOOKUP($B123,master!$B$2:$S$595,4,0)</f>
        <v>26-01-2010</v>
      </c>
    </row>
    <row r="124" spans="1:15" ht="15.75" customHeight="1" x14ac:dyDescent="0.25">
      <c r="A124" s="56" t="s">
        <v>206</v>
      </c>
      <c r="B124" s="92" t="s">
        <v>917</v>
      </c>
      <c r="C124" s="88" t="s">
        <v>4181</v>
      </c>
      <c r="D124" s="92" t="s">
        <v>918</v>
      </c>
      <c r="E124" s="45" t="str">
        <f>VLOOKUP(D124,Total!$C$2:$D$439,2,0)</f>
        <v>10 TKR 2</v>
      </c>
      <c r="F124" s="45" t="str">
        <f>VLOOKUP(C124,Total!$B$2:$F$439,5,0)</f>
        <v>AKTIF</v>
      </c>
      <c r="G124" s="46" t="str">
        <f>VLOOKUP($B124,master!$B$2:$S$595,16,0)</f>
        <v>081903131352</v>
      </c>
      <c r="H124" s="46">
        <f>VLOOKUP($B124,master!$B$2:$S$595,17,0)</f>
        <v>0</v>
      </c>
      <c r="I124" s="46" t="str">
        <f>VLOOKUP($B124,master!$B$2:$S$595,8,0)</f>
        <v>NGENTAK</v>
      </c>
      <c r="J124" s="46" t="str">
        <f>VLOOKUP($B124,master!$B$2:$S$595,9,0)</f>
        <v>2</v>
      </c>
      <c r="K124" s="46" t="str">
        <f>VLOOKUP($B124,master!$B$2:$S$595,11,0)</f>
        <v>MULYODADI</v>
      </c>
      <c r="L124" s="46" t="str">
        <f>VLOOKUP($B124,master!$B$2:$S$595,12,0)</f>
        <v>BAMBANGLIPURO</v>
      </c>
      <c r="M124" s="46" t="str">
        <f>VLOOKUP($B124,master!$B$2:$S$595,6,0)</f>
        <v>HERU PURNOMO</v>
      </c>
      <c r="N124" s="58" t="str">
        <f>VLOOKUP($B124,master!$B$2:$S$595,15,0)</f>
        <v>SMP N 1 BAMBANGLIPURO</v>
      </c>
      <c r="O124" s="58" t="str">
        <f>VLOOKUP($B124,master!$B$2:$S$595,4,0)</f>
        <v>16-03-2009</v>
      </c>
    </row>
    <row r="125" spans="1:15" ht="15.75" customHeight="1" x14ac:dyDescent="0.25">
      <c r="A125" s="56" t="s">
        <v>207</v>
      </c>
      <c r="B125" s="92" t="s">
        <v>1532</v>
      </c>
      <c r="C125" s="88" t="s">
        <v>4182</v>
      </c>
      <c r="D125" s="92" t="s">
        <v>1533</v>
      </c>
      <c r="E125" s="45" t="str">
        <f>VLOOKUP(D125,Total!$C$2:$D$439,2,0)</f>
        <v>10 TKR 2</v>
      </c>
      <c r="F125" s="45" t="str">
        <f>VLOOKUP(C125,Total!$B$2:$F$439,5,0)</f>
        <v>AKTIF</v>
      </c>
      <c r="G125" s="46" t="str">
        <f>VLOOKUP($B125,master!$B$2:$S$595,16,0)</f>
        <v>081229381583</v>
      </c>
      <c r="H125" s="46" t="str">
        <f>VLOOKUP($B125,master!$B$2:$S$595,17,0)</f>
        <v>0895601466668</v>
      </c>
      <c r="I125" s="46" t="str">
        <f>VLOOKUP($B125,master!$B$2:$S$595,8,0)</f>
        <v>PATRAN</v>
      </c>
      <c r="J125" s="46" t="str">
        <f>VLOOKUP($B125,master!$B$2:$S$595,9,0)</f>
        <v>1</v>
      </c>
      <c r="K125" s="46" t="str">
        <f>VLOOKUP($B125,master!$B$2:$S$595,11,0)</f>
        <v>CANDEN</v>
      </c>
      <c r="L125" s="46" t="str">
        <f>VLOOKUP($B125,master!$B$2:$S$595,12,0)</f>
        <v>JETIS</v>
      </c>
      <c r="M125" s="46" t="str">
        <f>VLOOKUP($B125,master!$B$2:$S$595,6,0)</f>
        <v>SARYADI</v>
      </c>
      <c r="N125" s="58" t="str">
        <f>VLOOKUP($B125,master!$B$2:$S$595,15,0)</f>
        <v>SMP N 2 JETIS</v>
      </c>
      <c r="O125" s="58" t="str">
        <f>VLOOKUP($B125,master!$B$2:$S$595,4,0)</f>
        <v>22-03-2010</v>
      </c>
    </row>
    <row r="126" spans="1:15" ht="15.75" customHeight="1" x14ac:dyDescent="0.25">
      <c r="A126" s="56" t="s">
        <v>208</v>
      </c>
      <c r="B126" s="92" t="s">
        <v>1064</v>
      </c>
      <c r="C126" s="88" t="s">
        <v>4183</v>
      </c>
      <c r="D126" s="92" t="s">
        <v>1065</v>
      </c>
      <c r="E126" s="45" t="str">
        <f>VLOOKUP(D126,Total!$C$2:$D$439,2,0)</f>
        <v>10 TKR 2</v>
      </c>
      <c r="F126" s="45" t="str">
        <f>VLOOKUP(C126,Total!$B$2:$F$439,5,0)</f>
        <v>AKTIF</v>
      </c>
      <c r="G126" s="46" t="str">
        <f>VLOOKUP($B126,master!$B$2:$S$595,16,0)</f>
        <v>08112956424</v>
      </c>
      <c r="H126" s="46">
        <f>VLOOKUP($B126,master!$B$2:$S$595,17,0)</f>
        <v>0</v>
      </c>
      <c r="I126" s="46" t="str">
        <f>VLOOKUP($B126,master!$B$2:$S$595,8,0)</f>
        <v>BEJI KULON</v>
      </c>
      <c r="J126" s="46" t="str">
        <f>VLOOKUP($B126,master!$B$2:$S$595,9,0)</f>
        <v>1</v>
      </c>
      <c r="K126" s="46" t="str">
        <f>VLOOKUP($B126,master!$B$2:$S$595,11,0)</f>
        <v>SENDANGSARI</v>
      </c>
      <c r="L126" s="46" t="str">
        <f>VLOOKUP($B126,master!$B$2:$S$595,12,0)</f>
        <v>PAJANGAN</v>
      </c>
      <c r="M126" s="46" t="str">
        <f>VLOOKUP($B126,master!$B$2:$S$595,6,0)</f>
        <v>SUWANTO</v>
      </c>
      <c r="N126" s="58" t="str">
        <f>VLOOKUP($B126,master!$B$2:$S$595,15,0)</f>
        <v>MTS Diponegoro Salaman</v>
      </c>
      <c r="O126" s="58" t="str">
        <f>VLOOKUP($B126,master!$B$2:$S$595,4,0)</f>
        <v>2-01-2009</v>
      </c>
    </row>
    <row r="127" spans="1:15" ht="15.75" customHeight="1" x14ac:dyDescent="0.25">
      <c r="A127" s="56" t="s">
        <v>209</v>
      </c>
      <c r="B127" s="92" t="s">
        <v>1117</v>
      </c>
      <c r="C127" s="88" t="s">
        <v>4184</v>
      </c>
      <c r="D127" s="92" t="s">
        <v>1118</v>
      </c>
      <c r="E127" s="45" t="str">
        <f>VLOOKUP(D127,Total!$C$2:$D$439,2,0)</f>
        <v>10 TKR 2</v>
      </c>
      <c r="F127" s="45" t="str">
        <f>VLOOKUP(C127,Total!$B$2:$F$439,5,0)</f>
        <v>AKTIF</v>
      </c>
      <c r="G127" s="46" t="str">
        <f>VLOOKUP($B127,master!$B$2:$S$595,16,0)</f>
        <v>081905305001</v>
      </c>
      <c r="H127" s="46" t="str">
        <f>VLOOKUP($B127,master!$B$2:$S$595,17,0)</f>
        <v>081225878611</v>
      </c>
      <c r="I127" s="46" t="str">
        <f>VLOOKUP($B127,master!$B$2:$S$595,8,0)</f>
        <v>CENGKIRAN</v>
      </c>
      <c r="J127" s="46" t="str">
        <f>VLOOKUP($B127,master!$B$2:$S$595,9,0)</f>
        <v>07</v>
      </c>
      <c r="K127" s="46" t="str">
        <f>VLOOKUP($B127,master!$B$2:$S$595,11,0)</f>
        <v>TRIHARJO</v>
      </c>
      <c r="L127" s="46" t="str">
        <f>VLOOKUP($B127,master!$B$2:$S$595,12,0)</f>
        <v>PANDAK</v>
      </c>
      <c r="M127" s="46" t="str">
        <f>VLOOKUP($B127,master!$B$2:$S$595,6,0)</f>
        <v>PARJIYANA</v>
      </c>
      <c r="N127" s="58" t="str">
        <f>VLOOKUP($B127,master!$B$2:$S$595,15,0)</f>
        <v>SMP N 3 PANDAK</v>
      </c>
      <c r="O127" s="58" t="str">
        <f>VLOOKUP($B127,master!$B$2:$S$595,4,0)</f>
        <v>7-08-2009</v>
      </c>
    </row>
    <row r="128" spans="1:15" ht="15.75" customHeight="1" x14ac:dyDescent="0.25">
      <c r="A128" s="56" t="s">
        <v>210</v>
      </c>
      <c r="B128" s="92" t="s">
        <v>1769</v>
      </c>
      <c r="C128" s="88" t="s">
        <v>4185</v>
      </c>
      <c r="D128" s="92" t="s">
        <v>1770</v>
      </c>
      <c r="E128" s="45" t="str">
        <f>VLOOKUP(D128,Total!$C$2:$D$439,2,0)</f>
        <v>10 TKR 2</v>
      </c>
      <c r="F128" s="45" t="str">
        <f>VLOOKUP(C128,Total!$B$2:$F$439,5,0)</f>
        <v>AKTIF</v>
      </c>
      <c r="G128" s="46" t="str">
        <f>VLOOKUP($B128,master!$B$2:$S$595,16,0)</f>
        <v>081904280200</v>
      </c>
      <c r="H128" s="46" t="str">
        <f>VLOOKUP($B128,master!$B$2:$S$595,17,0)</f>
        <v>085727668275</v>
      </c>
      <c r="I128" s="46" t="str">
        <f>VLOOKUP($B128,master!$B$2:$S$595,8,0)</f>
        <v>SENTANAN</v>
      </c>
      <c r="J128" s="46" t="str">
        <f>VLOOKUP($B128,master!$B$2:$S$595,9,0)</f>
        <v>6</v>
      </c>
      <c r="K128" s="46" t="str">
        <f>VLOOKUP($B128,master!$B$2:$S$595,11,0)</f>
        <v>BANGUNJIWO</v>
      </c>
      <c r="L128" s="46" t="str">
        <f>VLOOKUP($B128,master!$B$2:$S$595,12,0)</f>
        <v>KASIHAN</v>
      </c>
      <c r="M128" s="46" t="str">
        <f>VLOOKUP($B128,master!$B$2:$S$595,6,0)</f>
        <v>DIANA EKA PRATIWI</v>
      </c>
      <c r="N128" s="58" t="str">
        <f>VLOOKUP($B128,master!$B$2:$S$595,15,0)</f>
        <v>SMP MUHAMMADIYAH BANTUL</v>
      </c>
      <c r="O128" s="58" t="str">
        <f>VLOOKUP($B128,master!$B$2:$S$595,4,0)</f>
        <v>30-10-2009</v>
      </c>
    </row>
    <row r="129" spans="1:15" ht="15.75" customHeight="1" x14ac:dyDescent="0.25">
      <c r="A129" s="56" t="s">
        <v>211</v>
      </c>
      <c r="B129" s="92" t="s">
        <v>877</v>
      </c>
      <c r="C129" s="88" t="s">
        <v>4186</v>
      </c>
      <c r="D129" s="92" t="s">
        <v>878</v>
      </c>
      <c r="E129" s="45" t="str">
        <f>VLOOKUP(D129,Total!$C$2:$D$439,2,0)</f>
        <v>10 TKR 2</v>
      </c>
      <c r="F129" s="45" t="str">
        <f>VLOOKUP(C129,Total!$B$2:$F$439,5,0)</f>
        <v>AKTIF</v>
      </c>
      <c r="G129" s="46" t="str">
        <f>VLOOKUP($B129,master!$B$2:$S$595,16,0)</f>
        <v>0895393585107</v>
      </c>
      <c r="H129" s="46">
        <f>VLOOKUP($B129,master!$B$2:$S$595,17,0)</f>
        <v>0</v>
      </c>
      <c r="I129" s="46" t="str">
        <f>VLOOKUP($B129,master!$B$2:$S$595,8,0)</f>
        <v>PIRING</v>
      </c>
      <c r="J129" s="46" t="str">
        <f>VLOOKUP($B129,master!$B$2:$S$595,9,0)</f>
        <v>1</v>
      </c>
      <c r="K129" s="46" t="str">
        <f>VLOOKUP($B129,master!$B$2:$S$595,11,0)</f>
        <v>SRIHARDONO</v>
      </c>
      <c r="L129" s="46" t="str">
        <f>VLOOKUP($B129,master!$B$2:$S$595,12,0)</f>
        <v>PUNDONG</v>
      </c>
      <c r="M129" s="46" t="str">
        <f>VLOOKUP($B129,master!$B$2:$S$595,6,0)</f>
        <v>APRI WIDIYANTO</v>
      </c>
      <c r="N129" s="58" t="str">
        <f>VLOOKUP($B129,master!$B$2:$S$595,15,0)</f>
        <v>SMP N 1 PUNDONG</v>
      </c>
      <c r="O129" s="58" t="str">
        <f>VLOOKUP($B129,master!$B$2:$S$595,4,0)</f>
        <v>27-09-2009</v>
      </c>
    </row>
    <row r="130" spans="1:15" ht="15.75" customHeight="1" x14ac:dyDescent="0.25">
      <c r="A130" s="56" t="s">
        <v>212</v>
      </c>
      <c r="B130" s="92" t="s">
        <v>1308</v>
      </c>
      <c r="C130" s="88" t="s">
        <v>4187</v>
      </c>
      <c r="D130" s="92" t="s">
        <v>1309</v>
      </c>
      <c r="E130" s="45" t="str">
        <f>VLOOKUP(D130,Total!$C$2:$D$439,2,0)</f>
        <v>10 TKR 2</v>
      </c>
      <c r="F130" s="45" t="str">
        <f>VLOOKUP(C130,Total!$B$2:$F$439,5,0)</f>
        <v>AKTIF</v>
      </c>
      <c r="G130" s="46" t="str">
        <f>VLOOKUP($B130,master!$B$2:$S$595,16,0)</f>
        <v>0895339943236</v>
      </c>
      <c r="H130" s="46" t="str">
        <f>VLOOKUP($B130,master!$B$2:$S$595,17,0)</f>
        <v>088983818694</v>
      </c>
      <c r="I130" s="46" t="str">
        <f>VLOOKUP($B130,master!$B$2:$S$595,8,0)</f>
        <v>BEBEKAN</v>
      </c>
      <c r="J130" s="46" t="str">
        <f>VLOOKUP($B130,master!$B$2:$S$595,9,0)</f>
        <v>01</v>
      </c>
      <c r="K130" s="46" t="str">
        <f>VLOOKUP($B130,master!$B$2:$S$595,11,0)</f>
        <v>GILANGHARJO</v>
      </c>
      <c r="L130" s="46" t="str">
        <f>VLOOKUP($B130,master!$B$2:$S$595,12,0)</f>
        <v>PANDAK</v>
      </c>
      <c r="M130" s="46" t="str">
        <f>VLOOKUP($B130,master!$B$2:$S$595,6,0)</f>
        <v>yudi wasito</v>
      </c>
      <c r="N130" s="58" t="str">
        <f>VLOOKUP($B130,master!$B$2:$S$595,15,0)</f>
        <v>SMP N 1 PANDAK</v>
      </c>
      <c r="O130" s="58" t="str">
        <f>VLOOKUP($B130,master!$B$2:$S$595,4,0)</f>
        <v>24-12-2009</v>
      </c>
    </row>
    <row r="131" spans="1:15" ht="15.75" customHeight="1" x14ac:dyDescent="0.25">
      <c r="A131" s="56" t="s">
        <v>213</v>
      </c>
      <c r="B131" s="92" t="s">
        <v>1887</v>
      </c>
      <c r="C131" s="88" t="s">
        <v>4188</v>
      </c>
      <c r="D131" s="92" t="s">
        <v>1888</v>
      </c>
      <c r="E131" s="45" t="str">
        <f>VLOOKUP(D131,Total!$C$2:$D$439,2,0)</f>
        <v>10 TKR 2</v>
      </c>
      <c r="F131" s="45" t="str">
        <f>VLOOKUP(C131,Total!$B$2:$F$439,5,0)</f>
        <v>AKTIF</v>
      </c>
      <c r="G131" s="46" t="str">
        <f>VLOOKUP($B131,master!$B$2:$S$595,16,0)</f>
        <v>083104456648</v>
      </c>
      <c r="H131" s="46" t="str">
        <f>VLOOKUP($B131,master!$B$2:$S$595,17,0)</f>
        <v>088225441730</v>
      </c>
      <c r="I131" s="46" t="str">
        <f>VLOOKUP($B131,master!$B$2:$S$595,8,0)</f>
        <v>TIRTO</v>
      </c>
      <c r="J131" s="46" t="str">
        <f>VLOOKUP($B131,master!$B$2:$S$595,9,0)</f>
        <v>5</v>
      </c>
      <c r="K131" s="46" t="str">
        <f>VLOOKUP($B131,master!$B$2:$S$595,11,0)</f>
        <v>TRIHARJO</v>
      </c>
      <c r="L131" s="46" t="str">
        <f>VLOOKUP($B131,master!$B$2:$S$595,12,0)</f>
        <v>PANDAK</v>
      </c>
      <c r="M131" s="46" t="str">
        <f>VLOOKUP($B131,master!$B$2:$S$595,6,0)</f>
        <v>SUMARJA</v>
      </c>
      <c r="N131" s="58" t="str">
        <f>VLOOKUP($B131,master!$B$2:$S$595,15,0)</f>
        <v>SMP N 2 PANDAK</v>
      </c>
      <c r="O131" s="58" t="str">
        <f>VLOOKUP($B131,master!$B$2:$S$595,4,0)</f>
        <v>4-09-2009</v>
      </c>
    </row>
    <row r="132" spans="1:15" ht="15.75" customHeight="1" x14ac:dyDescent="0.25">
      <c r="A132" s="56" t="s">
        <v>214</v>
      </c>
      <c r="B132" s="92" t="s">
        <v>849</v>
      </c>
      <c r="C132" s="88" t="s">
        <v>4189</v>
      </c>
      <c r="D132" s="92" t="s">
        <v>850</v>
      </c>
      <c r="E132" s="45" t="str">
        <f>VLOOKUP(D132,Total!$C$2:$D$439,2,0)</f>
        <v>10 TKR 2</v>
      </c>
      <c r="F132" s="45" t="str">
        <f>VLOOKUP(C132,Total!$B$2:$F$439,5,0)</f>
        <v>AKTIF</v>
      </c>
      <c r="G132" s="46" t="str">
        <f>VLOOKUP($B132,master!$B$2:$S$595,16,0)</f>
        <v>083849615744</v>
      </c>
      <c r="H132" s="46">
        <f>VLOOKUP($B132,master!$B$2:$S$595,17,0)</f>
        <v>0</v>
      </c>
      <c r="I132" s="46" t="str">
        <f>VLOOKUP($B132,master!$B$2:$S$595,8,0)</f>
        <v>NYEMENGAN</v>
      </c>
      <c r="J132" s="46" t="str">
        <f>VLOOKUP($B132,master!$B$2:$S$595,9,0)</f>
        <v>4</v>
      </c>
      <c r="K132" s="46" t="str">
        <f>VLOOKUP($B132,master!$B$2:$S$595,11,0)</f>
        <v>TIRTONIRMOLO</v>
      </c>
      <c r="L132" s="46" t="str">
        <f>VLOOKUP($B132,master!$B$2:$S$595,12,0)</f>
        <v>KASIHAN</v>
      </c>
      <c r="M132" s="46" t="str">
        <f>VLOOKUP($B132,master!$B$2:$S$595,6,0)</f>
        <v>SUSILO</v>
      </c>
      <c r="N132" s="58" t="str">
        <f>VLOOKUP($B132,master!$B$2:$S$595,15,0)</f>
        <v>SMP MUHAMMADIYAH BANTUL</v>
      </c>
      <c r="O132" s="58" t="str">
        <f>VLOOKUP($B132,master!$B$2:$S$595,4,0)</f>
        <v>15-11-2009</v>
      </c>
    </row>
    <row r="133" spans="1:15" ht="15.75" customHeight="1" x14ac:dyDescent="0.25">
      <c r="A133" s="56" t="s">
        <v>215</v>
      </c>
      <c r="B133" s="92" t="s">
        <v>1855</v>
      </c>
      <c r="C133" s="88" t="s">
        <v>4190</v>
      </c>
      <c r="D133" s="92" t="s">
        <v>1856</v>
      </c>
      <c r="E133" s="45" t="str">
        <f>VLOOKUP(D133,Total!$C$2:$D$439,2,0)</f>
        <v>10 TKR 2</v>
      </c>
      <c r="F133" s="45" t="str">
        <f>VLOOKUP(C133,Total!$B$2:$F$439,5,0)</f>
        <v>AKTIF</v>
      </c>
      <c r="G133" s="46" t="str">
        <f>VLOOKUP($B133,master!$B$2:$S$595,16,0)</f>
        <v>083194782788</v>
      </c>
      <c r="H133" s="46" t="str">
        <f>VLOOKUP($B133,master!$B$2:$S$595,17,0)</f>
        <v>089677337314</v>
      </c>
      <c r="I133" s="46" t="str">
        <f>VLOOKUP($B133,master!$B$2:$S$595,8,0)</f>
        <v>GESIKAN IV</v>
      </c>
      <c r="J133" s="46" t="str">
        <f>VLOOKUP($B133,master!$B$2:$S$595,9,0)</f>
        <v>02</v>
      </c>
      <c r="K133" s="46" t="str">
        <f>VLOOKUP($B133,master!$B$2:$S$595,11,0)</f>
        <v>WIJIREJO</v>
      </c>
      <c r="L133" s="46" t="str">
        <f>VLOOKUP($B133,master!$B$2:$S$595,12,0)</f>
        <v>PANDAK</v>
      </c>
      <c r="M133" s="46" t="str">
        <f>VLOOKUP($B133,master!$B$2:$S$595,6,0)</f>
        <v>Yuliadi / suparmi</v>
      </c>
      <c r="N133" s="58" t="str">
        <f>VLOOKUP($B133,master!$B$2:$S$595,15,0)</f>
        <v>SMP N 3 PANDAK</v>
      </c>
      <c r="O133" s="58" t="str">
        <f>VLOOKUP($B133,master!$B$2:$S$595,4,0)</f>
        <v>6-01-2010</v>
      </c>
    </row>
    <row r="134" spans="1:15" ht="15.75" customHeight="1" x14ac:dyDescent="0.25">
      <c r="A134" s="56" t="s">
        <v>216</v>
      </c>
      <c r="B134" s="92" t="s">
        <v>1003</v>
      </c>
      <c r="C134" s="88" t="s">
        <v>4191</v>
      </c>
      <c r="D134" s="92" t="s">
        <v>1004</v>
      </c>
      <c r="E134" s="45" t="str">
        <f>VLOOKUP(D134,Total!$C$2:$D$439,2,0)</f>
        <v>10 TKR 2</v>
      </c>
      <c r="F134" s="45" t="str">
        <f>VLOOKUP(C134,Total!$B$2:$F$439,5,0)</f>
        <v>AKTIF</v>
      </c>
      <c r="G134" s="46" t="str">
        <f>VLOOKUP($B134,master!$B$2:$S$595,16,0)</f>
        <v>089536303659</v>
      </c>
      <c r="H134" s="46">
        <f>VLOOKUP($B134,master!$B$2:$S$595,17,0)</f>
        <v>0</v>
      </c>
      <c r="I134" s="46" t="str">
        <f>VLOOKUP($B134,master!$B$2:$S$595,8,0)</f>
        <v>PADOKAN LOR</v>
      </c>
      <c r="J134" s="46" t="str">
        <f>VLOOKUP($B134,master!$B$2:$S$595,9,0)</f>
        <v>6</v>
      </c>
      <c r="K134" s="46" t="str">
        <f>VLOOKUP($B134,master!$B$2:$S$595,11,0)</f>
        <v>TIRTONIRMOLO</v>
      </c>
      <c r="L134" s="46" t="str">
        <f>VLOOKUP($B134,master!$B$2:$S$595,12,0)</f>
        <v>KASIHAN</v>
      </c>
      <c r="M134" s="46" t="str">
        <f>VLOOKUP($B134,master!$B$2:$S$595,6,0)</f>
        <v>AGUS ARI WIBOWO</v>
      </c>
      <c r="N134" s="58" t="str">
        <f>VLOOKUP($B134,master!$B$2:$S$595,15,0)</f>
        <v>Pondok Pesantren Al-Manar Pengasih</v>
      </c>
      <c r="O134" s="58" t="str">
        <f>VLOOKUP($B134,master!$B$2:$S$595,4,0)</f>
        <v>21-08-2009</v>
      </c>
    </row>
    <row r="135" spans="1:15" ht="15.75" customHeight="1" x14ac:dyDescent="0.25">
      <c r="A135" s="56" t="s">
        <v>217</v>
      </c>
      <c r="B135" s="92" t="s">
        <v>1485</v>
      </c>
      <c r="C135" s="88" t="s">
        <v>4192</v>
      </c>
      <c r="D135" s="92" t="s">
        <v>1486</v>
      </c>
      <c r="E135" s="45" t="str">
        <f>VLOOKUP(D135,Total!$C$2:$D$439,2,0)</f>
        <v>10 TKR 2</v>
      </c>
      <c r="F135" s="45" t="str">
        <f>VLOOKUP(C135,Total!$B$2:$F$439,5,0)</f>
        <v>AKTIF</v>
      </c>
      <c r="G135" s="46" t="str">
        <f>VLOOKUP($B135,master!$B$2:$S$595,16,0)</f>
        <v>089648577715</v>
      </c>
      <c r="H135" s="46" t="str">
        <f>VLOOKUP($B135,master!$B$2:$S$595,17,0)</f>
        <v>089648577715</v>
      </c>
      <c r="I135" s="46" t="str">
        <f>VLOOKUP($B135,master!$B$2:$S$595,8,0)</f>
        <v>NENGAHAN</v>
      </c>
      <c r="J135" s="46" t="str">
        <f>VLOOKUP($B135,master!$B$2:$S$595,9,0)</f>
        <v>88</v>
      </c>
      <c r="K135" s="46" t="str">
        <f>VLOOKUP($B135,master!$B$2:$S$595,11,0)</f>
        <v>TRIMURTI</v>
      </c>
      <c r="L135" s="46" t="str">
        <f>VLOOKUP($B135,master!$B$2:$S$595,12,0)</f>
        <v>SRANDAKAN</v>
      </c>
      <c r="M135" s="46" t="str">
        <f>VLOOKUP($B135,master!$B$2:$S$595,6,0)</f>
        <v>Rahadi widodo / Rista fitriani</v>
      </c>
      <c r="N135" s="58" t="str">
        <f>VLOOKUP($B135,master!$B$2:$S$595,15,0)</f>
        <v>MTS AL-FURQON SANDEN</v>
      </c>
      <c r="O135" s="58" t="str">
        <f>VLOOKUP($B135,master!$B$2:$S$595,4,0)</f>
        <v>27-08-2008</v>
      </c>
    </row>
    <row r="136" spans="1:15" ht="15.75" customHeight="1" x14ac:dyDescent="0.25">
      <c r="A136" s="56" t="s">
        <v>218</v>
      </c>
      <c r="B136" s="92" t="s">
        <v>1090</v>
      </c>
      <c r="C136" s="88" t="s">
        <v>4193</v>
      </c>
      <c r="D136" s="92" t="s">
        <v>1091</v>
      </c>
      <c r="E136" s="45" t="str">
        <f>VLOOKUP(D136,Total!$C$2:$D$439,2,0)</f>
        <v>10 TKR 2</v>
      </c>
      <c r="F136" s="45" t="str">
        <f>VLOOKUP(C136,Total!$B$2:$F$439,5,0)</f>
        <v>AKTIF</v>
      </c>
      <c r="G136" s="46" t="str">
        <f>VLOOKUP($B136,master!$B$2:$S$595,16,0)</f>
        <v>089619472518</v>
      </c>
      <c r="H136" s="46">
        <f>VLOOKUP($B136,master!$B$2:$S$595,17,0)</f>
        <v>0</v>
      </c>
      <c r="I136" s="46" t="str">
        <f>VLOOKUP($B136,master!$B$2:$S$595,8,0)</f>
        <v>JARANAN</v>
      </c>
      <c r="J136" s="46" t="str">
        <f>VLOOKUP($B136,master!$B$2:$S$595,9,0)</f>
        <v>1</v>
      </c>
      <c r="K136" s="46" t="str">
        <f>VLOOKUP($B136,master!$B$2:$S$595,11,0)</f>
        <v>PANGGUNGHARJO</v>
      </c>
      <c r="L136" s="46" t="str">
        <f>VLOOKUP($B136,master!$B$2:$S$595,12,0)</f>
        <v>SEWON</v>
      </c>
      <c r="M136" s="46" t="str">
        <f>VLOOKUP($B136,master!$B$2:$S$595,6,0)</f>
        <v>OKTAVI IKA CANDRAYANI</v>
      </c>
      <c r="N136" s="58" t="str">
        <f>VLOOKUP($B136,master!$B$2:$S$595,15,0)</f>
        <v>SMP MUHAMMADIYAH SEWON</v>
      </c>
      <c r="O136" s="58" t="str">
        <f>VLOOKUP($B136,master!$B$2:$S$595,4,0)</f>
        <v>9-11-2009</v>
      </c>
    </row>
    <row r="137" spans="1:15" ht="15.75" customHeight="1" x14ac:dyDescent="0.25">
      <c r="A137" s="56" t="s">
        <v>219</v>
      </c>
      <c r="B137" s="92" t="s">
        <v>1706</v>
      </c>
      <c r="C137" s="88" t="s">
        <v>4194</v>
      </c>
      <c r="D137" s="92" t="s">
        <v>1707</v>
      </c>
      <c r="E137" s="45" t="str">
        <f>VLOOKUP(D137,Total!$C$2:$D$439,2,0)</f>
        <v>10 TKR 2</v>
      </c>
      <c r="F137" s="45" t="str">
        <f>VLOOKUP(C137,Total!$B$2:$F$439,5,0)</f>
        <v>AKTIF</v>
      </c>
      <c r="G137" s="46" t="str">
        <f>VLOOKUP($B137,master!$B$2:$S$595,16,0)</f>
        <v>082324602279</v>
      </c>
      <c r="H137" s="46" t="str">
        <f>VLOOKUP($B137,master!$B$2:$S$595,17,0)</f>
        <v>-</v>
      </c>
      <c r="I137" s="46" t="str">
        <f>VLOOKUP($B137,master!$B$2:$S$595,8,0)</f>
        <v>SENTANAN</v>
      </c>
      <c r="J137" s="46" t="str">
        <f>VLOOKUP($B137,master!$B$2:$S$595,9,0)</f>
        <v>5</v>
      </c>
      <c r="K137" s="46" t="str">
        <f>VLOOKUP($B137,master!$B$2:$S$595,11,0)</f>
        <v>BANGUNJIWO</v>
      </c>
      <c r="L137" s="46" t="str">
        <f>VLOOKUP($B137,master!$B$2:$S$595,12,0)</f>
        <v>KASIHAN</v>
      </c>
      <c r="M137" s="46" t="str">
        <f>VLOOKUP($B137,master!$B$2:$S$595,6,0)</f>
        <v>SUYATMI</v>
      </c>
      <c r="N137" s="58" t="str">
        <f>VLOOKUP($B137,master!$B$2:$S$595,15,0)</f>
        <v>MTS AL-HADI II</v>
      </c>
      <c r="O137" s="58" t="str">
        <f>VLOOKUP($B137,master!$B$2:$S$595,4,0)</f>
        <v>9-04-2010</v>
      </c>
    </row>
    <row r="138" spans="1:15" ht="15.75" customHeight="1" x14ac:dyDescent="0.25">
      <c r="A138" s="56" t="s">
        <v>220</v>
      </c>
      <c r="B138" s="92" t="s">
        <v>1231</v>
      </c>
      <c r="C138" s="88" t="s">
        <v>4195</v>
      </c>
      <c r="D138" s="92" t="s">
        <v>1232</v>
      </c>
      <c r="E138" s="45" t="str">
        <f>VLOOKUP(D138,Total!$C$2:$D$439,2,0)</f>
        <v>10 TKR 2</v>
      </c>
      <c r="F138" s="45" t="str">
        <f>VLOOKUP(C138,Total!$B$2:$F$439,5,0)</f>
        <v>AKTIF</v>
      </c>
      <c r="G138" s="46" t="str">
        <f>VLOOKUP($B138,master!$B$2:$S$595,16,0)</f>
        <v>089668429130</v>
      </c>
      <c r="H138" s="46" t="str">
        <f>VLOOKUP($B138,master!$B$2:$S$595,17,0)</f>
        <v>089668429130</v>
      </c>
      <c r="I138" s="46" t="str">
        <f>VLOOKUP($B138,master!$B$2:$S$595,8,0)</f>
        <v>KARANGASEM</v>
      </c>
      <c r="J138" s="46" t="str">
        <f>VLOOKUP($B138,master!$B$2:$S$595,9,0)</f>
        <v>3</v>
      </c>
      <c r="K138" s="46" t="str">
        <f>VLOOKUP($B138,master!$B$2:$S$595,11,0)</f>
        <v>SELOHARJO</v>
      </c>
      <c r="L138" s="46" t="str">
        <f>VLOOKUP($B138,master!$B$2:$S$595,12,0)</f>
        <v>PUNDONG</v>
      </c>
      <c r="M138" s="46" t="str">
        <f>VLOOKUP($B138,master!$B$2:$S$595,6,0)</f>
        <v>SANI</v>
      </c>
      <c r="N138" s="58" t="str">
        <f>VLOOKUP($B138,master!$B$2:$S$595,15,0)</f>
        <v>SMP N 1 PUNDONG</v>
      </c>
      <c r="O138" s="58" t="str">
        <f>VLOOKUP($B138,master!$B$2:$S$595,4,0)</f>
        <v>10-10-2010</v>
      </c>
    </row>
    <row r="139" spans="1:15" ht="15.75" customHeight="1" x14ac:dyDescent="0.25">
      <c r="A139" s="56" t="s">
        <v>221</v>
      </c>
      <c r="B139" s="92" t="s">
        <v>901</v>
      </c>
      <c r="C139" s="88" t="s">
        <v>4196</v>
      </c>
      <c r="D139" s="92" t="s">
        <v>902</v>
      </c>
      <c r="E139" s="45" t="str">
        <f>VLOOKUP(D139,Total!$C$2:$D$439,2,0)</f>
        <v>10 TKR 2</v>
      </c>
      <c r="F139" s="45" t="str">
        <f>VLOOKUP(C139,Total!$B$2:$F$439,5,0)</f>
        <v>AKTIF</v>
      </c>
      <c r="G139" s="46" t="str">
        <f>VLOOKUP($B139,master!$B$2:$S$595,16,0)</f>
        <v>087892411631</v>
      </c>
      <c r="H139" s="46">
        <f>VLOOKUP($B139,master!$B$2:$S$595,17,0)</f>
        <v>0</v>
      </c>
      <c r="I139" s="46" t="str">
        <f>VLOOKUP($B139,master!$B$2:$S$595,8,0)</f>
        <v>CIREN</v>
      </c>
      <c r="J139" s="46" t="str">
        <f>VLOOKUP($B139,master!$B$2:$S$595,9,0)</f>
        <v>2</v>
      </c>
      <c r="K139" s="46" t="str">
        <f>VLOOKUP($B139,master!$B$2:$S$595,11,0)</f>
        <v>TRIHARJO</v>
      </c>
      <c r="L139" s="46" t="str">
        <f>VLOOKUP($B139,master!$B$2:$S$595,12,0)</f>
        <v>PANDAK</v>
      </c>
      <c r="M139" s="46" t="str">
        <f>VLOOKUP($B139,master!$B$2:$S$595,6,0)</f>
        <v>MARYANTA</v>
      </c>
      <c r="N139" s="58" t="str">
        <f>VLOOKUP($B139,master!$B$2:$S$595,15,0)</f>
        <v>SMP N 2 PANDAK</v>
      </c>
      <c r="O139" s="58" t="str">
        <f>VLOOKUP($B139,master!$B$2:$S$595,4,0)</f>
        <v>14-09-2009</v>
      </c>
    </row>
    <row r="140" spans="1:15" ht="15.75" customHeight="1" x14ac:dyDescent="0.25">
      <c r="A140" s="56" t="s">
        <v>222</v>
      </c>
      <c r="B140" s="92" t="s">
        <v>658</v>
      </c>
      <c r="C140" s="88" t="s">
        <v>4197</v>
      </c>
      <c r="D140" s="92" t="s">
        <v>659</v>
      </c>
      <c r="E140" s="45" t="str">
        <f>VLOOKUP(D140,Total!$C$2:$D$439,2,0)</f>
        <v>10 TKR 2</v>
      </c>
      <c r="F140" s="45" t="str">
        <f>VLOOKUP(C140,Total!$B$2:$F$439,5,0)</f>
        <v>AKTIF</v>
      </c>
      <c r="G140" s="46" t="str">
        <f>VLOOKUP($B140,master!$B$2:$S$595,16,0)</f>
        <v>085759121667</v>
      </c>
      <c r="H140" s="46">
        <f>VLOOKUP($B140,master!$B$2:$S$595,17,0)</f>
        <v>0</v>
      </c>
      <c r="I140" s="46" t="str">
        <f>VLOOKUP($B140,master!$B$2:$S$595,8,0)</f>
        <v>MONGGANG</v>
      </c>
      <c r="J140" s="46" t="str">
        <f>VLOOKUP($B140,master!$B$2:$S$595,9,0)</f>
        <v>6</v>
      </c>
      <c r="K140" s="46" t="str">
        <f>VLOOKUP($B140,master!$B$2:$S$595,11,0)</f>
        <v>SRIHARDONO</v>
      </c>
      <c r="L140" s="46" t="str">
        <f>VLOOKUP($B140,master!$B$2:$S$595,12,0)</f>
        <v>PUNDONG</v>
      </c>
      <c r="M140" s="46" t="str">
        <f>VLOOKUP($B140,master!$B$2:$S$595,6,0)</f>
        <v>RINTOKO</v>
      </c>
      <c r="N140" s="58" t="str">
        <f>VLOOKUP($B140,master!$B$2:$S$595,15,0)</f>
        <v>SMP N 1 PUNDONG</v>
      </c>
      <c r="O140" s="58" t="str">
        <f>VLOOKUP($B140,master!$B$2:$S$595,4,0)</f>
        <v>13-03-2010</v>
      </c>
    </row>
    <row r="141" spans="1:15" ht="15.75" customHeight="1" x14ac:dyDescent="0.25">
      <c r="A141" s="56" t="s">
        <v>223</v>
      </c>
      <c r="B141" s="92" t="s">
        <v>803</v>
      </c>
      <c r="C141" s="88" t="s">
        <v>4198</v>
      </c>
      <c r="D141" s="92" t="s">
        <v>804</v>
      </c>
      <c r="E141" s="45" t="str">
        <f>VLOOKUP(D141,Total!$C$2:$D$439,2,0)</f>
        <v>10 TKR 2</v>
      </c>
      <c r="F141" s="45" t="str">
        <f>VLOOKUP(C141,Total!$B$2:$F$439,5,0)</f>
        <v>AKTIF</v>
      </c>
      <c r="G141" s="46" t="str">
        <f>VLOOKUP($B141,master!$B$2:$S$595,16,0)</f>
        <v>087812713913</v>
      </c>
      <c r="H141" s="46">
        <f>VLOOKUP($B141,master!$B$2:$S$595,17,0)</f>
        <v>0</v>
      </c>
      <c r="I141" s="46" t="str">
        <f>VLOOKUP($B141,master!$B$2:$S$595,8,0)</f>
        <v>NGABEAN</v>
      </c>
      <c r="J141" s="46" t="str">
        <f>VLOOKUP($B141,master!$B$2:$S$595,9,0)</f>
        <v>6</v>
      </c>
      <c r="K141" s="46" t="str">
        <f>VLOOKUP($B141,master!$B$2:$S$595,11,0)</f>
        <v>TRIHARJO</v>
      </c>
      <c r="L141" s="46" t="str">
        <f>VLOOKUP($B141,master!$B$2:$S$595,12,0)</f>
        <v>PANDAK</v>
      </c>
      <c r="M141" s="46" t="str">
        <f>VLOOKUP($B141,master!$B$2:$S$595,6,0)</f>
        <v>RIYANTO</v>
      </c>
      <c r="N141" s="58" t="str">
        <f>VLOOKUP($B141,master!$B$2:$S$595,15,0)</f>
        <v>SMP N 4 PANDAK</v>
      </c>
      <c r="O141" s="58" t="str">
        <f>VLOOKUP($B141,master!$B$2:$S$595,4,0)</f>
        <v>4-07-2009</v>
      </c>
    </row>
    <row r="142" spans="1:15" ht="15.75" customHeight="1" x14ac:dyDescent="0.25">
      <c r="A142" s="56" t="s">
        <v>224</v>
      </c>
      <c r="B142" s="92" t="s">
        <v>1181</v>
      </c>
      <c r="C142" s="88" t="s">
        <v>4199</v>
      </c>
      <c r="D142" s="92" t="s">
        <v>1182</v>
      </c>
      <c r="E142" s="45" t="str">
        <f>VLOOKUP(D142,Total!$C$2:$D$439,2,0)</f>
        <v>10 TKR 2</v>
      </c>
      <c r="F142" s="45" t="str">
        <f>VLOOKUP(C142,Total!$B$2:$F$439,5,0)</f>
        <v>AKTIF</v>
      </c>
      <c r="G142" s="46" t="str">
        <f>VLOOKUP($B142,master!$B$2:$S$595,16,0)</f>
        <v>083840067252</v>
      </c>
      <c r="H142" s="46" t="str">
        <f>VLOOKUP($B142,master!$B$2:$S$595,17,0)</f>
        <v>0882007350594</v>
      </c>
      <c r="I142" s="46" t="str">
        <f>VLOOKUP($B142,master!$B$2:$S$595,8,0)</f>
        <v>PAGUNG</v>
      </c>
      <c r="J142" s="46" t="str">
        <f>VLOOKUP($B142,master!$B$2:$S$595,9,0)</f>
        <v>04</v>
      </c>
      <c r="K142" s="46" t="str">
        <f>VLOOKUP($B142,master!$B$2:$S$595,11,0)</f>
        <v>TIRTOMULYO</v>
      </c>
      <c r="L142" s="46" t="str">
        <f>VLOOKUP($B142,master!$B$2:$S$595,12,0)</f>
        <v>KRETEK</v>
      </c>
      <c r="M142" s="46" t="str">
        <f>VLOOKUP($B142,master!$B$2:$S$595,6,0)</f>
        <v>Suripto</v>
      </c>
      <c r="N142" s="58" t="str">
        <f>VLOOKUP($B142,master!$B$2:$S$595,15,0)</f>
        <v>SMP MUHAMMADIYAH KRETEK</v>
      </c>
      <c r="O142" s="58" t="str">
        <f>VLOOKUP($B142,master!$B$2:$S$595,4,0)</f>
        <v>6-05-2010</v>
      </c>
    </row>
    <row r="143" spans="1:15" ht="15.75" customHeight="1" x14ac:dyDescent="0.25">
      <c r="A143" s="56" t="s">
        <v>225</v>
      </c>
      <c r="B143" s="92" t="s">
        <v>1749</v>
      </c>
      <c r="C143" s="88" t="s">
        <v>4200</v>
      </c>
      <c r="D143" s="92" t="s">
        <v>1750</v>
      </c>
      <c r="E143" s="45" t="str">
        <f>VLOOKUP(D143,Total!$C$2:$D$439,2,0)</f>
        <v>10 TKR 2</v>
      </c>
      <c r="F143" s="45" t="str">
        <f>VLOOKUP(C143,Total!$B$2:$F$439,5,0)</f>
        <v>AKTIF</v>
      </c>
      <c r="G143" s="46" t="str">
        <f>VLOOKUP($B143,master!$B$2:$S$595,16,0)</f>
        <v>081226772426</v>
      </c>
      <c r="H143" s="46" t="str">
        <f>VLOOKUP($B143,master!$B$2:$S$595,17,0)</f>
        <v>0882006531969</v>
      </c>
      <c r="I143" s="46" t="str">
        <f>VLOOKUP($B143,master!$B$2:$S$595,8,0)</f>
        <v>GRUDO</v>
      </c>
      <c r="J143" s="46" t="str">
        <f>VLOOKUP($B143,master!$B$2:$S$595,9,0)</f>
        <v>1</v>
      </c>
      <c r="K143" s="46" t="str">
        <f>VLOOKUP($B143,master!$B$2:$S$595,11,0)</f>
        <v>PANJANGREJO</v>
      </c>
      <c r="L143" s="46" t="str">
        <f>VLOOKUP($B143,master!$B$2:$S$595,12,0)</f>
        <v>PUNDONG</v>
      </c>
      <c r="M143" s="46" t="str">
        <f>VLOOKUP($B143,master!$B$2:$S$595,6,0)</f>
        <v>SUBAGIYO</v>
      </c>
      <c r="N143" s="58" t="str">
        <f>VLOOKUP($B143,master!$B$2:$S$595,15,0)</f>
        <v>MTS N 5 BANTUL</v>
      </c>
      <c r="O143" s="58" t="str">
        <f>VLOOKUP($B143,master!$B$2:$S$595,4,0)</f>
        <v>24-09-2009</v>
      </c>
    </row>
    <row r="144" spans="1:15" ht="15.75" customHeight="1" x14ac:dyDescent="0.25">
      <c r="A144" s="56" t="s">
        <v>226</v>
      </c>
      <c r="B144" s="92" t="s">
        <v>1315</v>
      </c>
      <c r="C144" s="88" t="s">
        <v>4201</v>
      </c>
      <c r="D144" s="92" t="s">
        <v>1316</v>
      </c>
      <c r="E144" s="45" t="str">
        <f>VLOOKUP(D144,Total!$C$2:$D$439,2,0)</f>
        <v>10 TKR 2</v>
      </c>
      <c r="F144" s="45" t="str">
        <f>VLOOKUP(C144,Total!$B$2:$F$439,5,0)</f>
        <v>AKTIF</v>
      </c>
      <c r="G144" s="46" t="str">
        <f>VLOOKUP($B144,master!$B$2:$S$595,16,0)</f>
        <v>087889252025</v>
      </c>
      <c r="H144" s="46" t="str">
        <f>VLOOKUP($B144,master!$B$2:$S$595,17,0)</f>
        <v>085803519772</v>
      </c>
      <c r="I144" s="46" t="str">
        <f>VLOOKUP($B144,master!$B$2:$S$595,8,0)</f>
        <v>SRUWUH</v>
      </c>
      <c r="J144" s="46" t="str">
        <f>VLOOKUP($B144,master!$B$2:$S$595,9,0)</f>
        <v>41</v>
      </c>
      <c r="K144" s="46" t="str">
        <f>VLOOKUP($B144,master!$B$2:$S$595,11,0)</f>
        <v>DONOTIRTO</v>
      </c>
      <c r="L144" s="46" t="str">
        <f>VLOOKUP($B144,master!$B$2:$S$595,12,0)</f>
        <v>KRETEK</v>
      </c>
      <c r="M144" s="46" t="str">
        <f>VLOOKUP($B144,master!$B$2:$S$595,6,0)</f>
        <v>NUR APRI WULANDARI</v>
      </c>
      <c r="N144" s="58" t="str">
        <f>VLOOKUP($B144,master!$B$2:$S$595,15,0)</f>
        <v>SMP N 1 KRETEK</v>
      </c>
      <c r="O144" s="58" t="str">
        <f>VLOOKUP($B144,master!$B$2:$S$595,4,0)</f>
        <v>21-07-2009</v>
      </c>
    </row>
    <row r="145" spans="1:15" ht="15.75" customHeight="1" x14ac:dyDescent="0.25">
      <c r="A145" s="56" t="s">
        <v>227</v>
      </c>
      <c r="B145" s="92" t="s">
        <v>1636</v>
      </c>
      <c r="C145" s="88" t="s">
        <v>4202</v>
      </c>
      <c r="D145" s="92" t="s">
        <v>1637</v>
      </c>
      <c r="E145" s="45" t="str">
        <f>VLOOKUP(D145,Total!$C$2:$D$439,2,0)</f>
        <v>10 TKR 3</v>
      </c>
      <c r="F145" s="45" t="str">
        <f>VLOOKUP(C145,Total!$B$2:$F$439,5,0)</f>
        <v>AKTIF</v>
      </c>
      <c r="G145" s="46" t="str">
        <f>VLOOKUP($B145,master!$B$2:$S$595,16,0)</f>
        <v>085646619878</v>
      </c>
      <c r="H145" s="46" t="str">
        <f>VLOOKUP($B145,master!$B$2:$S$595,17,0)</f>
        <v>085646619878</v>
      </c>
      <c r="I145" s="46" t="str">
        <f>VLOOKUP($B145,master!$B$2:$S$595,8,0)</f>
        <v>JATIREJO</v>
      </c>
      <c r="J145" s="46" t="str">
        <f>VLOOKUP($B145,master!$B$2:$S$595,9,0)</f>
        <v>1</v>
      </c>
      <c r="K145" s="46" t="str">
        <f>VLOOKUP($B145,master!$B$2:$S$595,11,0)</f>
        <v>WUKIRSARI</v>
      </c>
      <c r="L145" s="46" t="str">
        <f>VLOOKUP($B145,master!$B$2:$S$595,12,0)</f>
        <v>IMOGIRI</v>
      </c>
      <c r="M145" s="46" t="str">
        <f>VLOOKUP($B145,master!$B$2:$S$595,6,0)</f>
        <v>HARIYANTO</v>
      </c>
      <c r="N145" s="58" t="str">
        <f>VLOOKUP($B145,master!$B$2:$S$595,15,0)</f>
        <v>SMP N 1 IMOGIRI</v>
      </c>
      <c r="O145" s="58" t="str">
        <f>VLOOKUP($B145,master!$B$2:$S$595,4,0)</f>
        <v>18-01-2010</v>
      </c>
    </row>
    <row r="146" spans="1:15" ht="15.75" customHeight="1" x14ac:dyDescent="0.25">
      <c r="A146" s="56" t="s">
        <v>228</v>
      </c>
      <c r="B146" s="92" t="s">
        <v>2013</v>
      </c>
      <c r="C146" s="88" t="s">
        <v>4203</v>
      </c>
      <c r="D146" s="92" t="s">
        <v>2014</v>
      </c>
      <c r="E146" s="45" t="str">
        <f>VLOOKUP(D146,Total!$C$2:$D$439,2,0)</f>
        <v>10 TKR 3</v>
      </c>
      <c r="F146" s="45" t="str">
        <f>VLOOKUP(C146,Total!$B$2:$F$439,5,0)</f>
        <v>AKTIF</v>
      </c>
      <c r="G146" s="46" t="str">
        <f>VLOOKUP($B146,master!$B$2:$S$595,16,0)</f>
        <v>089649584888</v>
      </c>
      <c r="H146" s="46" t="str">
        <f>VLOOKUP($B146,master!$B$2:$S$595,17,0)</f>
        <v>089649584888</v>
      </c>
      <c r="I146" s="46" t="str">
        <f>VLOOKUP($B146,master!$B$2:$S$595,8,0)</f>
        <v>DUKUH</v>
      </c>
      <c r="J146" s="46" t="str">
        <f>VLOOKUP($B146,master!$B$2:$S$595,9,0)</f>
        <v>5</v>
      </c>
      <c r="K146" s="46" t="str">
        <f>VLOOKUP($B146,master!$B$2:$S$595,11,0)</f>
        <v>GUWOSARI</v>
      </c>
      <c r="L146" s="46" t="str">
        <f>VLOOKUP($B146,master!$B$2:$S$595,12,0)</f>
        <v>PAJANGAN</v>
      </c>
      <c r="M146" s="46" t="str">
        <f>VLOOKUP($B146,master!$B$2:$S$595,6,0)</f>
        <v>JUMADI</v>
      </c>
      <c r="N146" s="58" t="str">
        <f>VLOOKUP($B146,master!$B$2:$S$595,15,0)</f>
        <v>SMP N 3 PAJANGAN</v>
      </c>
      <c r="O146" s="58" t="str">
        <f>VLOOKUP($B146,master!$B$2:$S$595,4,0)</f>
        <v>23-12-2009</v>
      </c>
    </row>
    <row r="147" spans="1:15" ht="15.75" customHeight="1" x14ac:dyDescent="0.25">
      <c r="A147" s="56" t="s">
        <v>229</v>
      </c>
      <c r="B147" s="92" t="s">
        <v>2908</v>
      </c>
      <c r="C147" s="88" t="s">
        <v>4204</v>
      </c>
      <c r="D147" s="92" t="s">
        <v>2909</v>
      </c>
      <c r="E147" s="45" t="str">
        <f>VLOOKUP(D147,Total!$C$2:$D$439,2,0)</f>
        <v>10 TKR 3</v>
      </c>
      <c r="F147" s="45" t="str">
        <f>VLOOKUP(C147,Total!$B$2:$F$439,5,0)</f>
        <v>AKTIF</v>
      </c>
      <c r="G147" s="46" t="str">
        <f>VLOOKUP($B147,master!$B$2:$S$595,16,0)</f>
        <v>083861793263</v>
      </c>
      <c r="H147" s="46" t="str">
        <f>VLOOKUP($B147,master!$B$2:$S$595,17,0)</f>
        <v>083147445870</v>
      </c>
      <c r="I147" s="46" t="str">
        <f>VLOOKUP($B147,master!$B$2:$S$595,8,0)</f>
        <v>JETIS DALEMAN</v>
      </c>
      <c r="J147" s="46" t="str">
        <f>VLOOKUP($B147,master!$B$2:$S$595,9,0)</f>
        <v>3</v>
      </c>
      <c r="K147" s="46" t="str">
        <f>VLOOKUP($B147,master!$B$2:$S$595,11,0)</f>
        <v>GILANGHARJO</v>
      </c>
      <c r="L147" s="46" t="str">
        <f>VLOOKUP($B147,master!$B$2:$S$595,12,0)</f>
        <v>PANDAK</v>
      </c>
      <c r="M147" s="46" t="str">
        <f>VLOOKUP($B147,master!$B$2:$S$595,6,0)</f>
        <v>BUDI WINDRIYANTO</v>
      </c>
      <c r="N147" s="58" t="str">
        <f>VLOOKUP($B147,master!$B$2:$S$595,15,0)</f>
        <v>SMP N 4 PANDAK</v>
      </c>
      <c r="O147" s="58" t="str">
        <f>VLOOKUP($B147,master!$B$2:$S$595,4,0)</f>
        <v>27-12-2009</v>
      </c>
    </row>
    <row r="148" spans="1:15" ht="15.75" customHeight="1" x14ac:dyDescent="0.25">
      <c r="A148" s="56" t="s">
        <v>230</v>
      </c>
      <c r="B148" s="92" t="s">
        <v>2257</v>
      </c>
      <c r="C148" s="88" t="s">
        <v>4205</v>
      </c>
      <c r="D148" s="92" t="s">
        <v>2258</v>
      </c>
      <c r="E148" s="45" t="str">
        <f>VLOOKUP(D148,Total!$C$2:$D$439,2,0)</f>
        <v>10 TKR 3</v>
      </c>
      <c r="F148" s="45" t="str">
        <f>VLOOKUP(C148,Total!$B$2:$F$439,5,0)</f>
        <v>AKTIF</v>
      </c>
      <c r="G148" s="46" t="str">
        <f>VLOOKUP($B148,master!$B$2:$S$595,16,0)</f>
        <v>085274674784</v>
      </c>
      <c r="H148" s="46" t="str">
        <f>VLOOKUP($B148,master!$B$2:$S$595,17,0)</f>
        <v>082280287267</v>
      </c>
      <c r="I148" s="46" t="str">
        <f>VLOOKUP($B148,master!$B$2:$S$595,8,0)</f>
        <v>DUSUN BARU V KOTO</v>
      </c>
      <c r="J148" s="46" t="str">
        <f>VLOOKUP($B148,master!$B$2:$S$595,9,0)</f>
        <v>-</v>
      </c>
      <c r="K148" s="46" t="str">
        <f>VLOOKUP($B148,master!$B$2:$S$595,11,0)</f>
        <v>DUSUN BARU V KOTO</v>
      </c>
      <c r="L148" s="46" t="str">
        <f>VLOOKUP($B148,master!$B$2:$S$595,12,0)</f>
        <v>AIR DIKIT</v>
      </c>
      <c r="M148" s="46" t="str">
        <f>VLOOKUP($B148,master!$B$2:$S$595,6,0)</f>
        <v>ALI AZWAR</v>
      </c>
      <c r="N148" s="58" t="str">
        <f>VLOOKUP($B148,master!$B$2:$S$595,15,0)</f>
        <v>SMP N 03 MUKOMUKO</v>
      </c>
      <c r="O148" s="58" t="str">
        <f>VLOOKUP($B148,master!$B$2:$S$595,4,0)</f>
        <v>31-07-2010</v>
      </c>
    </row>
    <row r="149" spans="1:15" ht="15.75" customHeight="1" x14ac:dyDescent="0.25">
      <c r="A149" s="56" t="s">
        <v>231</v>
      </c>
      <c r="B149" s="92" t="s">
        <v>2116</v>
      </c>
      <c r="C149" s="88" t="s">
        <v>4206</v>
      </c>
      <c r="D149" s="92" t="s">
        <v>2117</v>
      </c>
      <c r="E149" s="45" t="str">
        <f>VLOOKUP(D149,Total!$C$2:$D$439,2,0)</f>
        <v>10 TKR 3</v>
      </c>
      <c r="F149" s="45" t="str">
        <f>VLOOKUP(C149,Total!$B$2:$F$439,5,0)</f>
        <v>AKTIF</v>
      </c>
      <c r="G149" s="46" t="str">
        <f>VLOOKUP($B149,master!$B$2:$S$595,16,0)</f>
        <v>081337675862</v>
      </c>
      <c r="H149" s="46" t="str">
        <f>VLOOKUP($B149,master!$B$2:$S$595,17,0)</f>
        <v>082134836807</v>
      </c>
      <c r="I149" s="46" t="str">
        <f>VLOOKUP($B149,master!$B$2:$S$595,8,0)</f>
        <v>DENGKENG</v>
      </c>
      <c r="J149" s="46" t="str">
        <f>VLOOKUP($B149,master!$B$2:$S$595,9,0)</f>
        <v>001</v>
      </c>
      <c r="K149" s="46" t="str">
        <f>VLOOKUP($B149,master!$B$2:$S$595,11,0)</f>
        <v>WUKIRSARI</v>
      </c>
      <c r="L149" s="46" t="str">
        <f>VLOOKUP($B149,master!$B$2:$S$595,12,0)</f>
        <v>IMOGIRI</v>
      </c>
      <c r="M149" s="46" t="str">
        <f>VLOOKUP($B149,master!$B$2:$S$595,6,0)</f>
        <v>TUGIRAN</v>
      </c>
      <c r="N149" s="58" t="str">
        <f>VLOOKUP($B149,master!$B$2:$S$595,15,0)</f>
        <v>SMP MUHAMMADIYAH IMOGIRI</v>
      </c>
      <c r="O149" s="58" t="str">
        <f>VLOOKUP($B149,master!$B$2:$S$595,4,0)</f>
        <v>9-10-2009</v>
      </c>
    </row>
    <row r="150" spans="1:15" ht="15.75" customHeight="1" x14ac:dyDescent="0.25">
      <c r="A150" s="56" t="s">
        <v>232</v>
      </c>
      <c r="B150" s="92" t="s">
        <v>3111</v>
      </c>
      <c r="C150" s="88" t="s">
        <v>4207</v>
      </c>
      <c r="D150" s="92" t="s">
        <v>3112</v>
      </c>
      <c r="E150" s="45" t="str">
        <f>VLOOKUP(D150,Total!$C$2:$D$439,2,0)</f>
        <v>10 TKR 3</v>
      </c>
      <c r="F150" s="45" t="str">
        <f>VLOOKUP(C150,Total!$B$2:$F$439,5,0)</f>
        <v>AKTIF</v>
      </c>
      <c r="G150" s="46" t="str">
        <f>VLOOKUP($B150,master!$B$2:$S$595,16,0)</f>
        <v>087832549721</v>
      </c>
      <c r="H150" s="46" t="str">
        <f>VLOOKUP($B150,master!$B$2:$S$595,17,0)</f>
        <v>085972572866</v>
      </c>
      <c r="I150" s="46" t="str">
        <f>VLOOKUP($B150,master!$B$2:$S$595,8,0)</f>
        <v>GESIKAN</v>
      </c>
      <c r="J150" s="46" t="str">
        <f>VLOOKUP($B150,master!$B$2:$S$595,9,0)</f>
        <v>05</v>
      </c>
      <c r="K150" s="46" t="str">
        <f>VLOOKUP($B150,master!$B$2:$S$595,11,0)</f>
        <v>PANGGUNGHARJO</v>
      </c>
      <c r="L150" s="46" t="str">
        <f>VLOOKUP($B150,master!$B$2:$S$595,12,0)</f>
        <v>SEWON</v>
      </c>
      <c r="M150" s="46" t="str">
        <f>VLOOKUP($B150,master!$B$2:$S$595,6,0)</f>
        <v>TRI WIDARTI</v>
      </c>
      <c r="N150" s="58" t="str">
        <f>VLOOKUP($B150,master!$B$2:$S$595,15,0)</f>
        <v>SMP N 2 SEWON</v>
      </c>
      <c r="O150" s="58" t="str">
        <f>VLOOKUP($B150,master!$B$2:$S$595,4,0)</f>
        <v>22-02-2010</v>
      </c>
    </row>
    <row r="151" spans="1:15" ht="15.75" customHeight="1" x14ac:dyDescent="0.25">
      <c r="A151" s="56" t="s">
        <v>233</v>
      </c>
      <c r="B151" s="92" t="s">
        <v>2864</v>
      </c>
      <c r="C151" s="88" t="s">
        <v>4208</v>
      </c>
      <c r="D151" s="92" t="s">
        <v>2865</v>
      </c>
      <c r="E151" s="45" t="str">
        <f>VLOOKUP(D151,Total!$C$2:$D$439,2,0)</f>
        <v>10 TKR 3</v>
      </c>
      <c r="F151" s="45" t="str">
        <f>VLOOKUP(C151,Total!$B$2:$F$439,5,0)</f>
        <v>AKTIF</v>
      </c>
      <c r="G151" s="46" t="str">
        <f>VLOOKUP($B151,master!$B$2:$S$595,16,0)</f>
        <v>082241616600</v>
      </c>
      <c r="H151" s="46" t="str">
        <f>VLOOKUP($B151,master!$B$2:$S$595,17,0)</f>
        <v>0895323806464</v>
      </c>
      <c r="I151" s="46" t="str">
        <f>VLOOKUP($B151,master!$B$2:$S$595,8,0)</f>
        <v>GUNTURAN</v>
      </c>
      <c r="J151" s="46" t="str">
        <f>VLOOKUP($B151,master!$B$2:$S$595,9,0)</f>
        <v>3</v>
      </c>
      <c r="K151" s="46" t="str">
        <f>VLOOKUP($B151,master!$B$2:$S$595,11,0)</f>
        <v>TRIHARJO</v>
      </c>
      <c r="L151" s="46" t="str">
        <f>VLOOKUP($B151,master!$B$2:$S$595,12,0)</f>
        <v>PANDAK</v>
      </c>
      <c r="M151" s="46" t="str">
        <f>VLOOKUP($B151,master!$B$2:$S$595,6,0)</f>
        <v>MANTA</v>
      </c>
      <c r="N151" s="58" t="str">
        <f>VLOOKUP($B151,master!$B$2:$S$595,15,0)</f>
        <v>SMP N 2 PANDAK</v>
      </c>
      <c r="O151" s="58" t="str">
        <f>VLOOKUP($B151,master!$B$2:$S$595,4,0)</f>
        <v>17-06-2010</v>
      </c>
    </row>
    <row r="152" spans="1:15" ht="15.75" customHeight="1" x14ac:dyDescent="0.25">
      <c r="A152" s="56" t="s">
        <v>234</v>
      </c>
      <c r="B152" s="92" t="s">
        <v>2026</v>
      </c>
      <c r="C152" s="88" t="s">
        <v>4209</v>
      </c>
      <c r="D152" s="92" t="s">
        <v>2027</v>
      </c>
      <c r="E152" s="45" t="str">
        <f>VLOOKUP(D152,Total!$C$2:$D$439,2,0)</f>
        <v>10 TKR 3</v>
      </c>
      <c r="F152" s="45" t="str">
        <f>VLOOKUP(C152,Total!$B$2:$F$439,5,0)</f>
        <v>AKTIF</v>
      </c>
      <c r="G152" s="46" t="str">
        <f>VLOOKUP($B152,master!$B$2:$S$595,16,0)</f>
        <v>08195562225</v>
      </c>
      <c r="H152" s="46" t="str">
        <f>VLOOKUP($B152,master!$B$2:$S$595,17,0)</f>
        <v>085700586660</v>
      </c>
      <c r="I152" s="46" t="str">
        <f>VLOOKUP($B152,master!$B$2:$S$595,8,0)</f>
        <v>NDABLE</v>
      </c>
      <c r="J152" s="46" t="str">
        <f>VLOOKUP($B152,master!$B$2:$S$595,9,0)</f>
        <v>0</v>
      </c>
      <c r="K152" s="46" t="str">
        <f>VLOOKUP($B152,master!$B$2:$S$595,11,0)</f>
        <v>WUKIRSARI</v>
      </c>
      <c r="L152" s="46" t="str">
        <f>VLOOKUP($B152,master!$B$2:$S$595,12,0)</f>
        <v>IMOGIRI</v>
      </c>
      <c r="M152" s="46" t="str">
        <f>VLOOKUP($B152,master!$B$2:$S$595,6,0)</f>
        <v>PARTINEM</v>
      </c>
      <c r="N152" s="58" t="str">
        <f>VLOOKUP($B152,master!$B$2:$S$595,15,0)</f>
        <v>MTS N 9 BANTUL</v>
      </c>
      <c r="O152" s="58" t="str">
        <f>VLOOKUP($B152,master!$B$2:$S$595,4,0)</f>
        <v>19-10-2009</v>
      </c>
    </row>
    <row r="153" spans="1:15" ht="15.75" customHeight="1" x14ac:dyDescent="0.25">
      <c r="A153" s="56" t="s">
        <v>235</v>
      </c>
      <c r="B153" s="92" t="s">
        <v>2890</v>
      </c>
      <c r="C153" s="88" t="s">
        <v>4210</v>
      </c>
      <c r="D153" s="92" t="s">
        <v>2891</v>
      </c>
      <c r="E153" s="45" t="str">
        <f>VLOOKUP(D153,Total!$C$2:$D$439,2,0)</f>
        <v>10 TKR 3</v>
      </c>
      <c r="F153" s="45" t="str">
        <f>VLOOKUP(C153,Total!$B$2:$F$439,5,0)</f>
        <v>AKTIF</v>
      </c>
      <c r="G153" s="46" t="str">
        <f>VLOOKUP($B153,master!$B$2:$S$595,16,0)</f>
        <v>0817276608</v>
      </c>
      <c r="H153" s="46" t="str">
        <f>VLOOKUP($B153,master!$B$2:$S$595,17,0)</f>
        <v>08175477806</v>
      </c>
      <c r="I153" s="46" t="str">
        <f>VLOOKUP($B153,master!$B$2:$S$595,8,0)</f>
        <v>NGASEM</v>
      </c>
      <c r="J153" s="46" t="str">
        <f>VLOOKUP($B153,master!$B$2:$S$595,9,0)</f>
        <v>1</v>
      </c>
      <c r="K153" s="46" t="str">
        <f>VLOOKUP($B153,master!$B$2:$S$595,11,0)</f>
        <v>TIMBULHARJO</v>
      </c>
      <c r="L153" s="46" t="str">
        <f>VLOOKUP($B153,master!$B$2:$S$595,12,0)</f>
        <v>SEWON</v>
      </c>
      <c r="M153" s="46" t="str">
        <f>VLOOKUP($B153,master!$B$2:$S$595,6,0)</f>
        <v>Agus komatsu</v>
      </c>
      <c r="N153" s="58" t="str">
        <f>VLOOKUP($B153,master!$B$2:$S$595,15,0)</f>
        <v>MTS N 2 BANTUL</v>
      </c>
      <c r="O153" s="58" t="str">
        <f>VLOOKUP($B153,master!$B$2:$S$595,4,0)</f>
        <v>18-05-2009</v>
      </c>
    </row>
    <row r="154" spans="1:15" ht="15.75" customHeight="1" x14ac:dyDescent="0.25">
      <c r="A154" s="56" t="s">
        <v>236</v>
      </c>
      <c r="B154" s="92" t="s">
        <v>2312</v>
      </c>
      <c r="C154" s="88" t="s">
        <v>4211</v>
      </c>
      <c r="D154" s="92" t="s">
        <v>2313</v>
      </c>
      <c r="E154" s="45" t="str">
        <f>VLOOKUP(D154,Total!$C$2:$D$439,2,0)</f>
        <v>10 TKR 3</v>
      </c>
      <c r="F154" s="45" t="str">
        <f>VLOOKUP(C154,Total!$B$2:$F$439,5,0)</f>
        <v>AKTIF</v>
      </c>
      <c r="G154" s="46" t="str">
        <f>VLOOKUP($B154,master!$B$2:$S$595,16,0)</f>
        <v>088988550007</v>
      </c>
      <c r="H154" s="46" t="str">
        <f>VLOOKUP($B154,master!$B$2:$S$595,17,0)</f>
        <v>088988550007</v>
      </c>
      <c r="I154" s="46" t="str">
        <f>VLOOKUP($B154,master!$B$2:$S$595,8,0)</f>
        <v>KALIMANJUNG</v>
      </c>
      <c r="J154" s="46" t="str">
        <f>VLOOKUP($B154,master!$B$2:$S$595,9,0)</f>
        <v>1</v>
      </c>
      <c r="K154" s="46" t="str">
        <f>VLOOKUP($B154,master!$B$2:$S$595,11,0)</f>
        <v>AMBARKETAWANG</v>
      </c>
      <c r="L154" s="46" t="str">
        <f>VLOOKUP($B154,master!$B$2:$S$595,12,0)</f>
        <v>GAMPING</v>
      </c>
      <c r="M154" s="46" t="str">
        <f>VLOOKUP($B154,master!$B$2:$S$595,6,0)</f>
        <v>ARI PARYANTO</v>
      </c>
      <c r="N154" s="58" t="str">
        <f>VLOOKUP($B154,master!$B$2:$S$595,15,0)</f>
        <v>SMP N 4 GAMPING</v>
      </c>
      <c r="O154" s="58" t="str">
        <f>VLOOKUP($B154,master!$B$2:$S$595,4,0)</f>
        <v>24-06-2009</v>
      </c>
    </row>
    <row r="155" spans="1:15" ht="15.75" customHeight="1" x14ac:dyDescent="0.25">
      <c r="A155" s="56" t="s">
        <v>237</v>
      </c>
      <c r="B155" s="92" t="s">
        <v>2104</v>
      </c>
      <c r="C155" s="88" t="s">
        <v>4212</v>
      </c>
      <c r="D155" s="92" t="s">
        <v>2105</v>
      </c>
      <c r="E155" s="45" t="str">
        <f>VLOOKUP(D155,Total!$C$2:$D$439,2,0)</f>
        <v>10 TKR 3</v>
      </c>
      <c r="F155" s="45" t="str">
        <f>VLOOKUP(C155,Total!$B$2:$F$439,5,0)</f>
        <v>AKTIF</v>
      </c>
      <c r="G155" s="46" t="str">
        <f>VLOOKUP($B155,master!$B$2:$S$595,16,0)</f>
        <v>08986385911</v>
      </c>
      <c r="H155" s="46" t="str">
        <f>VLOOKUP($B155,master!$B$2:$S$595,17,0)</f>
        <v>0895-1531-1500</v>
      </c>
      <c r="I155" s="46" t="str">
        <f>VLOOKUP($B155,master!$B$2:$S$595,8,0)</f>
        <v>SROYO</v>
      </c>
      <c r="J155" s="46" t="str">
        <f>VLOOKUP($B155,master!$B$2:$S$595,9,0)</f>
        <v>01</v>
      </c>
      <c r="K155" s="46" t="str">
        <f>VLOOKUP($B155,master!$B$2:$S$595,11,0)</f>
        <v>SRIHARDONO</v>
      </c>
      <c r="L155" s="46" t="str">
        <f>VLOOKUP($B155,master!$B$2:$S$595,12,0)</f>
        <v>PUNDONG</v>
      </c>
      <c r="M155" s="46" t="str">
        <f>VLOOKUP($B155,master!$B$2:$S$595,6,0)</f>
        <v>Yunanik</v>
      </c>
      <c r="N155" s="58" t="str">
        <f>VLOOKUP($B155,master!$B$2:$S$595,15,0)</f>
        <v>SMP N 2 JETIS</v>
      </c>
      <c r="O155" s="58" t="str">
        <f>VLOOKUP($B155,master!$B$2:$S$595,4,0)</f>
        <v>9-06-2009</v>
      </c>
    </row>
    <row r="156" spans="1:15" ht="15.75" customHeight="1" x14ac:dyDescent="0.25">
      <c r="A156" s="56" t="s">
        <v>238</v>
      </c>
      <c r="B156" s="92" t="s">
        <v>1905</v>
      </c>
      <c r="C156" s="88" t="s">
        <v>4213</v>
      </c>
      <c r="D156" s="92" t="s">
        <v>1906</v>
      </c>
      <c r="E156" s="45" t="str">
        <f>VLOOKUP(D156,Total!$C$2:$D$439,2,0)</f>
        <v>10 TKR 3</v>
      </c>
      <c r="F156" s="45" t="str">
        <f>VLOOKUP(C156,Total!$B$2:$F$439,5,0)</f>
        <v>AKTIF</v>
      </c>
      <c r="G156" s="46" t="str">
        <f>VLOOKUP($B156,master!$B$2:$S$595,16,0)</f>
        <v>087739713337</v>
      </c>
      <c r="H156" s="46" t="str">
        <f>VLOOKUP($B156,master!$B$2:$S$595,17,0)</f>
        <v>087739713337</v>
      </c>
      <c r="I156" s="46" t="str">
        <f>VLOOKUP($B156,master!$B$2:$S$595,8,0)</f>
        <v>BREGAN</v>
      </c>
      <c r="J156" s="46" t="str">
        <f>VLOOKUP($B156,master!$B$2:$S$595,9,0)</f>
        <v>4</v>
      </c>
      <c r="K156" s="46" t="str">
        <f>VLOOKUP($B156,master!$B$2:$S$595,11,0)</f>
        <v>MULYODADI</v>
      </c>
      <c r="L156" s="46" t="str">
        <f>VLOOKUP($B156,master!$B$2:$S$595,12,0)</f>
        <v>BAMBANGLIPURO</v>
      </c>
      <c r="M156" s="46" t="str">
        <f>VLOOKUP($B156,master!$B$2:$S$595,6,0)</f>
        <v>PURWANTO</v>
      </c>
      <c r="N156" s="58" t="str">
        <f>VLOOKUP($B156,master!$B$2:$S$595,15,0)</f>
        <v>SMP N 1 BAMBANGLIPURO</v>
      </c>
      <c r="O156" s="58" t="str">
        <f>VLOOKUP($B156,master!$B$2:$S$595,4,0)</f>
        <v>31-01-2010</v>
      </c>
    </row>
    <row r="157" spans="1:15" ht="15.75" customHeight="1" x14ac:dyDescent="0.25">
      <c r="A157" s="56" t="s">
        <v>239</v>
      </c>
      <c r="B157" s="92" t="s">
        <v>2823</v>
      </c>
      <c r="C157" s="88" t="s">
        <v>4214</v>
      </c>
      <c r="D157" s="92" t="s">
        <v>2824</v>
      </c>
      <c r="E157" s="45" t="str">
        <f>VLOOKUP(D157,Total!$C$2:$D$439,2,0)</f>
        <v>10 TKR 3</v>
      </c>
      <c r="F157" s="45" t="str">
        <f>VLOOKUP(C157,Total!$B$2:$F$439,5,0)</f>
        <v>AKTIF</v>
      </c>
      <c r="G157" s="46" t="str">
        <f>VLOOKUP($B157,master!$B$2:$S$595,16,0)</f>
        <v>085865430713</v>
      </c>
      <c r="H157" s="46" t="str">
        <f>VLOOKUP($B157,master!$B$2:$S$595,17,0)</f>
        <v>085869273927</v>
      </c>
      <c r="I157" s="46" t="str">
        <f>VLOOKUP($B157,master!$B$2:$S$595,8,0)</f>
        <v>GESIKAN 4</v>
      </c>
      <c r="J157" s="46" t="str">
        <f>VLOOKUP($B157,master!$B$2:$S$595,9,0)</f>
        <v>5</v>
      </c>
      <c r="K157" s="46" t="str">
        <f>VLOOKUP($B157,master!$B$2:$S$595,11,0)</f>
        <v>WIJIREJO</v>
      </c>
      <c r="L157" s="46" t="str">
        <f>VLOOKUP($B157,master!$B$2:$S$595,12,0)</f>
        <v>PANDAK</v>
      </c>
      <c r="M157" s="46" t="str">
        <f>VLOOKUP($B157,master!$B$2:$S$595,6,0)</f>
        <v>NURHAYAT</v>
      </c>
      <c r="N157" s="58" t="str">
        <f>VLOOKUP($B157,master!$B$2:$S$595,15,0)</f>
        <v>SMP N 3 PANDAK</v>
      </c>
      <c r="O157" s="58" t="str">
        <f>VLOOKUP($B157,master!$B$2:$S$595,4,0)</f>
        <v>16-06-2009</v>
      </c>
    </row>
    <row r="158" spans="1:15" ht="15.75" customHeight="1" x14ac:dyDescent="0.25">
      <c r="A158" s="56" t="s">
        <v>240</v>
      </c>
      <c r="B158" s="92" t="s">
        <v>2810</v>
      </c>
      <c r="C158" s="88" t="s">
        <v>4215</v>
      </c>
      <c r="D158" s="92" t="s">
        <v>2811</v>
      </c>
      <c r="E158" s="45" t="str">
        <f>VLOOKUP(D158,Total!$C$2:$D$439,2,0)</f>
        <v>10 TKR 3</v>
      </c>
      <c r="F158" s="45" t="str">
        <f>VLOOKUP(C158,Total!$B$2:$F$439,5,0)</f>
        <v>AKTIF</v>
      </c>
      <c r="G158" s="46" t="str">
        <f>VLOOKUP($B158,master!$B$2:$S$595,16,0)</f>
        <v>089626542039</v>
      </c>
      <c r="H158" s="46" t="str">
        <f>VLOOKUP($B158,master!$B$2:$S$595,17,0)</f>
        <v>081575599181</v>
      </c>
      <c r="I158" s="46" t="str">
        <f>VLOOKUP($B158,master!$B$2:$S$595,8,0)</f>
        <v>KENTOLAN LOR</v>
      </c>
      <c r="J158" s="46" t="str">
        <f>VLOOKUP($B158,master!$B$2:$S$595,9,0)</f>
        <v>5</v>
      </c>
      <c r="K158" s="46" t="str">
        <f>VLOOKUP($B158,master!$B$2:$S$595,11,0)</f>
        <v>GUWOSARI</v>
      </c>
      <c r="L158" s="46" t="str">
        <f>VLOOKUP($B158,master!$B$2:$S$595,12,0)</f>
        <v>PAJANGAN</v>
      </c>
      <c r="M158" s="46" t="str">
        <f>VLOOKUP($B158,master!$B$2:$S$595,6,0)</f>
        <v>DIYANTO</v>
      </c>
      <c r="N158" s="58" t="str">
        <f>VLOOKUP($B158,master!$B$2:$S$595,15,0)</f>
        <v>SMP N 3 PAJANGAN</v>
      </c>
      <c r="O158" s="58" t="str">
        <f>VLOOKUP($B158,master!$B$2:$S$595,4,0)</f>
        <v>3-09-2009</v>
      </c>
    </row>
    <row r="159" spans="1:15" ht="15.75" customHeight="1" x14ac:dyDescent="0.25">
      <c r="A159" s="56" t="s">
        <v>241</v>
      </c>
      <c r="B159" s="92" t="s">
        <v>3076</v>
      </c>
      <c r="C159" s="88" t="s">
        <v>4216</v>
      </c>
      <c r="D159" s="92" t="s">
        <v>3077</v>
      </c>
      <c r="E159" s="45" t="str">
        <f>VLOOKUP(D159,Total!$C$2:$D$439,2,0)</f>
        <v>10 TKR 3</v>
      </c>
      <c r="F159" s="45" t="str">
        <f>VLOOKUP(C159,Total!$B$2:$F$439,5,0)</f>
        <v>AKTIF</v>
      </c>
      <c r="G159" s="46" t="str">
        <f>VLOOKUP($B159,master!$B$2:$S$595,16,0)</f>
        <v>083154537621</v>
      </c>
      <c r="H159" s="46" t="str">
        <f>VLOOKUP($B159,master!$B$2:$S$595,17,0)</f>
        <v>0859138552670</v>
      </c>
      <c r="I159" s="46" t="str">
        <f>VLOOKUP($B159,master!$B$2:$S$595,8,0)</f>
        <v>SABRANGAN</v>
      </c>
      <c r="J159" s="46" t="str">
        <f>VLOOKUP($B159,master!$B$2:$S$595,9,0)</f>
        <v>06</v>
      </c>
      <c r="K159" s="46" t="str">
        <f>VLOOKUP($B159,master!$B$2:$S$595,11,0)</f>
        <v>SRIHARJO</v>
      </c>
      <c r="L159" s="46" t="str">
        <f>VLOOKUP($B159,master!$B$2:$S$595,12,0)</f>
        <v>IMOGIRI</v>
      </c>
      <c r="M159" s="46" t="str">
        <f>VLOOKUP($B159,master!$B$2:$S$595,6,0)</f>
        <v>SABARNIYATI</v>
      </c>
      <c r="N159" s="58" t="str">
        <f>VLOOKUP($B159,master!$B$2:$S$595,15,0)</f>
        <v>SMP N 2 IMOGIRI</v>
      </c>
      <c r="O159" s="58" t="str">
        <f>VLOOKUP($B159,master!$B$2:$S$595,4,0)</f>
        <v>26-03-2010</v>
      </c>
    </row>
    <row r="160" spans="1:15" ht="15.75" customHeight="1" x14ac:dyDescent="0.25">
      <c r="A160" s="56" t="s">
        <v>242</v>
      </c>
      <c r="B160" s="92" t="s">
        <v>1953</v>
      </c>
      <c r="C160" s="88" t="s">
        <v>4217</v>
      </c>
      <c r="D160" s="92" t="s">
        <v>4519</v>
      </c>
      <c r="E160" s="45" t="str">
        <f>VLOOKUP(D160,Total!$C$2:$D$439,2,0)</f>
        <v>10 TKR 3</v>
      </c>
      <c r="F160" s="45" t="str">
        <f>VLOOKUP(C160,Total!$B$2:$F$439,5,0)</f>
        <v>AKTIF</v>
      </c>
      <c r="G160" s="46" t="str">
        <f>VLOOKUP($B160,master!$B$2:$S$595,16,0)</f>
        <v>0895344516301</v>
      </c>
      <c r="H160" s="46" t="str">
        <f>VLOOKUP($B160,master!$B$2:$S$595,17,0)</f>
        <v>0895344516301</v>
      </c>
      <c r="I160" s="46" t="str">
        <f>VLOOKUP($B160,master!$B$2:$S$595,8,0)</f>
        <v>PAJIMATAN</v>
      </c>
      <c r="J160" s="46" t="str">
        <f>VLOOKUP($B160,master!$B$2:$S$595,9,0)</f>
        <v>02</v>
      </c>
      <c r="K160" s="46" t="str">
        <f>VLOOKUP($B160,master!$B$2:$S$595,11,0)</f>
        <v>GIRIREJO</v>
      </c>
      <c r="L160" s="46" t="str">
        <f>VLOOKUP($B160,master!$B$2:$S$595,12,0)</f>
        <v>IMOGIRI</v>
      </c>
      <c r="M160" s="46" t="str">
        <f>VLOOKUP($B160,master!$B$2:$S$595,6,0)</f>
        <v>Muh Akmal Isnin Ishom</v>
      </c>
      <c r="N160" s="58" t="str">
        <f>VLOOKUP($B160,master!$B$2:$S$595,15,0)</f>
        <v>MTS N 3 BANTUL</v>
      </c>
      <c r="O160" s="58" t="str">
        <f>VLOOKUP($B160,master!$B$2:$S$595,4,0)</f>
        <v>9-06-2010</v>
      </c>
    </row>
    <row r="161" spans="1:15" ht="15.75" customHeight="1" x14ac:dyDescent="0.25">
      <c r="A161" s="56" t="s">
        <v>243</v>
      </c>
      <c r="B161" s="92" t="s">
        <v>2376</v>
      </c>
      <c r="C161" s="88" t="s">
        <v>4218</v>
      </c>
      <c r="D161" s="92" t="s">
        <v>2377</v>
      </c>
      <c r="E161" s="45" t="str">
        <f>VLOOKUP(D161,Total!$C$2:$D$439,2,0)</f>
        <v>10 TKR 3</v>
      </c>
      <c r="F161" s="45" t="str">
        <f>VLOOKUP(C161,Total!$B$2:$F$439,5,0)</f>
        <v>AKTIF</v>
      </c>
      <c r="G161" s="46" t="str">
        <f>VLOOKUP($B161,master!$B$2:$S$595,16,0)</f>
        <v>089508078518</v>
      </c>
      <c r="H161" s="46" t="str">
        <f>VLOOKUP($B161,master!$B$2:$S$595,17,0)</f>
        <v>0882006835007</v>
      </c>
      <c r="I161" s="46" t="str">
        <f>VLOOKUP($B161,master!$B$2:$S$595,8,0)</f>
        <v>DONGKELAN</v>
      </c>
      <c r="J161" s="46" t="str">
        <f>VLOOKUP($B161,master!$B$2:$S$595,9,0)</f>
        <v>06</v>
      </c>
      <c r="K161" s="46" t="str">
        <f>VLOOKUP($B161,master!$B$2:$S$595,11,0)</f>
        <v>PANGGUNGHARJO</v>
      </c>
      <c r="L161" s="46" t="str">
        <f>VLOOKUP($B161,master!$B$2:$S$595,12,0)</f>
        <v>SEWON</v>
      </c>
      <c r="M161" s="46" t="str">
        <f>VLOOKUP($B161,master!$B$2:$S$595,6,0)</f>
        <v>LILIS</v>
      </c>
      <c r="N161" s="58" t="str">
        <f>VLOOKUP($B161,master!$B$2:$S$595,15,0)</f>
        <v>PKBM PERSADA</v>
      </c>
      <c r="O161" s="58" t="str">
        <f>VLOOKUP($B161,master!$B$2:$S$595,4,0)</f>
        <v>1-03-2009</v>
      </c>
    </row>
    <row r="162" spans="1:15" ht="15.75" customHeight="1" x14ac:dyDescent="0.25">
      <c r="A162" s="56" t="s">
        <v>244</v>
      </c>
      <c r="B162" s="92" t="s">
        <v>2250</v>
      </c>
      <c r="C162" s="88" t="s">
        <v>4219</v>
      </c>
      <c r="D162" s="92" t="s">
        <v>2251</v>
      </c>
      <c r="E162" s="45" t="str">
        <f>VLOOKUP(D162,Total!$C$2:$D$439,2,0)</f>
        <v>10 TKR 3</v>
      </c>
      <c r="F162" s="45" t="str">
        <f>VLOOKUP(C162,Total!$B$2:$F$439,5,0)</f>
        <v>AKTIF</v>
      </c>
      <c r="G162" s="46" t="str">
        <f>VLOOKUP($B162,master!$B$2:$S$595,16,0)</f>
        <v>085326854766</v>
      </c>
      <c r="H162" s="46" t="str">
        <f>VLOOKUP($B162,master!$B$2:$S$595,17,0)</f>
        <v>083801915964</v>
      </c>
      <c r="I162" s="46" t="str">
        <f>VLOOKUP($B162,master!$B$2:$S$595,8,0)</f>
        <v>WONOROTO</v>
      </c>
      <c r="J162" s="46" t="str">
        <f>VLOOKUP($B162,master!$B$2:$S$595,9,0)</f>
        <v>4</v>
      </c>
      <c r="K162" s="46" t="str">
        <f>VLOOKUP($B162,master!$B$2:$S$595,11,0)</f>
        <v>GADINGSARI</v>
      </c>
      <c r="L162" s="46" t="str">
        <f>VLOOKUP($B162,master!$B$2:$S$595,12,0)</f>
        <v>SANDEN</v>
      </c>
      <c r="M162" s="46" t="str">
        <f>VLOOKUP($B162,master!$B$2:$S$595,6,0)</f>
        <v>SUNU WIDODO</v>
      </c>
      <c r="N162" s="58" t="str">
        <f>VLOOKUP($B162,master!$B$2:$S$595,15,0)</f>
        <v>SMP N 2 SANDEN</v>
      </c>
      <c r="O162" s="58" t="str">
        <f>VLOOKUP($B162,master!$B$2:$S$595,4,0)</f>
        <v>1-04-2010</v>
      </c>
    </row>
    <row r="163" spans="1:15" ht="15.75" customHeight="1" x14ac:dyDescent="0.25">
      <c r="A163" s="56" t="s">
        <v>245</v>
      </c>
      <c r="B163" s="92" t="s">
        <v>2692</v>
      </c>
      <c r="C163" s="88" t="s">
        <v>4220</v>
      </c>
      <c r="D163" s="92" t="s">
        <v>2693</v>
      </c>
      <c r="E163" s="45" t="str">
        <f>VLOOKUP(D163,Total!$C$2:$D$439,2,0)</f>
        <v>10 TKR 3</v>
      </c>
      <c r="F163" s="45" t="str">
        <f>VLOOKUP(C163,Total!$B$2:$F$439,5,0)</f>
        <v>AKTIF</v>
      </c>
      <c r="G163" s="46" t="str">
        <f>VLOOKUP($B163,master!$B$2:$S$595,16,0)</f>
        <v>081227388174</v>
      </c>
      <c r="H163" s="46" t="str">
        <f>VLOOKUP($B163,master!$B$2:$S$595,17,0)</f>
        <v>089699139762</v>
      </c>
      <c r="I163" s="46" t="str">
        <f>VLOOKUP($B163,master!$B$2:$S$595,8,0)</f>
        <v>PELEMSEWU</v>
      </c>
      <c r="J163" s="46" t="str">
        <f>VLOOKUP($B163,master!$B$2:$S$595,9,0)</f>
        <v>003</v>
      </c>
      <c r="K163" s="46" t="str">
        <f>VLOOKUP($B163,master!$B$2:$S$595,11,0)</f>
        <v>PANGGUNGHARJO</v>
      </c>
      <c r="L163" s="46" t="str">
        <f>VLOOKUP($B163,master!$B$2:$S$595,12,0)</f>
        <v>SEWON</v>
      </c>
      <c r="M163" s="46" t="str">
        <f>VLOOKUP($B163,master!$B$2:$S$595,6,0)</f>
        <v>NURYADI</v>
      </c>
      <c r="N163" s="58" t="str">
        <f>VLOOKUP($B163,master!$B$2:$S$595,15,0)</f>
        <v>MTS MUHAMMADIYAH KARANGKAJEN</v>
      </c>
      <c r="O163" s="58" t="str">
        <f>VLOOKUP($B163,master!$B$2:$S$595,4,0)</f>
        <v>18-01-2010</v>
      </c>
    </row>
    <row r="164" spans="1:15" ht="15.75" customHeight="1" x14ac:dyDescent="0.25">
      <c r="A164" s="56" t="s">
        <v>246</v>
      </c>
      <c r="B164" s="92" t="s">
        <v>2054</v>
      </c>
      <c r="C164" s="88" t="s">
        <v>4221</v>
      </c>
      <c r="D164" s="92" t="s">
        <v>2055</v>
      </c>
      <c r="E164" s="45" t="str">
        <f>VLOOKUP(D164,Total!$C$2:$D$439,2,0)</f>
        <v>10 TKR 3</v>
      </c>
      <c r="F164" s="45" t="str">
        <f>VLOOKUP(C164,Total!$B$2:$F$439,5,0)</f>
        <v>AKTIF</v>
      </c>
      <c r="G164" s="46" t="str">
        <f>VLOOKUP($B164,master!$B$2:$S$595,16,0)</f>
        <v>0881-3955-647 / 082329105947</v>
      </c>
      <c r="H164" s="46" t="str">
        <f>VLOOKUP($B164,master!$B$2:$S$595,17,0)</f>
        <v>082329105947</v>
      </c>
      <c r="I164" s="46" t="str">
        <f>VLOOKUP($B164,master!$B$2:$S$595,8,0)</f>
        <v>MANCINGAN XI</v>
      </c>
      <c r="J164" s="46" t="str">
        <f>VLOOKUP($B164,master!$B$2:$S$595,9,0)</f>
        <v>5</v>
      </c>
      <c r="K164" s="46" t="str">
        <f>VLOOKUP($B164,master!$B$2:$S$595,11,0)</f>
        <v>PARANGTRITIS</v>
      </c>
      <c r="L164" s="46" t="str">
        <f>VLOOKUP($B164,master!$B$2:$S$595,12,0)</f>
        <v>KRETEK</v>
      </c>
      <c r="M164" s="46" t="str">
        <f>VLOOKUP($B164,master!$B$2:$S$595,6,0)</f>
        <v>widadi</v>
      </c>
      <c r="N164" s="58" t="str">
        <f>VLOOKUP($B164,master!$B$2:$S$595,15,0)</f>
        <v>SMP N 2 KRETEK</v>
      </c>
      <c r="O164" s="58" t="str">
        <f>VLOOKUP($B164,master!$B$2:$S$595,4,0)</f>
        <v>25-06-2009</v>
      </c>
    </row>
    <row r="165" spans="1:15" ht="15.75" customHeight="1" x14ac:dyDescent="0.25">
      <c r="A165" s="56" t="s">
        <v>247</v>
      </c>
      <c r="B165" s="92" t="s">
        <v>2270</v>
      </c>
      <c r="C165" s="88" t="s">
        <v>4222</v>
      </c>
      <c r="D165" s="92" t="s">
        <v>2271</v>
      </c>
      <c r="E165" s="45" t="str">
        <f>VLOOKUP(D165,Total!$C$2:$D$439,2,0)</f>
        <v>10 TKR 3</v>
      </c>
      <c r="F165" s="45" t="str">
        <f>VLOOKUP(C165,Total!$B$2:$F$439,5,0)</f>
        <v>AKTIF</v>
      </c>
      <c r="G165" s="46" t="str">
        <f>VLOOKUP($B165,master!$B$2:$S$595,16,0)</f>
        <v>087767361825</v>
      </c>
      <c r="H165" s="46" t="str">
        <f>VLOOKUP($B165,master!$B$2:$S$595,17,0)</f>
        <v>-</v>
      </c>
      <c r="I165" s="46" t="str">
        <f>VLOOKUP($B165,master!$B$2:$S$595,8,0)</f>
        <v>BANTULAN</v>
      </c>
      <c r="J165" s="46" t="str">
        <f>VLOOKUP($B165,master!$B$2:$S$595,9,0)</f>
        <v>6</v>
      </c>
      <c r="K165" s="46" t="str">
        <f>VLOOKUP($B165,master!$B$2:$S$595,11,0)</f>
        <v>GILANGHARJO</v>
      </c>
      <c r="L165" s="46" t="str">
        <f>VLOOKUP($B165,master!$B$2:$S$595,12,0)</f>
        <v>PANDAK</v>
      </c>
      <c r="M165" s="46" t="str">
        <f>VLOOKUP($B165,master!$B$2:$S$595,6,0)</f>
        <v>JOKO YULIATMOKO</v>
      </c>
      <c r="N165" s="58" t="str">
        <f>VLOOKUP($B165,master!$B$2:$S$595,15,0)</f>
        <v>SMP N 4 PANDAK</v>
      </c>
      <c r="O165" s="58" t="str">
        <f>VLOOKUP($B165,master!$B$2:$S$595,4,0)</f>
        <v>10-12-2009</v>
      </c>
    </row>
    <row r="166" spans="1:15" ht="15.75" customHeight="1" x14ac:dyDescent="0.25">
      <c r="A166" s="56" t="s">
        <v>248</v>
      </c>
      <c r="B166" s="92" t="s">
        <v>2872</v>
      </c>
      <c r="C166" s="88" t="s">
        <v>4223</v>
      </c>
      <c r="D166" s="92" t="s">
        <v>2873</v>
      </c>
      <c r="E166" s="45" t="str">
        <f>VLOOKUP(D166,Total!$C$2:$D$439,2,0)</f>
        <v>10 TKR 3</v>
      </c>
      <c r="F166" s="45" t="str">
        <f>VLOOKUP(C166,Total!$B$2:$F$439,5,0)</f>
        <v>AKTIF</v>
      </c>
      <c r="G166" s="46" t="str">
        <f>VLOOKUP($B166,master!$B$2:$S$595,16,0)</f>
        <v>081246656416</v>
      </c>
      <c r="H166" s="46" t="str">
        <f>VLOOKUP($B166,master!$B$2:$S$595,17,0)</f>
        <v>081225875515</v>
      </c>
      <c r="I166" s="46" t="str">
        <f>VLOOKUP($B166,master!$B$2:$S$595,8,0)</f>
        <v>SABRANGAN</v>
      </c>
      <c r="J166" s="46" t="str">
        <f>VLOOKUP($B166,master!$B$2:$S$595,9,0)</f>
        <v>6</v>
      </c>
      <c r="K166" s="46" t="str">
        <f>VLOOKUP($B166,master!$B$2:$S$595,11,0)</f>
        <v>SRIHARJO</v>
      </c>
      <c r="L166" s="46" t="str">
        <f>VLOOKUP($B166,master!$B$2:$S$595,12,0)</f>
        <v>IMOGIRI</v>
      </c>
      <c r="M166" s="46" t="str">
        <f>VLOOKUP($B166,master!$B$2:$S$595,6,0)</f>
        <v>ARI WIDIYANTO</v>
      </c>
      <c r="N166" s="58" t="str">
        <f>VLOOKUP($B166,master!$B$2:$S$595,15,0)</f>
        <v>SMP N 3 IMOGIRI</v>
      </c>
      <c r="O166" s="58" t="str">
        <f>VLOOKUP($B166,master!$B$2:$S$595,4,0)</f>
        <v>8-02-2010</v>
      </c>
    </row>
    <row r="167" spans="1:15" ht="15.75" customHeight="1" x14ac:dyDescent="0.25">
      <c r="A167" s="56" t="s">
        <v>249</v>
      </c>
      <c r="B167" s="92" t="s">
        <v>2397</v>
      </c>
      <c r="C167" s="88" t="s">
        <v>4224</v>
      </c>
      <c r="D167" s="92" t="s">
        <v>2398</v>
      </c>
      <c r="E167" s="45" t="str">
        <f>VLOOKUP(D167,Total!$C$2:$D$439,2,0)</f>
        <v>10 TKR 3</v>
      </c>
      <c r="F167" s="45" t="str">
        <f>VLOOKUP(C167,Total!$B$2:$F$439,5,0)</f>
        <v>AKTIF</v>
      </c>
      <c r="G167" s="46" t="str">
        <f>VLOOKUP($B167,master!$B$2:$S$595,16,0)</f>
        <v>085716580040</v>
      </c>
      <c r="H167" s="46" t="str">
        <f>VLOOKUP($B167,master!$B$2:$S$595,17,0)</f>
        <v>085832265653</v>
      </c>
      <c r="I167" s="46" t="str">
        <f>VLOOKUP($B167,master!$B$2:$S$595,8,0)</f>
        <v>JATIREJO</v>
      </c>
      <c r="J167" s="46" t="str">
        <f>VLOOKUP($B167,master!$B$2:$S$595,9,0)</f>
        <v>7</v>
      </c>
      <c r="K167" s="46" t="str">
        <f>VLOOKUP($B167,master!$B$2:$S$595,11,0)</f>
        <v>WUKIRSARI</v>
      </c>
      <c r="L167" s="46" t="str">
        <f>VLOOKUP($B167,master!$B$2:$S$595,12,0)</f>
        <v>IMOGIRI</v>
      </c>
      <c r="M167" s="46" t="str">
        <f>VLOOKUP($B167,master!$B$2:$S$595,6,0)</f>
        <v>HERU SETIAWAN</v>
      </c>
      <c r="N167" s="58" t="str">
        <f>VLOOKUP($B167,master!$B$2:$S$595,15,0)</f>
        <v>MTS N 3 BANTUL</v>
      </c>
      <c r="O167" s="58" t="str">
        <f>VLOOKUP($B167,master!$B$2:$S$595,4,0)</f>
        <v>21-05-2009</v>
      </c>
    </row>
    <row r="168" spans="1:15" ht="15.75" customHeight="1" x14ac:dyDescent="0.25">
      <c r="A168" s="56" t="s">
        <v>250</v>
      </c>
      <c r="B168" s="92" t="s">
        <v>2703</v>
      </c>
      <c r="C168" s="88" t="s">
        <v>4225</v>
      </c>
      <c r="D168" s="92" t="s">
        <v>2704</v>
      </c>
      <c r="E168" s="45" t="str">
        <f>VLOOKUP(D168,Total!$C$2:$D$439,2,0)</f>
        <v>10 TKR 3</v>
      </c>
      <c r="F168" s="45" t="str">
        <f>VLOOKUP(C168,Total!$B$2:$F$439,5,0)</f>
        <v>AKTIF</v>
      </c>
      <c r="G168" s="46" t="str">
        <f>VLOOKUP($B168,master!$B$2:$S$595,16,0)</f>
        <v>0882007957966</v>
      </c>
      <c r="H168" s="46" t="str">
        <f>VLOOKUP($B168,master!$B$2:$S$595,17,0)</f>
        <v>083873608420</v>
      </c>
      <c r="I168" s="46" t="str">
        <f>VLOOKUP($B168,master!$B$2:$S$595,8,0)</f>
        <v>KARANGASEM</v>
      </c>
      <c r="J168" s="46" t="str">
        <f>VLOOKUP($B168,master!$B$2:$S$595,9,0)</f>
        <v>07</v>
      </c>
      <c r="K168" s="46" t="str">
        <f>VLOOKUP($B168,master!$B$2:$S$595,11,0)</f>
        <v>PALBAPANG</v>
      </c>
      <c r="L168" s="46" t="str">
        <f>VLOOKUP($B168,master!$B$2:$S$595,12,0)</f>
        <v>BANTUL</v>
      </c>
      <c r="M168" s="46" t="str">
        <f>VLOOKUP($B168,master!$B$2:$S$595,6,0)</f>
        <v>TRI ANTINI</v>
      </c>
      <c r="N168" s="58" t="str">
        <f>VLOOKUP($B168,master!$B$2:$S$595,15,0)</f>
        <v>SMP N 3 BANTUL</v>
      </c>
      <c r="O168" s="58" t="str">
        <f>VLOOKUP($B168,master!$B$2:$S$595,4,0)</f>
        <v>8-11-2008</v>
      </c>
    </row>
    <row r="169" spans="1:15" ht="15.75" customHeight="1" x14ac:dyDescent="0.25">
      <c r="A169" s="56" t="s">
        <v>251</v>
      </c>
      <c r="B169" s="92" t="s">
        <v>2166</v>
      </c>
      <c r="C169" s="88" t="s">
        <v>4226</v>
      </c>
      <c r="D169" s="92" t="s">
        <v>2167</v>
      </c>
      <c r="E169" s="45" t="str">
        <f>VLOOKUP(D169,Total!$C$2:$D$439,2,0)</f>
        <v>10 TKR 3</v>
      </c>
      <c r="F169" s="45" t="str">
        <f>VLOOKUP(C169,Total!$B$2:$F$439,5,0)</f>
        <v>AKTIF</v>
      </c>
      <c r="G169" s="46" t="str">
        <f>VLOOKUP($B169,master!$B$2:$S$595,16,0)</f>
        <v>083104810116</v>
      </c>
      <c r="H169" s="46" t="str">
        <f>VLOOKUP($B169,master!$B$2:$S$595,17,0)</f>
        <v>081578860211</v>
      </c>
      <c r="I169" s="46" t="str">
        <f>VLOOKUP($B169,master!$B$2:$S$595,8,0)</f>
        <v>PUTON</v>
      </c>
      <c r="J169" s="46" t="str">
        <f>VLOOKUP($B169,master!$B$2:$S$595,9,0)</f>
        <v>06</v>
      </c>
      <c r="K169" s="46" t="str">
        <f>VLOOKUP($B169,master!$B$2:$S$595,11,0)</f>
        <v>TRIMULYO</v>
      </c>
      <c r="L169" s="46" t="str">
        <f>VLOOKUP($B169,master!$B$2:$S$595,12,0)</f>
        <v>JETIS</v>
      </c>
      <c r="M169" s="46" t="str">
        <f>VLOOKUP($B169,master!$B$2:$S$595,6,0)</f>
        <v>EKO PRAYOGO/JUMIARTI</v>
      </c>
      <c r="N169" s="58" t="str">
        <f>VLOOKUP($B169,master!$B$2:$S$595,15,0)</f>
        <v>SMP MUHAMADIYAH IMOGIRI</v>
      </c>
      <c r="O169" s="58" t="str">
        <f>VLOOKUP($B169,master!$B$2:$S$595,4,0)</f>
        <v>24-10-2009</v>
      </c>
    </row>
    <row r="170" spans="1:15" ht="15.75" customHeight="1" x14ac:dyDescent="0.25">
      <c r="A170" s="56" t="s">
        <v>252</v>
      </c>
      <c r="B170" s="92" t="s">
        <v>2019</v>
      </c>
      <c r="C170" s="88" t="s">
        <v>4227</v>
      </c>
      <c r="D170" s="92" t="s">
        <v>2020</v>
      </c>
      <c r="E170" s="45" t="str">
        <f>VLOOKUP(D170,Total!$C$2:$D$439,2,0)</f>
        <v>10 TKR 3</v>
      </c>
      <c r="F170" s="45" t="str">
        <f>VLOOKUP(C170,Total!$B$2:$F$439,5,0)</f>
        <v>AKTIF</v>
      </c>
      <c r="G170" s="46" t="str">
        <f>VLOOKUP($B170,master!$B$2:$S$595,16,0)</f>
        <v>0895363353927</v>
      </c>
      <c r="H170" s="46" t="str">
        <f>VLOOKUP($B170,master!$B$2:$S$595,17,0)</f>
        <v>08817667149</v>
      </c>
      <c r="I170" s="46" t="str">
        <f>VLOOKUP($B170,master!$B$2:$S$595,8,0)</f>
        <v>PULUHAN KIDUL</v>
      </c>
      <c r="J170" s="46" t="str">
        <f>VLOOKUP($B170,master!$B$2:$S$595,9,0)</f>
        <v>51</v>
      </c>
      <c r="K170" s="46" t="str">
        <f>VLOOKUP($B170,master!$B$2:$S$595,11,0)</f>
        <v>TRIMURTI</v>
      </c>
      <c r="L170" s="46" t="str">
        <f>VLOOKUP($B170,master!$B$2:$S$595,12,0)</f>
        <v>SRANDAKAN</v>
      </c>
      <c r="M170" s="46" t="str">
        <f>VLOOKUP($B170,master!$B$2:$S$595,6,0)</f>
        <v>RAHARJONO</v>
      </c>
      <c r="N170" s="58" t="str">
        <f>VLOOKUP($B170,master!$B$2:$S$595,15,0)</f>
        <v>SMP N 2 SRANDAKAN</v>
      </c>
      <c r="O170" s="58" t="str">
        <f>VLOOKUP($B170,master!$B$2:$S$595,4,0)</f>
        <v>13-12-2009</v>
      </c>
    </row>
    <row r="171" spans="1:15" ht="15.75" customHeight="1" x14ac:dyDescent="0.25">
      <c r="A171" s="56" t="s">
        <v>253</v>
      </c>
      <c r="B171" s="92" t="s">
        <v>2728</v>
      </c>
      <c r="C171" s="88" t="s">
        <v>4228</v>
      </c>
      <c r="D171" s="92" t="s">
        <v>2729</v>
      </c>
      <c r="E171" s="45" t="str">
        <f>VLOOKUP(D171,Total!$C$2:$D$439,2,0)</f>
        <v>10 TKR 3</v>
      </c>
      <c r="F171" s="45" t="str">
        <f>VLOOKUP(C171,Total!$B$2:$F$439,5,0)</f>
        <v>AKTIF</v>
      </c>
      <c r="G171" s="46" t="str">
        <f>VLOOKUP($B171,master!$B$2:$S$595,16,0)</f>
        <v>08895417265376</v>
      </c>
      <c r="H171" s="46" t="str">
        <f>VLOOKUP($B171,master!$B$2:$S$595,17,0)</f>
        <v>089510776391</v>
      </c>
      <c r="I171" s="46" t="str">
        <f>VLOOKUP($B171,master!$B$2:$S$595,8,0)</f>
        <v>KRANDOHAN</v>
      </c>
      <c r="J171" s="46" t="str">
        <f>VLOOKUP($B171,master!$B$2:$S$595,9,0)</f>
        <v>16</v>
      </c>
      <c r="K171" s="46" t="str">
        <f>VLOOKUP($B171,master!$B$2:$S$595,11,0)</f>
        <v>PENDOWOHARJO</v>
      </c>
      <c r="L171" s="46" t="str">
        <f>VLOOKUP($B171,master!$B$2:$S$595,12,0)</f>
        <v>SEWON</v>
      </c>
      <c r="M171" s="46" t="str">
        <f>VLOOKUP($B171,master!$B$2:$S$595,6,0)</f>
        <v>MURGIYONO</v>
      </c>
      <c r="N171" s="58" t="str">
        <f>VLOOKUP($B171,master!$B$2:$S$595,15,0)</f>
        <v>SMP N 2 BANTUL</v>
      </c>
      <c r="O171" s="58" t="str">
        <f>VLOOKUP($B171,master!$B$2:$S$595,4,0)</f>
        <v>3-05-2009</v>
      </c>
    </row>
    <row r="172" spans="1:15" ht="15.75" customHeight="1" x14ac:dyDescent="0.25">
      <c r="A172" s="56" t="s">
        <v>254</v>
      </c>
      <c r="B172" s="92" t="s">
        <v>2353</v>
      </c>
      <c r="C172" s="88" t="s">
        <v>4229</v>
      </c>
      <c r="D172" s="92" t="s">
        <v>2354</v>
      </c>
      <c r="E172" s="45" t="str">
        <f>VLOOKUP(D172,Total!$C$2:$D$439,2,0)</f>
        <v>10 TKR 3</v>
      </c>
      <c r="F172" s="45" t="str">
        <f>VLOOKUP(C172,Total!$B$2:$F$439,5,0)</f>
        <v>AKTIF</v>
      </c>
      <c r="G172" s="46" t="str">
        <f>VLOOKUP($B172,master!$B$2:$S$595,16,0)</f>
        <v>085601181119</v>
      </c>
      <c r="H172" s="46" t="str">
        <f>VLOOKUP($B172,master!$B$2:$S$595,17,0)</f>
        <v>085790541391</v>
      </c>
      <c r="I172" s="46" t="str">
        <f>VLOOKUP($B172,master!$B$2:$S$595,8,0)</f>
        <v>KALIPUTIH</v>
      </c>
      <c r="J172" s="46" t="str">
        <f>VLOOKUP($B172,master!$B$2:$S$595,9,0)</f>
        <v>042</v>
      </c>
      <c r="K172" s="46" t="str">
        <f>VLOOKUP($B172,master!$B$2:$S$595,11,0)</f>
        <v>PENDOWOHARJO</v>
      </c>
      <c r="L172" s="46" t="str">
        <f>VLOOKUP($B172,master!$B$2:$S$595,12,0)</f>
        <v>SEWON</v>
      </c>
      <c r="M172" s="46" t="str">
        <f>VLOOKUP($B172,master!$B$2:$S$595,6,0)</f>
        <v>supriadi/nur ismiati</v>
      </c>
      <c r="N172" s="58" t="str">
        <f>VLOOKUP($B172,master!$B$2:$S$595,15,0)</f>
        <v>SMP N 2 SUGIO LAMONGAN</v>
      </c>
      <c r="O172" s="58" t="str">
        <f>VLOOKUP($B172,master!$B$2:$S$595,4,0)</f>
        <v>21-02-2009</v>
      </c>
    </row>
    <row r="173" spans="1:15" ht="15.75" customHeight="1" x14ac:dyDescent="0.25">
      <c r="A173" s="56" t="s">
        <v>255</v>
      </c>
      <c r="B173" s="92" t="s">
        <v>2034</v>
      </c>
      <c r="C173" s="88" t="s">
        <v>4230</v>
      </c>
      <c r="D173" s="92" t="s">
        <v>2035</v>
      </c>
      <c r="E173" s="45" t="str">
        <f>VLOOKUP(D173,Total!$C$2:$D$439,2,0)</f>
        <v>10 TKR 3</v>
      </c>
      <c r="F173" s="45" t="str">
        <f>VLOOKUP(C173,Total!$B$2:$F$439,5,0)</f>
        <v>AKTIF</v>
      </c>
      <c r="G173" s="46" t="str">
        <f>VLOOKUP($B173,master!$B$2:$S$595,16,0)</f>
        <v>085870784998</v>
      </c>
      <c r="H173" s="46" t="str">
        <f>VLOOKUP($B173,master!$B$2:$S$595,17,0)</f>
        <v>081325130362</v>
      </c>
      <c r="I173" s="46" t="str">
        <f>VLOOKUP($B173,master!$B$2:$S$595,8,0)</f>
        <v>SINDET</v>
      </c>
      <c r="J173" s="46" t="str">
        <f>VLOOKUP($B173,master!$B$2:$S$595,9,0)</f>
        <v>4</v>
      </c>
      <c r="K173" s="46" t="str">
        <f>VLOOKUP($B173,master!$B$2:$S$595,11,0)</f>
        <v>WUKIRSARI</v>
      </c>
      <c r="L173" s="46" t="str">
        <f>VLOOKUP($B173,master!$B$2:$S$595,12,0)</f>
        <v>IMOGIRI</v>
      </c>
      <c r="M173" s="46" t="str">
        <f>VLOOKUP($B173,master!$B$2:$S$595,6,0)</f>
        <v>TRI HARTADI</v>
      </c>
      <c r="N173" s="58" t="str">
        <f>VLOOKUP($B173,master!$B$2:$S$595,15,0)</f>
        <v>SMP N 2 JETIS</v>
      </c>
      <c r="O173" s="58" t="str">
        <f>VLOOKUP($B173,master!$B$2:$S$595,4,0)</f>
        <v>15-08-2009</v>
      </c>
    </row>
    <row r="174" spans="1:15" ht="15.75" customHeight="1" x14ac:dyDescent="0.25">
      <c r="A174" s="56" t="s">
        <v>256</v>
      </c>
      <c r="B174" s="92" t="s">
        <v>2896</v>
      </c>
      <c r="C174" s="88" t="s">
        <v>4231</v>
      </c>
      <c r="D174" s="92" t="s">
        <v>2897</v>
      </c>
      <c r="E174" s="45" t="str">
        <f>VLOOKUP(D174,Total!$C$2:$D$439,2,0)</f>
        <v>10 TKR 3</v>
      </c>
      <c r="F174" s="45" t="str">
        <f>VLOOKUP(C174,Total!$B$2:$F$439,5,0)</f>
        <v>AKTIF</v>
      </c>
      <c r="G174" s="46" t="str">
        <f>VLOOKUP($B174,master!$B$2:$S$595,16,0)</f>
        <v>087847290864</v>
      </c>
      <c r="H174" s="46" t="str">
        <f>VLOOKUP($B174,master!$B$2:$S$595,17,0)</f>
        <v>087786365597</v>
      </c>
      <c r="I174" s="46" t="str">
        <f>VLOOKUP($B174,master!$B$2:$S$595,8,0)</f>
        <v>KALIPUTIH</v>
      </c>
      <c r="J174" s="46" t="str">
        <f>VLOOKUP($B174,master!$B$2:$S$595,9,0)</f>
        <v>42</v>
      </c>
      <c r="K174" s="46" t="str">
        <f>VLOOKUP($B174,master!$B$2:$S$595,11,0)</f>
        <v>PENDOWOHARJO</v>
      </c>
      <c r="L174" s="46" t="str">
        <f>VLOOKUP($B174,master!$B$2:$S$595,12,0)</f>
        <v>SEWON</v>
      </c>
      <c r="M174" s="46" t="str">
        <f>VLOOKUP($B174,master!$B$2:$S$595,6,0)</f>
        <v>Sartono/fitrianingrum</v>
      </c>
      <c r="N174" s="58" t="str">
        <f>VLOOKUP($B174,master!$B$2:$S$595,15,0)</f>
        <v>SMP N 3 SEWON</v>
      </c>
      <c r="O174" s="58" t="str">
        <f>VLOOKUP($B174,master!$B$2:$S$595,4,0)</f>
        <v>17-12-2009</v>
      </c>
    </row>
    <row r="175" spans="1:15" ht="15.75" customHeight="1" x14ac:dyDescent="0.25">
      <c r="A175" s="56" t="s">
        <v>257</v>
      </c>
      <c r="B175" s="92" t="s">
        <v>2333</v>
      </c>
      <c r="C175" s="88" t="s">
        <v>4232</v>
      </c>
      <c r="D175" s="92" t="s">
        <v>2334</v>
      </c>
      <c r="E175" s="45" t="str">
        <f>VLOOKUP(D175,Total!$C$2:$D$439,2,0)</f>
        <v>10 TKR 3</v>
      </c>
      <c r="F175" s="45" t="str">
        <f>VLOOKUP(C175,Total!$B$2:$F$439,5,0)</f>
        <v>AKTIF</v>
      </c>
      <c r="G175" s="46" t="str">
        <f>VLOOKUP($B175,master!$B$2:$S$595,16,0)</f>
        <v>081252357996</v>
      </c>
      <c r="H175" s="46" t="str">
        <f>VLOOKUP($B175,master!$B$2:$S$595,17,0)</f>
        <v>085877233108</v>
      </c>
      <c r="I175" s="46" t="str">
        <f>VLOOKUP($B175,master!$B$2:$S$595,8,0)</f>
        <v>KARANGTALUN</v>
      </c>
      <c r="J175" s="46" t="str">
        <f>VLOOKUP($B175,master!$B$2:$S$595,9,0)</f>
        <v>1</v>
      </c>
      <c r="K175" s="46" t="str">
        <f>VLOOKUP($B175,master!$B$2:$S$595,11,0)</f>
        <v>WUKIRSARI</v>
      </c>
      <c r="L175" s="46" t="str">
        <f>VLOOKUP($B175,master!$B$2:$S$595,12,0)</f>
        <v>IMOGIRI</v>
      </c>
      <c r="M175" s="46" t="str">
        <f>VLOOKUP($B175,master!$B$2:$S$595,6,0)</f>
        <v>PANGGUNG BASUKI</v>
      </c>
      <c r="N175" s="58" t="str">
        <f>VLOOKUP($B175,master!$B$2:$S$595,15,0)</f>
        <v>SMP MUHAMMADIYAH IMOGIRI</v>
      </c>
      <c r="O175" s="58" t="str">
        <f>VLOOKUP($B175,master!$B$2:$S$595,4,0)</f>
        <v>21-09-2008</v>
      </c>
    </row>
    <row r="176" spans="1:15" ht="15.75" customHeight="1" x14ac:dyDescent="0.25">
      <c r="A176" s="56" t="s">
        <v>258</v>
      </c>
      <c r="B176" s="90" t="s">
        <v>1893</v>
      </c>
      <c r="C176" s="88" t="s">
        <v>4233</v>
      </c>
      <c r="D176" s="90" t="s">
        <v>1894</v>
      </c>
      <c r="E176" s="45" t="str">
        <f>VLOOKUP(D176,Total!$C$2:$D$439,2,0)</f>
        <v>10 TKR 4</v>
      </c>
      <c r="F176" s="45" t="str">
        <f>VLOOKUP(C176,Total!$B$2:$F$439,5,0)</f>
        <v>AKTIF</v>
      </c>
      <c r="G176" s="46" t="str">
        <f>VLOOKUP($B176,master!$B$2:$S$595,16,0)</f>
        <v>082118449419</v>
      </c>
      <c r="H176" s="46" t="str">
        <f>VLOOKUP($B176,master!$B$2:$S$595,17,0)</f>
        <v>081326617148</v>
      </c>
      <c r="I176" s="46" t="str">
        <f>VLOOKUP($B176,master!$B$2:$S$595,8,0)</f>
        <v>DENGKENG</v>
      </c>
      <c r="J176" s="46" t="str">
        <f>VLOOKUP($B176,master!$B$2:$S$595,9,0)</f>
        <v>1</v>
      </c>
      <c r="K176" s="46" t="str">
        <f>VLOOKUP($B176,master!$B$2:$S$595,11,0)</f>
        <v>WUKIRSARI</v>
      </c>
      <c r="L176" s="46" t="str">
        <f>VLOOKUP($B176,master!$B$2:$S$595,12,0)</f>
        <v>IMOGIRI</v>
      </c>
      <c r="M176" s="46" t="str">
        <f>VLOOKUP($B176,master!$B$2:$S$595,6,0)</f>
        <v>NANIK ISWANTI</v>
      </c>
      <c r="N176" s="58" t="str">
        <f>VLOOKUP($B176,master!$B$2:$S$595,15,0)</f>
        <v>SMP MUHAMMADIYAH IMOGIRI</v>
      </c>
      <c r="O176" s="58" t="str">
        <f>VLOOKUP($B176,master!$B$2:$S$595,4,0)</f>
        <v>5-05-2009</v>
      </c>
    </row>
    <row r="177" spans="1:15" ht="15.75" customHeight="1" x14ac:dyDescent="0.25">
      <c r="A177" s="56" t="s">
        <v>259</v>
      </c>
      <c r="B177" s="90" t="s">
        <v>1477</v>
      </c>
      <c r="C177" s="88" t="s">
        <v>4234</v>
      </c>
      <c r="D177" s="90" t="s">
        <v>1478</v>
      </c>
      <c r="E177" s="45" t="str">
        <f>VLOOKUP(D177,Total!$C$2:$D$439,2,0)</f>
        <v>10 TKR 4</v>
      </c>
      <c r="F177" s="45" t="str">
        <f>VLOOKUP(C177,Total!$B$2:$F$439,5,0)</f>
        <v>AKTIF</v>
      </c>
      <c r="G177" s="46" t="str">
        <f>VLOOKUP($B177,master!$B$2:$S$595,16,0)</f>
        <v>08816714757</v>
      </c>
      <c r="H177" s="46" t="str">
        <f>VLOOKUP($B177,master!$B$2:$S$595,17,0)</f>
        <v>083172034179</v>
      </c>
      <c r="I177" s="46" t="str">
        <f>VLOOKUP($B177,master!$B$2:$S$595,8,0)</f>
        <v>TLOGO</v>
      </c>
      <c r="J177" s="46" t="str">
        <f>VLOOKUP($B177,master!$B$2:$S$595,9,0)</f>
        <v>01</v>
      </c>
      <c r="K177" s="46" t="str">
        <f>VLOOKUP($B177,master!$B$2:$S$595,11,0)</f>
        <v>KEBONAGUNG</v>
      </c>
      <c r="L177" s="46" t="str">
        <f>VLOOKUP($B177,master!$B$2:$S$595,12,0)</f>
        <v>IMOGIRI</v>
      </c>
      <c r="M177" s="46" t="str">
        <f>VLOOKUP($B177,master!$B$2:$S$595,6,0)</f>
        <v>rUKIYATO</v>
      </c>
      <c r="N177" s="58" t="str">
        <f>VLOOKUP($B177,master!$B$2:$S$595,15,0)</f>
        <v>SMP N 2 IMOGIRI</v>
      </c>
      <c r="O177" s="58" t="str">
        <f>VLOOKUP($B177,master!$B$2:$S$595,4,0)</f>
        <v>9-12-2009</v>
      </c>
    </row>
    <row r="178" spans="1:15" ht="15.75" customHeight="1" x14ac:dyDescent="0.25">
      <c r="A178" s="56" t="s">
        <v>260</v>
      </c>
      <c r="B178" s="90" t="s">
        <v>1743</v>
      </c>
      <c r="C178" s="88" t="s">
        <v>4235</v>
      </c>
      <c r="D178" s="90" t="s">
        <v>1744</v>
      </c>
      <c r="E178" s="45" t="str">
        <f>VLOOKUP(D178,Total!$C$2:$D$439,2,0)</f>
        <v>10 TKR 4</v>
      </c>
      <c r="F178" s="45" t="str">
        <f>VLOOKUP(C178,Total!$B$2:$F$439,5,0)</f>
        <v>AKTIF</v>
      </c>
      <c r="G178" s="46" t="str">
        <f>VLOOKUP($B178,master!$B$2:$S$595,16,0)</f>
        <v>0882008654581</v>
      </c>
      <c r="H178" s="46" t="str">
        <f>VLOOKUP($B178,master!$B$2:$S$595,17,0)</f>
        <v>0882008667745</v>
      </c>
      <c r="I178" s="46" t="str">
        <f>VLOOKUP($B178,master!$B$2:$S$595,8,0)</f>
        <v>JATI</v>
      </c>
      <c r="J178" s="46" t="str">
        <f>VLOOKUP($B178,master!$B$2:$S$595,9,0)</f>
        <v>3</v>
      </c>
      <c r="K178" s="46" t="str">
        <f>VLOOKUP($B178,master!$B$2:$S$595,11,0)</f>
        <v>GIRICAHYO</v>
      </c>
      <c r="L178" s="46" t="str">
        <f>VLOOKUP($B178,master!$B$2:$S$595,12,0)</f>
        <v>PURWOSARI</v>
      </c>
      <c r="M178" s="46" t="str">
        <f>VLOOKUP($B178,master!$B$2:$S$595,6,0)</f>
        <v>Suyanto</v>
      </c>
      <c r="N178" s="58" t="str">
        <f>VLOOKUP($B178,master!$B$2:$S$595,15,0)</f>
        <v>SMP N 1 PURWOSARI</v>
      </c>
      <c r="O178" s="58" t="str">
        <f>VLOOKUP($B178,master!$B$2:$S$595,4,0)</f>
        <v>4-11-2009</v>
      </c>
    </row>
    <row r="179" spans="1:15" ht="15.75" customHeight="1" x14ac:dyDescent="0.25">
      <c r="A179" s="56" t="s">
        <v>261</v>
      </c>
      <c r="B179" s="90" t="s">
        <v>3476</v>
      </c>
      <c r="C179" s="88" t="s">
        <v>4236</v>
      </c>
      <c r="D179" s="90" t="s">
        <v>3477</v>
      </c>
      <c r="E179" s="45" t="str">
        <f>VLOOKUP(D179,Total!$C$2:$D$439,2,0)</f>
        <v>10 TKR 4</v>
      </c>
      <c r="F179" s="45" t="str">
        <f>VLOOKUP(C179,Total!$B$2:$F$439,5,0)</f>
        <v>AKTIF</v>
      </c>
      <c r="G179" s="46" t="str">
        <f>VLOOKUP($B179,master!$B$2:$S$595,16,0)</f>
        <v>083822722449</v>
      </c>
      <c r="H179" s="46" t="str">
        <f>VLOOKUP($B179,master!$B$2:$S$595,17,0)</f>
        <v>081998881923</v>
      </c>
      <c r="I179" s="46" t="str">
        <f>VLOOKUP($B179,master!$B$2:$S$595,8,0)</f>
        <v>KARANGMOJO</v>
      </c>
      <c r="J179" s="46" t="str">
        <f>VLOOKUP($B179,master!$B$2:$S$595,9,0)</f>
        <v>4</v>
      </c>
      <c r="K179" s="46" t="str">
        <f>VLOOKUP($B179,master!$B$2:$S$595,11,0)</f>
        <v>TRIRENGGO</v>
      </c>
      <c r="L179" s="46" t="str">
        <f>VLOOKUP($B179,master!$B$2:$S$595,12,0)</f>
        <v>BANTUL</v>
      </c>
      <c r="M179" s="46" t="str">
        <f>VLOOKUP($B179,master!$B$2:$S$595,6,0)</f>
        <v>CANDRA SETYA</v>
      </c>
      <c r="N179" s="58" t="str">
        <f>VLOOKUP($B179,master!$B$2:$S$595,15,0)</f>
        <v>SMP N 1 BAMBANGLIPURO</v>
      </c>
      <c r="O179" s="58" t="str">
        <f>VLOOKUP($B179,master!$B$2:$S$595,4,0)</f>
        <v>11-02-2010</v>
      </c>
    </row>
    <row r="180" spans="1:15" ht="15.75" customHeight="1" x14ac:dyDescent="0.25">
      <c r="A180" s="56" t="s">
        <v>262</v>
      </c>
      <c r="B180" s="90" t="s">
        <v>3890</v>
      </c>
      <c r="C180" s="88" t="s">
        <v>4237</v>
      </c>
      <c r="D180" s="90" t="s">
        <v>3891</v>
      </c>
      <c r="E180" s="45" t="str">
        <f>VLOOKUP(D180,Total!$C$2:$D$439,2,0)</f>
        <v>10 TKR 4</v>
      </c>
      <c r="F180" s="45" t="str">
        <f>VLOOKUP(C180,Total!$B$2:$F$439,5,0)</f>
        <v>AKTIF</v>
      </c>
      <c r="G180" s="46" t="str">
        <f>VLOOKUP($B180,master!$B$2:$S$595,16,0)</f>
        <v>082155692808</v>
      </c>
      <c r="H180" s="46" t="str">
        <f>VLOOKUP($B180,master!$B$2:$S$595,17,0)</f>
        <v>0882005537198</v>
      </c>
      <c r="I180" s="46" t="str">
        <f>VLOOKUP($B180,master!$B$2:$S$595,8,0)</f>
        <v>GLONDONG BIBIS</v>
      </c>
      <c r="J180" s="46" t="str">
        <f>VLOOKUP($B180,master!$B$2:$S$595,9,0)</f>
        <v>6</v>
      </c>
      <c r="K180" s="46" t="str">
        <f>VLOOKUP($B180,master!$B$2:$S$595,11,0)</f>
        <v>TIMBULHARJO</v>
      </c>
      <c r="L180" s="46" t="str">
        <f>VLOOKUP($B180,master!$B$2:$S$595,12,0)</f>
        <v>SEWON</v>
      </c>
      <c r="M180" s="46" t="str">
        <f>VLOOKUP($B180,master!$B$2:$S$595,6,0)</f>
        <v>NANIK SUHARTINI</v>
      </c>
      <c r="N180" s="58" t="str">
        <f>VLOOKUP($B180,master!$B$2:$S$595,15,0)</f>
        <v>SMP MUHAMMADIYAH PLERET</v>
      </c>
      <c r="O180" s="58" t="str">
        <f>VLOOKUP($B180,master!$B$2:$S$595,4,0)</f>
        <v>5-03-2010</v>
      </c>
    </row>
    <row r="181" spans="1:15" ht="15.75" customHeight="1" x14ac:dyDescent="0.25">
      <c r="A181" s="56" t="s">
        <v>263</v>
      </c>
      <c r="B181" s="90" t="s">
        <v>3801</v>
      </c>
      <c r="C181" s="88" t="s">
        <v>4238</v>
      </c>
      <c r="D181" s="90" t="s">
        <v>3802</v>
      </c>
      <c r="E181" s="45" t="str">
        <f>VLOOKUP(D181,Total!$C$2:$D$439,2,0)</f>
        <v>10 TKR 4</v>
      </c>
      <c r="F181" s="45" t="str">
        <f>VLOOKUP(C181,Total!$B$2:$F$439,5,0)</f>
        <v>AKTIF</v>
      </c>
      <c r="G181" s="46" t="str">
        <f>VLOOKUP($B181,master!$B$2:$S$595,16,0)</f>
        <v>0895364841323</v>
      </c>
      <c r="H181" s="46" t="str">
        <f>VLOOKUP($B181,master!$B$2:$S$595,17,0)</f>
        <v>089531072483</v>
      </c>
      <c r="I181" s="46" t="str">
        <f>VLOOKUP($B181,master!$B$2:$S$595,8,0)</f>
        <v>PLESAN</v>
      </c>
      <c r="J181" s="46" t="str">
        <f>VLOOKUP($B181,master!$B$2:$S$595,9,0)</f>
        <v>01</v>
      </c>
      <c r="K181" s="46" t="str">
        <f>VLOOKUP($B181,master!$B$2:$S$595,11,0)</f>
        <v>TIRTOMULYO</v>
      </c>
      <c r="L181" s="46" t="str">
        <f>VLOOKUP($B181,master!$B$2:$S$595,12,0)</f>
        <v>KRETEK</v>
      </c>
      <c r="M181" s="46" t="str">
        <f>VLOOKUP($B181,master!$B$2:$S$595,6,0)</f>
        <v>RUMIYATI</v>
      </c>
      <c r="N181" s="58" t="str">
        <f>VLOOKUP($B181,master!$B$2:$S$595,15,0)</f>
        <v>SMP N 1 KRETEK</v>
      </c>
      <c r="O181" s="58" t="str">
        <f>VLOOKUP($B181,master!$B$2:$S$595,4,0)</f>
        <v>15-09-2009</v>
      </c>
    </row>
    <row r="182" spans="1:15" ht="15.75" customHeight="1" x14ac:dyDescent="0.25">
      <c r="A182" s="56" t="s">
        <v>264</v>
      </c>
      <c r="B182" s="90" t="s">
        <v>2445</v>
      </c>
      <c r="C182" s="88" t="s">
        <v>4239</v>
      </c>
      <c r="D182" s="90" t="s">
        <v>2446</v>
      </c>
      <c r="E182" s="45" t="str">
        <f>VLOOKUP(D182,Total!$C$2:$D$439,2,0)</f>
        <v>10 TKR 4</v>
      </c>
      <c r="F182" s="45" t="str">
        <f>VLOOKUP(C182,Total!$B$2:$F$439,5,0)</f>
        <v>AKTIF</v>
      </c>
      <c r="G182" s="46" t="str">
        <f>VLOOKUP($B182,master!$B$2:$S$595,16,0)</f>
        <v>082326209731</v>
      </c>
      <c r="H182" s="46" t="str">
        <f>VLOOKUP($B182,master!$B$2:$S$595,17,0)</f>
        <v>082326209731</v>
      </c>
      <c r="I182" s="46" t="str">
        <f>VLOOKUP($B182,master!$B$2:$S$595,8,0)</f>
        <v>TERONG 11</v>
      </c>
      <c r="J182" s="46" t="str">
        <f>VLOOKUP($B182,master!$B$2:$S$595,9,0)</f>
        <v>05</v>
      </c>
      <c r="K182" s="46" t="str">
        <f>VLOOKUP($B182,master!$B$2:$S$595,11,0)</f>
        <v>TERONG</v>
      </c>
      <c r="L182" s="46" t="str">
        <f>VLOOKUP($B182,master!$B$2:$S$595,12,0)</f>
        <v>DLINGO</v>
      </c>
      <c r="M182" s="46" t="str">
        <f>VLOOKUP($B182,master!$B$2:$S$595,6,0)</f>
        <v>Agus fahnuri</v>
      </c>
      <c r="N182" s="58" t="str">
        <f>VLOOKUP($B182,master!$B$2:$S$595,15,0)</f>
        <v>SMP N 1 DLINGO</v>
      </c>
      <c r="O182" s="58" t="str">
        <f>VLOOKUP($B182,master!$B$2:$S$595,4,0)</f>
        <v>23-08-2009</v>
      </c>
    </row>
    <row r="183" spans="1:15" ht="15.75" customHeight="1" x14ac:dyDescent="0.25">
      <c r="A183" s="56" t="s">
        <v>265</v>
      </c>
      <c r="B183" s="91" t="s">
        <v>1287</v>
      </c>
      <c r="C183" s="88" t="s">
        <v>4240</v>
      </c>
      <c r="D183" s="91" t="s">
        <v>1288</v>
      </c>
      <c r="E183" s="45" t="str">
        <f>VLOOKUP(D183,Total!$C$2:$D$439,2,0)</f>
        <v>10 TKR 4</v>
      </c>
      <c r="F183" s="45" t="str">
        <f>VLOOKUP(C183,Total!$B$2:$F$439,5,0)</f>
        <v>AKTIF</v>
      </c>
      <c r="G183" s="46" t="str">
        <f>VLOOKUP($B183,master!$B$2:$S$595,16,0)</f>
        <v>081392282258</v>
      </c>
      <c r="H183" s="46" t="str">
        <f>VLOOKUP($B183,master!$B$2:$S$595,17,0)</f>
        <v>081392282258</v>
      </c>
      <c r="I183" s="46" t="str">
        <f>VLOOKUP($B183,master!$B$2:$S$595,8,0)</f>
        <v>GUPIT</v>
      </c>
      <c r="J183" s="46" t="str">
        <f>VLOOKUP($B183,master!$B$2:$S$595,9,0)</f>
        <v>17</v>
      </c>
      <c r="K183" s="46" t="str">
        <f>VLOOKUP($B183,master!$B$2:$S$595,11,0)</f>
        <v>KARANG SEWU</v>
      </c>
      <c r="L183" s="46" t="str">
        <f>VLOOKUP($B183,master!$B$2:$S$595,12,0)</f>
        <v>GALUR</v>
      </c>
      <c r="M183" s="46" t="str">
        <f>VLOOKUP($B183,master!$B$2:$S$595,6,0)</f>
        <v>ARI KURNIAWATI</v>
      </c>
      <c r="N183" s="58" t="str">
        <f>VLOOKUP($B183,master!$B$2:$S$595,15,0)</f>
        <v>SMP MUHAMMADIYAH 1 LENDAH</v>
      </c>
      <c r="O183" s="58" t="str">
        <f>VLOOKUP($B183,master!$B$2:$S$595,4,0)</f>
        <v>9-05-2010</v>
      </c>
    </row>
    <row r="184" spans="1:15" ht="15.75" customHeight="1" x14ac:dyDescent="0.25">
      <c r="A184" s="56" t="s">
        <v>266</v>
      </c>
      <c r="B184" s="90" t="s">
        <v>3482</v>
      </c>
      <c r="C184" s="88" t="s">
        <v>4241</v>
      </c>
      <c r="D184" s="90" t="s">
        <v>3483</v>
      </c>
      <c r="E184" s="45" t="str">
        <f>VLOOKUP(D184,Total!$C$2:$D$439,2,0)</f>
        <v>10 TKR 4</v>
      </c>
      <c r="F184" s="45" t="str">
        <f>VLOOKUP(C184,Total!$B$2:$F$439,5,0)</f>
        <v>AKTIF</v>
      </c>
      <c r="G184" s="46" t="str">
        <f>VLOOKUP($B184,master!$B$2:$S$595,16,0)</f>
        <v>085602897723</v>
      </c>
      <c r="H184" s="46" t="str">
        <f>VLOOKUP($B184,master!$B$2:$S$595,17,0)</f>
        <v>088216335615</v>
      </c>
      <c r="I184" s="46" t="str">
        <f>VLOOKUP($B184,master!$B$2:$S$595,8,0)</f>
        <v>BOTOKENCENG</v>
      </c>
      <c r="J184" s="46" t="str">
        <f>VLOOKUP($B184,master!$B$2:$S$595,9,0)</f>
        <v>002</v>
      </c>
      <c r="K184" s="46" t="str">
        <f>VLOOKUP($B184,master!$B$2:$S$595,11,0)</f>
        <v>WIROKERTEN</v>
      </c>
      <c r="L184" s="46" t="str">
        <f>VLOOKUP($B184,master!$B$2:$S$595,12,0)</f>
        <v>BANGUNTAPAN</v>
      </c>
      <c r="M184" s="46" t="str">
        <f>VLOOKUP($B184,master!$B$2:$S$595,6,0)</f>
        <v>AZAM SUSILO</v>
      </c>
      <c r="N184" s="58" t="str">
        <f>VLOOKUP($B184,master!$B$2:$S$595,15,0)</f>
        <v>SMP N 4 BANGUNTAPAN</v>
      </c>
      <c r="O184" s="58" t="str">
        <f>VLOOKUP($B184,master!$B$2:$S$595,4,0)</f>
        <v>17-05-2009</v>
      </c>
    </row>
    <row r="185" spans="1:15" ht="15.75" customHeight="1" x14ac:dyDescent="0.25">
      <c r="A185" s="56" t="s">
        <v>267</v>
      </c>
      <c r="B185" s="90" t="s">
        <v>3879</v>
      </c>
      <c r="C185" s="88" t="s">
        <v>4242</v>
      </c>
      <c r="D185" s="90" t="s">
        <v>3880</v>
      </c>
      <c r="E185" s="45" t="str">
        <f>VLOOKUP(D185,Total!$C$2:$D$439,2,0)</f>
        <v>10 TKR 4</v>
      </c>
      <c r="F185" s="45" t="str">
        <f>VLOOKUP(C185,Total!$B$2:$F$439,5,0)</f>
        <v>AKTIF</v>
      </c>
      <c r="G185" s="46" t="str">
        <f>VLOOKUP($B185,master!$B$2:$S$595,16,0)</f>
        <v>085826056082</v>
      </c>
      <c r="H185" s="46" t="str">
        <f>VLOOKUP($B185,master!$B$2:$S$595,17,0)</f>
        <v>085743372267</v>
      </c>
      <c r="I185" s="46" t="str">
        <f>VLOOKUP($B185,master!$B$2:$S$595,8,0)</f>
        <v>MELIKAN KIDUL</v>
      </c>
      <c r="J185" s="46" t="str">
        <f>VLOOKUP($B185,master!$B$2:$S$595,9,0)</f>
        <v>006</v>
      </c>
      <c r="K185" s="46" t="str">
        <f>VLOOKUP($B185,master!$B$2:$S$595,11,0)</f>
        <v>BANTUL</v>
      </c>
      <c r="L185" s="46" t="str">
        <f>VLOOKUP($B185,master!$B$2:$S$595,12,0)</f>
        <v>BANTUL</v>
      </c>
      <c r="M185" s="46" t="str">
        <f>VLOOKUP($B185,master!$B$2:$S$595,6,0)</f>
        <v>AJI NUGROHO PRIANTO</v>
      </c>
      <c r="N185" s="58" t="str">
        <f>VLOOKUP($B185,master!$B$2:$S$595,15,0)</f>
        <v>MTS N 4 BANTUL</v>
      </c>
      <c r="O185" s="58" t="str">
        <f>VLOOKUP($B185,master!$B$2:$S$595,4,0)</f>
        <v>17-12-2009</v>
      </c>
    </row>
    <row r="186" spans="1:15" ht="15.75" customHeight="1" x14ac:dyDescent="0.25">
      <c r="A186" s="56" t="s">
        <v>268</v>
      </c>
      <c r="B186" s="90" t="s">
        <v>3818</v>
      </c>
      <c r="C186" s="88" t="s">
        <v>4243</v>
      </c>
      <c r="D186" s="90" t="s">
        <v>3819</v>
      </c>
      <c r="E186" s="45" t="str">
        <f>VLOOKUP(D186,Total!$C$2:$D$439,2,0)</f>
        <v>10 TKR 4</v>
      </c>
      <c r="F186" s="45" t="str">
        <f>VLOOKUP(C186,Total!$B$2:$F$439,5,0)</f>
        <v>AKTIF</v>
      </c>
      <c r="G186" s="46" t="str">
        <f>VLOOKUP($B186,master!$B$2:$S$595,16,0)</f>
        <v>089601492812</v>
      </c>
      <c r="H186" s="46" t="str">
        <f>VLOOKUP($B186,master!$B$2:$S$595,17,0)</f>
        <v>089601492812</v>
      </c>
      <c r="I186" s="46" t="str">
        <f>VLOOKUP($B186,master!$B$2:$S$595,8,0)</f>
        <v>PACETAN</v>
      </c>
      <c r="J186" s="46" t="str">
        <f>VLOOKUP($B186,master!$B$2:$S$595,9,0)</f>
        <v>20</v>
      </c>
      <c r="K186" s="46" t="str">
        <f>VLOOKUP($B186,master!$B$2:$S$595,11,0)</f>
        <v>PENDOWOHARJO</v>
      </c>
      <c r="L186" s="46" t="str">
        <f>VLOOKUP($B186,master!$B$2:$S$595,12,0)</f>
        <v>SEWON</v>
      </c>
      <c r="M186" s="46" t="str">
        <f>VLOOKUP($B186,master!$B$2:$S$595,6,0)</f>
        <v>SUPARMAN</v>
      </c>
      <c r="N186" s="58" t="str">
        <f>VLOOKUP($B186,master!$B$2:$S$595,15,0)</f>
        <v>SMP MUHAMMADIYAH SEWON</v>
      </c>
      <c r="O186" s="58" t="str">
        <f>VLOOKUP($B186,master!$B$2:$S$595,4,0)</f>
        <v>16-04-2010</v>
      </c>
    </row>
    <row r="187" spans="1:15" ht="15.75" customHeight="1" x14ac:dyDescent="0.25">
      <c r="A187" s="56" t="s">
        <v>269</v>
      </c>
      <c r="B187" s="90" t="s">
        <v>1922</v>
      </c>
      <c r="C187" s="88" t="s">
        <v>4244</v>
      </c>
      <c r="D187" s="90" t="s">
        <v>1923</v>
      </c>
      <c r="E187" s="45" t="str">
        <f>VLOOKUP(D187,Total!$C$2:$D$439,2,0)</f>
        <v>10 TKR 4</v>
      </c>
      <c r="F187" s="45" t="str">
        <f>VLOOKUP(C187,Total!$B$2:$F$439,5,0)</f>
        <v>AKTIF</v>
      </c>
      <c r="G187" s="46" t="str">
        <f>VLOOKUP($B187,master!$B$2:$S$595,16,0)</f>
        <v>0895345286335</v>
      </c>
      <c r="H187" s="46" t="str">
        <f>VLOOKUP($B187,master!$B$2:$S$595,17,0)</f>
        <v>-</v>
      </c>
      <c r="I187" s="46" t="str">
        <f>VLOOKUP($B187,master!$B$2:$S$595,8,0)</f>
        <v>GEDONGSARI</v>
      </c>
      <c r="J187" s="46" t="str">
        <f>VLOOKUP($B187,master!$B$2:$S$595,9,0)</f>
        <v>2</v>
      </c>
      <c r="K187" s="46" t="str">
        <f>VLOOKUP($B187,master!$B$2:$S$595,11,0)</f>
        <v>WIJIREJO</v>
      </c>
      <c r="L187" s="46" t="str">
        <f>VLOOKUP($B187,master!$B$2:$S$595,12,0)</f>
        <v>PANDAK</v>
      </c>
      <c r="M187" s="46" t="str">
        <f>VLOOKUP($B187,master!$B$2:$S$595,6,0)</f>
        <v>ANUGRAH TRI LESTARI</v>
      </c>
      <c r="N187" s="58" t="str">
        <f>VLOOKUP($B187,master!$B$2:$S$595,15,0)</f>
        <v>SMP N 3 PANDAK</v>
      </c>
      <c r="O187" s="58" t="str">
        <f>VLOOKUP($B187,master!$B$2:$S$595,4,0)</f>
        <v>12-03-2010</v>
      </c>
    </row>
    <row r="188" spans="1:15" ht="15.75" customHeight="1" x14ac:dyDescent="0.25">
      <c r="A188" s="56" t="s">
        <v>270</v>
      </c>
      <c r="B188" s="90" t="s">
        <v>3747</v>
      </c>
      <c r="C188" s="88" t="s">
        <v>4245</v>
      </c>
      <c r="D188" s="90" t="s">
        <v>3748</v>
      </c>
      <c r="E188" s="45" t="str">
        <f>VLOOKUP(D188,Total!$C$2:$D$439,2,0)</f>
        <v>10 TKR 4</v>
      </c>
      <c r="F188" s="45" t="str">
        <f>VLOOKUP(C188,Total!$B$2:$F$439,5,0)</f>
        <v>AKTIF</v>
      </c>
      <c r="G188" s="46" t="str">
        <f>VLOOKUP($B188,master!$B$2:$S$595,16,0)</f>
        <v>081327263816</v>
      </c>
      <c r="H188" s="46" t="str">
        <f>VLOOKUP($B188,master!$B$2:$S$595,17,0)</f>
        <v>081228447946</v>
      </c>
      <c r="I188" s="46" t="str">
        <f>VLOOKUP($B188,master!$B$2:$S$595,8,0)</f>
        <v>JOGONALAN LOR</v>
      </c>
      <c r="J188" s="46" t="str">
        <f>VLOOKUP($B188,master!$B$2:$S$595,9,0)</f>
        <v>04</v>
      </c>
      <c r="K188" s="46" t="str">
        <f>VLOOKUP($B188,master!$B$2:$S$595,11,0)</f>
        <v>TIRTONIRMOLO</v>
      </c>
      <c r="L188" s="46" t="str">
        <f>VLOOKUP($B188,master!$B$2:$S$595,12,0)</f>
        <v>KASIHAN</v>
      </c>
      <c r="M188" s="46" t="str">
        <f>VLOOKUP($B188,master!$B$2:$S$595,6,0)</f>
        <v>YATI FITRIYANI</v>
      </c>
      <c r="N188" s="58" t="str">
        <f>VLOOKUP($B188,master!$B$2:$S$595,15,0)</f>
        <v>SMP MUHAMMADIYAH 5 YOGYAKARTA</v>
      </c>
      <c r="O188" s="58" t="str">
        <f>VLOOKUP($B188,master!$B$2:$S$595,4,0)</f>
        <v>6-10-2009</v>
      </c>
    </row>
    <row r="189" spans="1:15" ht="15.75" customHeight="1" x14ac:dyDescent="0.25">
      <c r="A189" s="56" t="s">
        <v>271</v>
      </c>
      <c r="B189" s="90" t="s">
        <v>1516</v>
      </c>
      <c r="C189" s="88" t="s">
        <v>4246</v>
      </c>
      <c r="D189" s="90" t="s">
        <v>1517</v>
      </c>
      <c r="E189" s="45" t="str">
        <f>VLOOKUP(D189,Total!$C$2:$D$439,2,0)</f>
        <v>10 TKR 4</v>
      </c>
      <c r="F189" s="45" t="str">
        <f>VLOOKUP(C189,Total!$B$2:$F$439,5,0)</f>
        <v>AKTIF</v>
      </c>
      <c r="G189" s="46" t="str">
        <f>VLOOKUP($B189,master!$B$2:$S$595,16,0)</f>
        <v>082324477753</v>
      </c>
      <c r="H189" s="46" t="str">
        <f>VLOOKUP($B189,master!$B$2:$S$595,17,0)</f>
        <v>082328199158</v>
      </c>
      <c r="I189" s="46" t="str">
        <f>VLOOKUP($B189,master!$B$2:$S$595,8,0)</f>
        <v>WATUGAJAH</v>
      </c>
      <c r="J189" s="46" t="str">
        <f>VLOOKUP($B189,master!$B$2:$S$595,9,0)</f>
        <v>16</v>
      </c>
      <c r="K189" s="46" t="str">
        <f>VLOOKUP($B189,master!$B$2:$S$595,11,0)</f>
        <v>GIRIJATI</v>
      </c>
      <c r="L189" s="46" t="str">
        <f>VLOOKUP($B189,master!$B$2:$S$595,12,0)</f>
        <v>PURWOSARI</v>
      </c>
      <c r="M189" s="46" t="str">
        <f>VLOOKUP($B189,master!$B$2:$S$595,6,0)</f>
        <v>SARBINAH</v>
      </c>
      <c r="N189" s="58" t="str">
        <f>VLOOKUP($B189,master!$B$2:$S$595,15,0)</f>
        <v>SMP N 2 PURWOSARI</v>
      </c>
      <c r="O189" s="58" t="str">
        <f>VLOOKUP($B189,master!$B$2:$S$595,4,0)</f>
        <v>5-10-2009</v>
      </c>
    </row>
    <row r="190" spans="1:15" ht="15.75" customHeight="1" x14ac:dyDescent="0.25">
      <c r="A190" s="56" t="s">
        <v>272</v>
      </c>
      <c r="B190" s="90" t="s">
        <v>3694</v>
      </c>
      <c r="C190" s="88" t="s">
        <v>4247</v>
      </c>
      <c r="D190" s="90" t="s">
        <v>3695</v>
      </c>
      <c r="E190" s="45" t="str">
        <f>VLOOKUP(D190,Total!$C$2:$D$439,2,0)</f>
        <v>10 TKR 4</v>
      </c>
      <c r="F190" s="45" t="str">
        <f>VLOOKUP(C190,Total!$B$2:$F$439,5,0)</f>
        <v>AKTIF</v>
      </c>
      <c r="G190" s="46" t="str">
        <f>VLOOKUP($B190,master!$B$2:$S$595,16,0)</f>
        <v>0895412758040</v>
      </c>
      <c r="H190" s="46" t="str">
        <f>VLOOKUP($B190,master!$B$2:$S$595,17,0)</f>
        <v>0895412758040</v>
      </c>
      <c r="I190" s="46" t="str">
        <f>VLOOKUP($B190,master!$B$2:$S$595,8,0)</f>
        <v>MANDING</v>
      </c>
      <c r="J190" s="46" t="str">
        <f>VLOOKUP($B190,master!$B$2:$S$595,9,0)</f>
        <v>5</v>
      </c>
      <c r="K190" s="46" t="str">
        <f>VLOOKUP($B190,master!$B$2:$S$595,11,0)</f>
        <v>TRIRENGGO</v>
      </c>
      <c r="L190" s="46" t="str">
        <f>VLOOKUP($B190,master!$B$2:$S$595,12,0)</f>
        <v>BANTUL</v>
      </c>
      <c r="M190" s="46" t="str">
        <f>VLOOKUP($B190,master!$B$2:$S$595,6,0)</f>
        <v>WANTARA</v>
      </c>
      <c r="N190" s="58" t="str">
        <f>VLOOKUP($B190,master!$B$2:$S$595,15,0)</f>
        <v>SMP N 1 BANTUL</v>
      </c>
      <c r="O190" s="58" t="str">
        <f>VLOOKUP($B190,master!$B$2:$S$595,4,0)</f>
        <v>15-06-2009</v>
      </c>
    </row>
    <row r="191" spans="1:15" ht="15.75" customHeight="1" x14ac:dyDescent="0.25">
      <c r="A191" s="56" t="s">
        <v>273</v>
      </c>
      <c r="B191" s="90" t="s">
        <v>2635</v>
      </c>
      <c r="C191" s="88" t="s">
        <v>4248</v>
      </c>
      <c r="D191" s="90" t="s">
        <v>2636</v>
      </c>
      <c r="E191" s="45" t="str">
        <f>VLOOKUP(D191,Total!$C$2:$D$439,2,0)</f>
        <v>10 TKR 4</v>
      </c>
      <c r="F191" s="45" t="str">
        <f>VLOOKUP(C191,Total!$B$2:$F$439,5,0)</f>
        <v>AKTIF</v>
      </c>
      <c r="G191" s="46" t="str">
        <f>VLOOKUP($B191,master!$B$2:$S$595,16,0)</f>
        <v>+62 822-9167-7345/087810651215</v>
      </c>
      <c r="H191" s="46" t="str">
        <f>VLOOKUP($B191,master!$B$2:$S$595,17,0)</f>
        <v>+62 878-1065-12</v>
      </c>
      <c r="I191" s="46" t="str">
        <f>VLOOKUP($B191,master!$B$2:$S$595,8,0)</f>
        <v>BAJANG</v>
      </c>
      <c r="J191" s="46" t="str">
        <f>VLOOKUP($B191,master!$B$2:$S$595,9,0)</f>
        <v>03</v>
      </c>
      <c r="K191" s="46" t="str">
        <f>VLOOKUP($B191,master!$B$2:$S$595,11,0)</f>
        <v>WIJIREJO</v>
      </c>
      <c r="L191" s="46" t="str">
        <f>VLOOKUP($B191,master!$B$2:$S$595,12,0)</f>
        <v>PANDAK</v>
      </c>
      <c r="M191" s="46" t="str">
        <f>VLOOKUP($B191,master!$B$2:$S$595,6,0)</f>
        <v>Iswanto</v>
      </c>
      <c r="N191" s="58" t="str">
        <f>VLOOKUP($B191,master!$B$2:$S$595,15,0)</f>
        <v>SMP N 1 PANDAK</v>
      </c>
      <c r="O191" s="58" t="str">
        <f>VLOOKUP($B191,master!$B$2:$S$595,4,0)</f>
        <v>3-09-2009</v>
      </c>
    </row>
    <row r="192" spans="1:15" ht="15.75" customHeight="1" x14ac:dyDescent="0.25">
      <c r="A192" s="56" t="s">
        <v>274</v>
      </c>
      <c r="B192" s="90" t="s">
        <v>3954</v>
      </c>
      <c r="C192" s="88" t="s">
        <v>4249</v>
      </c>
      <c r="D192" s="90" t="s">
        <v>3955</v>
      </c>
      <c r="E192" s="45" t="str">
        <f>VLOOKUP(D192,Total!$C$2:$D$439,2,0)</f>
        <v>10 TKR 4</v>
      </c>
      <c r="F192" s="45" t="str">
        <f>VLOOKUP(C192,Total!$B$2:$F$439,5,0)</f>
        <v>AKTIF</v>
      </c>
      <c r="G192" s="46" t="str">
        <f>VLOOKUP($B192,master!$B$2:$S$595,16,0)</f>
        <v>083150032382</v>
      </c>
      <c r="H192" s="46" t="str">
        <f>VLOOKUP($B192,master!$B$2:$S$595,17,0)</f>
        <v>083150032382</v>
      </c>
      <c r="I192" s="46" t="str">
        <f>VLOOKUP($B192,master!$B$2:$S$595,8,0)</f>
        <v>KADISOBO</v>
      </c>
      <c r="J192" s="46" t="str">
        <f>VLOOKUP($B192,master!$B$2:$S$595,9,0)</f>
        <v>7</v>
      </c>
      <c r="K192" s="46" t="str">
        <f>VLOOKUP($B192,master!$B$2:$S$595,11,0)</f>
        <v>GIRIMULYO</v>
      </c>
      <c r="L192" s="46" t="str">
        <f>VLOOKUP($B192,master!$B$2:$S$595,12,0)</f>
        <v>PANGGANG</v>
      </c>
      <c r="M192" s="46" t="str">
        <f>VLOOKUP($B192,master!$B$2:$S$595,6,0)</f>
        <v>SUYATMAN</v>
      </c>
      <c r="N192" s="58" t="str">
        <f>VLOOKUP($B192,master!$B$2:$S$595,15,0)</f>
        <v>SMP N 2 PANGGANG</v>
      </c>
      <c r="O192" s="58" t="str">
        <f>VLOOKUP($B192,master!$B$2:$S$595,4,0)</f>
        <v>25-12-2008</v>
      </c>
    </row>
    <row r="193" spans="1:15" ht="15.75" customHeight="1" x14ac:dyDescent="0.25">
      <c r="A193" s="56" t="s">
        <v>275</v>
      </c>
      <c r="B193" s="91" t="s">
        <v>738</v>
      </c>
      <c r="C193" s="88" t="s">
        <v>4250</v>
      </c>
      <c r="D193" s="91" t="s">
        <v>739</v>
      </c>
      <c r="E193" s="45" t="str">
        <f>VLOOKUP(D193,Total!$C$2:$D$439,2,0)</f>
        <v>10 TKR 4</v>
      </c>
      <c r="F193" s="45" t="str">
        <f>VLOOKUP(C193,Total!$B$2:$F$439,5,0)</f>
        <v>AKTIF</v>
      </c>
      <c r="G193" s="46" t="str">
        <f>VLOOKUP($B193,master!$B$2:$S$595,16,0)</f>
        <v>085712643658</v>
      </c>
      <c r="H193" s="46">
        <f>VLOOKUP($B193,master!$B$2:$S$595,17,0)</f>
        <v>0</v>
      </c>
      <c r="I193" s="46" t="str">
        <f>VLOOKUP($B193,master!$B$2:$S$595,8,0)</f>
        <v>JODOG</v>
      </c>
      <c r="J193" s="46" t="str">
        <f>VLOOKUP($B193,master!$B$2:$S$595,9,0)</f>
        <v>5</v>
      </c>
      <c r="K193" s="46" t="str">
        <f>VLOOKUP($B193,master!$B$2:$S$595,11,0)</f>
        <v>GILANGHARJO</v>
      </c>
      <c r="L193" s="46" t="str">
        <f>VLOOKUP($B193,master!$B$2:$S$595,12,0)</f>
        <v>PANDAK</v>
      </c>
      <c r="M193" s="46" t="str">
        <f>VLOOKUP($B193,master!$B$2:$S$595,6,0)</f>
        <v>ABDUL HAMID</v>
      </c>
      <c r="N193" s="58" t="str">
        <f>VLOOKUP($B193,master!$B$2:$S$595,15,0)</f>
        <v>SMP N 3 PANDAK</v>
      </c>
      <c r="O193" s="58" t="str">
        <f>VLOOKUP($B193,master!$B$2:$S$595,4,0)</f>
        <v>7-01-2010</v>
      </c>
    </row>
    <row r="194" spans="1:15" ht="15.75" customHeight="1" x14ac:dyDescent="0.25">
      <c r="A194" s="56" t="s">
        <v>276</v>
      </c>
      <c r="B194" s="90" t="s">
        <v>1498</v>
      </c>
      <c r="C194" s="88" t="s">
        <v>4251</v>
      </c>
      <c r="D194" s="90" t="s">
        <v>1499</v>
      </c>
      <c r="E194" s="45" t="str">
        <f>VLOOKUP(D194,Total!$C$2:$D$439,2,0)</f>
        <v>10 TKR 4</v>
      </c>
      <c r="F194" s="45" t="str">
        <f>VLOOKUP(C194,Total!$B$2:$F$439,5,0)</f>
        <v>AKTIF</v>
      </c>
      <c r="G194" s="46" t="str">
        <f>VLOOKUP($B194,master!$B$2:$S$595,16,0)</f>
        <v>081215153533</v>
      </c>
      <c r="H194" s="46" t="str">
        <f>VLOOKUP($B194,master!$B$2:$S$595,17,0)</f>
        <v>089614445000</v>
      </c>
      <c r="I194" s="46" t="str">
        <f>VLOOKUP($B194,master!$B$2:$S$595,8,0)</f>
        <v>BANDUNG</v>
      </c>
      <c r="J194" s="46" t="str">
        <f>VLOOKUP($B194,master!$B$2:$S$595,9,0)</f>
        <v>30</v>
      </c>
      <c r="K194" s="46" t="str">
        <f>VLOOKUP($B194,master!$B$2:$S$595,11,0)</f>
        <v>PENDOWOHARJO</v>
      </c>
      <c r="L194" s="46" t="str">
        <f>VLOOKUP($B194,master!$B$2:$S$595,12,0)</f>
        <v>SEWON</v>
      </c>
      <c r="M194" s="46" t="str">
        <f>VLOOKUP($B194,master!$B$2:$S$595,6,0)</f>
        <v>WINTOLO</v>
      </c>
      <c r="N194" s="58" t="str">
        <f>VLOOKUP($B194,master!$B$2:$S$595,15,0)</f>
        <v>SMP N 4 SEWON</v>
      </c>
      <c r="O194" s="58" t="str">
        <f>VLOOKUP($B194,master!$B$2:$S$595,4,0)</f>
        <v>25-03-2010</v>
      </c>
    </row>
    <row r="195" spans="1:15" ht="15.75" customHeight="1" x14ac:dyDescent="0.25">
      <c r="A195" s="56" t="s">
        <v>277</v>
      </c>
      <c r="B195" s="90" t="s">
        <v>2543</v>
      </c>
      <c r="C195" s="88" t="s">
        <v>4252</v>
      </c>
      <c r="D195" s="90" t="s">
        <v>2544</v>
      </c>
      <c r="E195" s="45" t="str">
        <f>VLOOKUP(D195,Total!$C$2:$D$439,2,0)</f>
        <v>10 TKR 4</v>
      </c>
      <c r="F195" s="45" t="str">
        <f>VLOOKUP(C195,Total!$B$2:$F$439,5,0)</f>
        <v>AKTIF</v>
      </c>
      <c r="G195" s="46" t="str">
        <f>VLOOKUP($B195,master!$B$2:$S$595,16,0)</f>
        <v>085801288117</v>
      </c>
      <c r="H195" s="46" t="str">
        <f>VLOOKUP($B195,master!$B$2:$S$595,17,0)</f>
        <v>088216603907</v>
      </c>
      <c r="I195" s="46" t="str">
        <f>VLOOKUP($B195,master!$B$2:$S$595,8,0)</f>
        <v>BETON</v>
      </c>
      <c r="J195" s="46" t="str">
        <f>VLOOKUP($B195,master!$B$2:$S$595,9,0)</f>
        <v>4</v>
      </c>
      <c r="K195" s="46" t="str">
        <f>VLOOKUP($B195,master!$B$2:$S$595,11,0)</f>
        <v>TIRTONIRMOLO</v>
      </c>
      <c r="L195" s="46" t="str">
        <f>VLOOKUP($B195,master!$B$2:$S$595,12,0)</f>
        <v>KASIHAN</v>
      </c>
      <c r="M195" s="46" t="str">
        <f>VLOOKUP($B195,master!$B$2:$S$595,6,0)</f>
        <v>DWI NURYANTO</v>
      </c>
      <c r="N195" s="58" t="str">
        <f>VLOOKUP($B195,master!$B$2:$S$595,15,0)</f>
        <v>SMP MUHAMMADIYAH BANTUL</v>
      </c>
      <c r="O195" s="58" t="str">
        <f>VLOOKUP($B195,master!$B$2:$S$595,4,0)</f>
        <v>11-05-2009</v>
      </c>
    </row>
    <row r="196" spans="1:15" ht="15.75" customHeight="1" x14ac:dyDescent="0.25">
      <c r="A196" s="56" t="s">
        <v>278</v>
      </c>
      <c r="B196" s="90" t="s">
        <v>3947</v>
      </c>
      <c r="C196" s="88" t="s">
        <v>4253</v>
      </c>
      <c r="D196" s="90" t="s">
        <v>3948</v>
      </c>
      <c r="E196" s="45" t="str">
        <f>VLOOKUP(D196,Total!$C$2:$D$439,2,0)</f>
        <v>10 TKR 4</v>
      </c>
      <c r="F196" s="45" t="str">
        <f>VLOOKUP(C196,Total!$B$2:$F$439,5,0)</f>
        <v>AKTIF</v>
      </c>
      <c r="G196" s="46" t="str">
        <f>VLOOKUP($B196,master!$B$2:$S$595,16,0)</f>
        <v>0882003686604</v>
      </c>
      <c r="H196" s="46" t="str">
        <f>VLOOKUP($B196,master!$B$2:$S$595,17,0)</f>
        <v>0882003686604</v>
      </c>
      <c r="I196" s="46" t="str">
        <f>VLOOKUP($B196,master!$B$2:$S$595,8,0)</f>
        <v>SAWAH</v>
      </c>
      <c r="J196" s="46" t="str">
        <f>VLOOKUP($B196,master!$B$2:$S$595,9,0)</f>
        <v>6</v>
      </c>
      <c r="K196" s="46" t="str">
        <f>VLOOKUP($B196,master!$B$2:$S$595,11,0)</f>
        <v>GIRISEKAR</v>
      </c>
      <c r="L196" s="46" t="str">
        <f>VLOOKUP($B196,master!$B$2:$S$595,12,0)</f>
        <v>PANGGANG</v>
      </c>
      <c r="M196" s="46" t="str">
        <f>VLOOKUP($B196,master!$B$2:$S$595,6,0)</f>
        <v>SUKARDIYONO</v>
      </c>
      <c r="N196" s="58" t="str">
        <f>VLOOKUP($B196,master!$B$2:$S$595,15,0)</f>
        <v>SMP N 2 PANGGANG</v>
      </c>
      <c r="O196" s="58" t="str">
        <f>VLOOKUP($B196,master!$B$2:$S$595,4,0)</f>
        <v>13-01-2009</v>
      </c>
    </row>
    <row r="197" spans="1:15" ht="15.75" customHeight="1" x14ac:dyDescent="0.25">
      <c r="A197" s="56" t="s">
        <v>279</v>
      </c>
      <c r="B197" s="90" t="s">
        <v>1427</v>
      </c>
      <c r="C197" s="88" t="s">
        <v>4254</v>
      </c>
      <c r="D197" s="90" t="s">
        <v>1428</v>
      </c>
      <c r="E197" s="45" t="str">
        <f>VLOOKUP(D197,Total!$C$2:$D$439,2,0)</f>
        <v>10 TKR 4</v>
      </c>
      <c r="F197" s="45" t="str">
        <f>VLOOKUP(C197,Total!$B$2:$F$439,5,0)</f>
        <v>AKTIF</v>
      </c>
      <c r="G197" s="46" t="str">
        <f>VLOOKUP($B197,master!$B$2:$S$595,16,0)</f>
        <v>085643879390</v>
      </c>
      <c r="H197" s="46" t="str">
        <f>VLOOKUP($B197,master!$B$2:$S$595,17,0)</f>
        <v>085878259898</v>
      </c>
      <c r="I197" s="46" t="str">
        <f>VLOOKUP($B197,master!$B$2:$S$595,8,0)</f>
        <v>TEGALSEMPU</v>
      </c>
      <c r="J197" s="46" t="str">
        <f>VLOOKUP($B197,master!$B$2:$S$595,9,0)</f>
        <v>01</v>
      </c>
      <c r="K197" s="46" t="str">
        <f>VLOOKUP($B197,master!$B$2:$S$595,11,0)</f>
        <v>CATURHARJO</v>
      </c>
      <c r="L197" s="46" t="str">
        <f>VLOOKUP($B197,master!$B$2:$S$595,12,0)</f>
        <v>PANDAK</v>
      </c>
      <c r="M197" s="46" t="str">
        <f>VLOOKUP($B197,master!$B$2:$S$595,6,0)</f>
        <v>Panca Prasetyo</v>
      </c>
      <c r="N197" s="58" t="str">
        <f>VLOOKUP($B197,master!$B$2:$S$595,15,0)</f>
        <v>SMP N 2 PANDAK</v>
      </c>
      <c r="O197" s="58" t="str">
        <f>VLOOKUP($B197,master!$B$2:$S$595,4,0)</f>
        <v>10-05-2010</v>
      </c>
    </row>
    <row r="198" spans="1:15" ht="15.75" customHeight="1" x14ac:dyDescent="0.25">
      <c r="A198" s="56" t="s">
        <v>280</v>
      </c>
      <c r="B198" s="90" t="s">
        <v>3541</v>
      </c>
      <c r="C198" s="88" t="s">
        <v>4255</v>
      </c>
      <c r="D198" s="90" t="s">
        <v>3542</v>
      </c>
      <c r="E198" s="45" t="str">
        <f>VLOOKUP(D198,Total!$C$2:$D$439,2,0)</f>
        <v>10 TKR 4</v>
      </c>
      <c r="F198" s="45" t="str">
        <f>VLOOKUP(C198,Total!$B$2:$F$439,5,0)</f>
        <v>AKTIF</v>
      </c>
      <c r="G198" s="46" t="str">
        <f>VLOOKUP($B198,master!$B$2:$S$595,16,0)</f>
        <v>08574334591</v>
      </c>
      <c r="H198" s="46" t="str">
        <f>VLOOKUP($B198,master!$B$2:$S$595,17,0)</f>
        <v>085600796184</v>
      </c>
      <c r="I198" s="46" t="str">
        <f>VLOOKUP($B198,master!$B$2:$S$595,8,0)</f>
        <v>BLAWONG II</v>
      </c>
      <c r="J198" s="46" t="str">
        <f>VLOOKUP($B198,master!$B$2:$S$595,9,0)</f>
        <v>010</v>
      </c>
      <c r="K198" s="46" t="str">
        <f>VLOOKUP($B198,master!$B$2:$S$595,11,0)</f>
        <v>TRIMULYO</v>
      </c>
      <c r="L198" s="46" t="str">
        <f>VLOOKUP($B198,master!$B$2:$S$595,12,0)</f>
        <v>JETIS</v>
      </c>
      <c r="M198" s="46" t="str">
        <f>VLOOKUP($B198,master!$B$2:$S$595,6,0)</f>
        <v>RUJILAH</v>
      </c>
      <c r="N198" s="58" t="str">
        <f>VLOOKUP($B198,master!$B$2:$S$595,15,0)</f>
        <v>SMP N 2 JETIS</v>
      </c>
      <c r="O198" s="58" t="str">
        <f>VLOOKUP($B198,master!$B$2:$S$595,4,0)</f>
        <v>27-11-2009</v>
      </c>
    </row>
    <row r="199" spans="1:15" ht="15.75" customHeight="1" x14ac:dyDescent="0.25">
      <c r="A199" s="56" t="s">
        <v>281</v>
      </c>
      <c r="B199" s="90" t="s">
        <v>3530</v>
      </c>
      <c r="C199" s="88" t="s">
        <v>4256</v>
      </c>
      <c r="D199" s="90" t="s">
        <v>3531</v>
      </c>
      <c r="E199" s="45" t="str">
        <f>VLOOKUP(D199,Total!$C$2:$D$439,2,0)</f>
        <v>10 TKR 4</v>
      </c>
      <c r="F199" s="45" t="str">
        <f>VLOOKUP(C199,Total!$B$2:$F$439,5,0)</f>
        <v>AKTIF</v>
      </c>
      <c r="G199" s="46" t="str">
        <f>VLOOKUP($B199,master!$B$2:$S$595,16,0)</f>
        <v>087716057358</v>
      </c>
      <c r="H199" s="46" t="str">
        <f>VLOOKUP($B199,master!$B$2:$S$595,17,0)</f>
        <v>089510412465</v>
      </c>
      <c r="I199" s="46" t="str">
        <f>VLOOKUP($B199,master!$B$2:$S$595,8,0)</f>
        <v>KEPEK</v>
      </c>
      <c r="J199" s="46" t="str">
        <f>VLOOKUP($B199,master!$B$2:$S$595,9,0)</f>
        <v>02</v>
      </c>
      <c r="K199" s="46" t="str">
        <f>VLOOKUP($B199,master!$B$2:$S$595,11,0)</f>
        <v>TIMBULHARJO</v>
      </c>
      <c r="L199" s="46" t="str">
        <f>VLOOKUP($B199,master!$B$2:$S$595,12,0)</f>
        <v>SEWON</v>
      </c>
      <c r="M199" s="46" t="str">
        <f>VLOOKUP($B199,master!$B$2:$S$595,6,0)</f>
        <v>wahyu budi santoso</v>
      </c>
      <c r="N199" s="58" t="str">
        <f>VLOOKUP($B199,master!$B$2:$S$595,15,0)</f>
        <v>MTS N 1 BANTUL</v>
      </c>
      <c r="O199" s="58" t="str">
        <f>VLOOKUP($B199,master!$B$2:$S$595,4,0)</f>
        <v>29-06-2009</v>
      </c>
    </row>
    <row r="200" spans="1:15" ht="15.75" customHeight="1" x14ac:dyDescent="0.25">
      <c r="A200" s="56" t="s">
        <v>282</v>
      </c>
      <c r="B200" s="90" t="s">
        <v>3677</v>
      </c>
      <c r="C200" s="88" t="s">
        <v>4257</v>
      </c>
      <c r="D200" s="90" t="s">
        <v>3678</v>
      </c>
      <c r="E200" s="45" t="str">
        <f>VLOOKUP(D200,Total!$C$2:$D$439,2,0)</f>
        <v>10 TKR 4</v>
      </c>
      <c r="F200" s="45" t="str">
        <f>VLOOKUP(C200,Total!$B$2:$F$439,5,0)</f>
        <v>AKTIF</v>
      </c>
      <c r="G200" s="46" t="str">
        <f>VLOOKUP($B200,master!$B$2:$S$595,16,0)</f>
        <v>083187159361</v>
      </c>
      <c r="H200" s="46" t="str">
        <f>VLOOKUP($B200,master!$B$2:$S$595,17,0)</f>
        <v>083187159361</v>
      </c>
      <c r="I200" s="46" t="str">
        <f>VLOOKUP($B200,master!$B$2:$S$595,8,0)</f>
        <v>BUTUH</v>
      </c>
      <c r="J200" s="46" t="str">
        <f>VLOOKUP($B200,master!$B$2:$S$595,9,0)</f>
        <v>02</v>
      </c>
      <c r="K200" s="46" t="str">
        <f>VLOOKUP($B200,master!$B$2:$S$595,11,0)</f>
        <v>SRIHARJO</v>
      </c>
      <c r="L200" s="46" t="str">
        <f>VLOOKUP($B200,master!$B$2:$S$595,12,0)</f>
        <v>IMOGIRI</v>
      </c>
      <c r="M200" s="46" t="str">
        <f>VLOOKUP($B200,master!$B$2:$S$595,6,0)</f>
        <v>LESTARIYAH</v>
      </c>
      <c r="N200" s="58" t="str">
        <f>VLOOKUP($B200,master!$B$2:$S$595,15,0)</f>
        <v>SMP N 3 IMOGIRI</v>
      </c>
      <c r="O200" s="58" t="str">
        <f>VLOOKUP($B200,master!$B$2:$S$595,4,0)</f>
        <v>2-11-2009</v>
      </c>
    </row>
    <row r="201" spans="1:15" ht="15.75" customHeight="1" x14ac:dyDescent="0.25">
      <c r="A201" s="56" t="s">
        <v>283</v>
      </c>
      <c r="B201" s="90" t="s">
        <v>3181</v>
      </c>
      <c r="C201" s="88" t="s">
        <v>4258</v>
      </c>
      <c r="D201" s="90" t="s">
        <v>3182</v>
      </c>
      <c r="E201" s="45" t="str">
        <f>VLOOKUP(D201,Total!$C$2:$D$439,2,0)</f>
        <v>10 TKR 4</v>
      </c>
      <c r="F201" s="45" t="str">
        <f>VLOOKUP(C201,Total!$B$2:$F$439,5,0)</f>
        <v>AKTIF</v>
      </c>
      <c r="G201" s="46" t="str">
        <f>VLOOKUP($B201,master!$B$2:$S$595,16,0)</f>
        <v>081312920255</v>
      </c>
      <c r="H201" s="46" t="str">
        <f>VLOOKUP($B201,master!$B$2:$S$595,17,0)</f>
        <v>081228865385</v>
      </c>
      <c r="I201" s="46" t="str">
        <f>VLOOKUP($B201,master!$B$2:$S$595,8,0)</f>
        <v>PATIHAN DK. XVI</v>
      </c>
      <c r="J201" s="46" t="str">
        <f>VLOOKUP($B201,master!$B$2:$S$595,9,0)</f>
        <v>2</v>
      </c>
      <c r="K201" s="46" t="str">
        <f>VLOOKUP($B201,master!$B$2:$S$595,11,0)</f>
        <v>GADINGSARI</v>
      </c>
      <c r="L201" s="46" t="str">
        <f>VLOOKUP($B201,master!$B$2:$S$595,12,0)</f>
        <v>SANDEN</v>
      </c>
      <c r="M201" s="46" t="str">
        <f>VLOOKUP($B201,master!$B$2:$S$595,6,0)</f>
        <v>JONI ANTON</v>
      </c>
      <c r="N201" s="58" t="str">
        <f>VLOOKUP($B201,master!$B$2:$S$595,15,0)</f>
        <v>SMP MUHAMMADIYAH 3 YOGYAKARTA</v>
      </c>
      <c r="O201" s="58" t="str">
        <f>VLOOKUP($B201,master!$B$2:$S$595,4,0)</f>
        <v>26-12-2009</v>
      </c>
    </row>
    <row r="202" spans="1:15" ht="15.75" customHeight="1" x14ac:dyDescent="0.25">
      <c r="A202" s="56" t="s">
        <v>284</v>
      </c>
      <c r="B202" s="90" t="s">
        <v>2186</v>
      </c>
      <c r="C202" s="88" t="s">
        <v>4259</v>
      </c>
      <c r="D202" s="90" t="s">
        <v>2187</v>
      </c>
      <c r="E202" s="45" t="str">
        <f>VLOOKUP(D202,Total!$C$2:$D$439,2,0)</f>
        <v>10 TKR 4</v>
      </c>
      <c r="F202" s="45" t="str">
        <f>VLOOKUP(C202,Total!$B$2:$F$439,5,0)</f>
        <v>AKTIF</v>
      </c>
      <c r="G202" s="46" t="str">
        <f>VLOOKUP($B202,master!$B$2:$S$595,16,0)</f>
        <v>089621599107</v>
      </c>
      <c r="H202" s="46" t="str">
        <f>VLOOKUP($B202,master!$B$2:$S$595,17,0)</f>
        <v>085855509356</v>
      </c>
      <c r="I202" s="46" t="str">
        <f>VLOOKUP($B202,master!$B$2:$S$595,8,0)</f>
        <v>SUDIMORO</v>
      </c>
      <c r="J202" s="46" t="str">
        <f>VLOOKUP($B202,master!$B$2:$S$595,9,0)</f>
        <v>1</v>
      </c>
      <c r="K202" s="46" t="str">
        <f>VLOOKUP($B202,master!$B$2:$S$595,11,0)</f>
        <v>TIMBULHARJO</v>
      </c>
      <c r="L202" s="46" t="str">
        <f>VLOOKUP($B202,master!$B$2:$S$595,12,0)</f>
        <v>SEWON</v>
      </c>
      <c r="M202" s="46" t="str">
        <f>VLOOKUP($B202,master!$B$2:$S$595,6,0)</f>
        <v>ADIN SAFARI</v>
      </c>
      <c r="N202" s="58" t="str">
        <f>VLOOKUP($B202,master!$B$2:$S$595,15,0)</f>
        <v>MTS N 1 BANTUL</v>
      </c>
      <c r="O202" s="58" t="str">
        <f>VLOOKUP($B202,master!$B$2:$S$595,4,0)</f>
        <v>10-02-2010</v>
      </c>
    </row>
    <row r="203" spans="1:15" ht="15.75" customHeight="1" x14ac:dyDescent="0.25">
      <c r="A203" s="56" t="s">
        <v>285</v>
      </c>
      <c r="B203" s="90" t="s">
        <v>3754</v>
      </c>
      <c r="C203" s="88" t="s">
        <v>4260</v>
      </c>
      <c r="D203" s="90" t="s">
        <v>3755</v>
      </c>
      <c r="E203" s="45" t="str">
        <f>VLOOKUP(D203,Total!$C$2:$D$439,2,0)</f>
        <v>10 TKR 4</v>
      </c>
      <c r="F203" s="45" t="str">
        <f>VLOOKUP(C203,Total!$B$2:$F$439,5,0)</f>
        <v>AKTIF</v>
      </c>
      <c r="G203" s="46" t="str">
        <f>VLOOKUP($B203,master!$B$2:$S$595,16,0)</f>
        <v>0895321877857</v>
      </c>
      <c r="H203" s="46" t="str">
        <f>VLOOKUP($B203,master!$B$2:$S$595,17,0)</f>
        <v>08989278495</v>
      </c>
      <c r="I203" s="46" t="str">
        <f>VLOOKUP($B203,master!$B$2:$S$595,8,0)</f>
        <v>GUNTURAN</v>
      </c>
      <c r="J203" s="46" t="str">
        <f>VLOOKUP($B203,master!$B$2:$S$595,9,0)</f>
        <v>03</v>
      </c>
      <c r="K203" s="46" t="str">
        <f>VLOOKUP($B203,master!$B$2:$S$595,11,0)</f>
        <v>TRIHARJO</v>
      </c>
      <c r="L203" s="46" t="str">
        <f>VLOOKUP($B203,master!$B$2:$S$595,12,0)</f>
        <v>PANDAK</v>
      </c>
      <c r="M203" s="46" t="str">
        <f>VLOOKUP($B203,master!$B$2:$S$595,6,0)</f>
        <v>SARJIMAN</v>
      </c>
      <c r="N203" s="58" t="str">
        <f>VLOOKUP($B203,master!$B$2:$S$595,15,0)</f>
        <v>SMP MUHAMMADIYAH 2 BAMBANGLIPURO</v>
      </c>
      <c r="O203" s="58" t="str">
        <f>VLOOKUP($B203,master!$B$2:$S$595,4,0)</f>
        <v>27-01-2010</v>
      </c>
    </row>
    <row r="204" spans="1:15" ht="15.75" customHeight="1" x14ac:dyDescent="0.25">
      <c r="A204" s="56" t="s">
        <v>286</v>
      </c>
      <c r="B204" s="90" t="s">
        <v>2131</v>
      </c>
      <c r="C204" s="88" t="s">
        <v>4261</v>
      </c>
      <c r="D204" s="90" t="s">
        <v>2132</v>
      </c>
      <c r="E204" s="45" t="str">
        <f>VLOOKUP(D204,Total!$C$2:$D$439,2,0)</f>
        <v>10 TKR 4</v>
      </c>
      <c r="F204" s="45" t="str">
        <f>VLOOKUP(C204,Total!$B$2:$F$439,5,0)</f>
        <v>AKTIF</v>
      </c>
      <c r="G204" s="46" t="str">
        <f>VLOOKUP($B204,master!$B$2:$S$595,16,0)</f>
        <v>087839891029</v>
      </c>
      <c r="H204" s="46" t="str">
        <f>VLOOKUP($B204,master!$B$2:$S$595,17,0)</f>
        <v>0895359661256</v>
      </c>
      <c r="I204" s="46" t="str">
        <f>VLOOKUP($B204,master!$B$2:$S$595,8,0)</f>
        <v>PIRING</v>
      </c>
      <c r="J204" s="46" t="str">
        <f>VLOOKUP($B204,master!$B$2:$S$595,9,0)</f>
        <v>6</v>
      </c>
      <c r="K204" s="46" t="str">
        <f>VLOOKUP($B204,master!$B$2:$S$595,11,0)</f>
        <v>SRIHARDONO</v>
      </c>
      <c r="L204" s="46" t="str">
        <f>VLOOKUP($B204,master!$B$2:$S$595,12,0)</f>
        <v>PUNDONG</v>
      </c>
      <c r="M204" s="46" t="str">
        <f>VLOOKUP($B204,master!$B$2:$S$595,6,0)</f>
        <v>SUSIANTI</v>
      </c>
      <c r="N204" s="58" t="str">
        <f>VLOOKUP($B204,master!$B$2:$S$595,15,0)</f>
        <v>SMP N 2 KRETEK</v>
      </c>
      <c r="O204" s="58" t="str">
        <f>VLOOKUP($B204,master!$B$2:$S$595,4,0)</f>
        <v>28-07-2010</v>
      </c>
    </row>
    <row r="205" spans="1:15" ht="15.75" customHeight="1" x14ac:dyDescent="0.25">
      <c r="A205" s="56" t="s">
        <v>287</v>
      </c>
      <c r="B205" s="90" t="s">
        <v>3353</v>
      </c>
      <c r="C205" s="88" t="s">
        <v>4262</v>
      </c>
      <c r="D205" s="90" t="s">
        <v>3354</v>
      </c>
      <c r="E205" s="45" t="str">
        <f>VLOOKUP(D205,Total!$C$2:$D$439,2,0)</f>
        <v>10 TKR 4</v>
      </c>
      <c r="F205" s="45" t="str">
        <f>VLOOKUP(C205,Total!$B$2:$F$439,5,0)</f>
        <v>AKTIF</v>
      </c>
      <c r="G205" s="46" t="str">
        <f>VLOOKUP($B205,master!$B$2:$S$595,16,0)</f>
        <v>087836061253</v>
      </c>
      <c r="H205" s="46" t="str">
        <f>VLOOKUP($B205,master!$B$2:$S$595,17,0)</f>
        <v>0</v>
      </c>
      <c r="I205" s="46" t="str">
        <f>VLOOKUP($B205,master!$B$2:$S$595,8,0)</f>
        <v>PADOKAN KIDUL</v>
      </c>
      <c r="J205" s="46" t="str">
        <f>VLOOKUP($B205,master!$B$2:$S$595,9,0)</f>
        <v>08</v>
      </c>
      <c r="K205" s="46" t="str">
        <f>VLOOKUP($B205,master!$B$2:$S$595,11,0)</f>
        <v>TIRTONIRMOLO</v>
      </c>
      <c r="L205" s="46" t="str">
        <f>VLOOKUP($B205,master!$B$2:$S$595,12,0)</f>
        <v>KASIHAN</v>
      </c>
      <c r="M205" s="46" t="str">
        <f>VLOOKUP($B205,master!$B$2:$S$595,6,0)</f>
        <v>SIGIT SANTOSO</v>
      </c>
      <c r="N205" s="58" t="str">
        <f>VLOOKUP($B205,master!$B$2:$S$595,15,0)</f>
        <v>SMP N 2 KASIHAN</v>
      </c>
      <c r="O205" s="58" t="str">
        <f>VLOOKUP($B205,master!$B$2:$S$595,4,0)</f>
        <v>22-11-2008</v>
      </c>
    </row>
    <row r="206" spans="1:15" ht="15.75" customHeight="1" x14ac:dyDescent="0.25">
      <c r="A206" s="56" t="s">
        <v>288</v>
      </c>
      <c r="B206" s="90" t="s">
        <v>3902</v>
      </c>
      <c r="C206" s="88" t="s">
        <v>4263</v>
      </c>
      <c r="D206" s="90" t="s">
        <v>3903</v>
      </c>
      <c r="E206" s="45" t="str">
        <f>VLOOKUP(D206,Total!$C$2:$D$439,2,0)</f>
        <v>10 TKR 4</v>
      </c>
      <c r="F206" s="45" t="str">
        <f>VLOOKUP(C206,Total!$B$2:$F$439,5,0)</f>
        <v>AKTIF</v>
      </c>
      <c r="G206" s="46" t="str">
        <f>VLOOKUP($B206,master!$B$2:$S$595,16,0)</f>
        <v>088239379908</v>
      </c>
      <c r="H206" s="46" t="str">
        <f>VLOOKUP($B206,master!$B$2:$S$595,17,0)</f>
        <v>0895417760229</v>
      </c>
      <c r="I206" s="46" t="str">
        <f>VLOOKUP($B206,master!$B$2:$S$595,8,0)</f>
        <v>WATU LANGKAH</v>
      </c>
      <c r="J206" s="46" t="str">
        <f>VLOOKUP($B206,master!$B$2:$S$595,9,0)</f>
        <v>1</v>
      </c>
      <c r="K206" s="46" t="str">
        <f>VLOOKUP($B206,master!$B$2:$S$595,11,0)</f>
        <v>AMBARKETAWANG</v>
      </c>
      <c r="L206" s="46" t="str">
        <f>VLOOKUP($B206,master!$B$2:$S$595,12,0)</f>
        <v>GAMPING</v>
      </c>
      <c r="M206" s="46" t="str">
        <f>VLOOKUP($B206,master!$B$2:$S$595,6,0)</f>
        <v>SARIJO</v>
      </c>
      <c r="N206" s="58" t="str">
        <f>VLOOKUP($B206,master!$B$2:$S$595,15,0)</f>
        <v>MTS AL HADI 2</v>
      </c>
      <c r="O206" s="58" t="str">
        <f>VLOOKUP($B206,master!$B$2:$S$595,4,0)</f>
        <v>18-04-2009</v>
      </c>
    </row>
    <row r="207" spans="1:15" ht="15.75" customHeight="1" x14ac:dyDescent="0.25">
      <c r="A207" s="56" t="s">
        <v>289</v>
      </c>
      <c r="B207" s="90" t="s">
        <v>768</v>
      </c>
      <c r="C207" s="88" t="s">
        <v>4264</v>
      </c>
      <c r="D207" s="90" t="s">
        <v>769</v>
      </c>
      <c r="E207" s="45" t="str">
        <f>VLOOKUP(D207,Total!$C$2:$D$439,2,0)</f>
        <v>10 TKR 4</v>
      </c>
      <c r="F207" s="45" t="str">
        <f>VLOOKUP(C207,Total!$B$2:$F$439,5,0)</f>
        <v>AKTIF</v>
      </c>
      <c r="G207" s="46" t="str">
        <f>VLOOKUP($B207,master!$B$2:$S$595,16,0)</f>
        <v>083102525087</v>
      </c>
      <c r="H207" s="46">
        <f>VLOOKUP($B207,master!$B$2:$S$595,17,0)</f>
        <v>0</v>
      </c>
      <c r="I207" s="46" t="str">
        <f>VLOOKUP($B207,master!$B$2:$S$595,8,0)</f>
        <v>BANYUDONO</v>
      </c>
      <c r="J207" s="46" t="str">
        <f>VLOOKUP($B207,master!$B$2:$S$595,9,0)</f>
        <v>1</v>
      </c>
      <c r="K207" s="46" t="str">
        <f>VLOOKUP($B207,master!$B$2:$S$595,11,0)</f>
        <v>GILANGHARJO</v>
      </c>
      <c r="L207" s="46" t="str">
        <f>VLOOKUP($B207,master!$B$2:$S$595,12,0)</f>
        <v>PANDAK</v>
      </c>
      <c r="M207" s="46" t="str">
        <f>VLOOKUP($B207,master!$B$2:$S$595,6,0)</f>
        <v>SUKABDI</v>
      </c>
      <c r="N207" s="58" t="str">
        <f>VLOOKUP($B207,master!$B$2:$S$595,15,0)</f>
        <v>SMP N 3 PANDAK</v>
      </c>
      <c r="O207" s="58" t="str">
        <f>VLOOKUP($B207,master!$B$2:$S$595,4,0)</f>
        <v>13-12-2008</v>
      </c>
    </row>
    <row r="208" spans="1:15" ht="15.75" customHeight="1" x14ac:dyDescent="0.25">
      <c r="A208" s="56" t="s">
        <v>290</v>
      </c>
      <c r="B208" s="90" t="s">
        <v>3459</v>
      </c>
      <c r="C208" s="88" t="s">
        <v>4265</v>
      </c>
      <c r="D208" s="90" t="s">
        <v>3460</v>
      </c>
      <c r="E208" s="45" t="str">
        <f>VLOOKUP(D208,Total!$C$2:$D$439,2,0)</f>
        <v>10 TKR 4</v>
      </c>
      <c r="F208" s="45" t="str">
        <f>VLOOKUP(C208,Total!$B$2:$F$439,5,0)</f>
        <v>AKTIF</v>
      </c>
      <c r="G208" s="46" t="str">
        <f>VLOOKUP($B208,master!$B$2:$S$595,16,0)</f>
        <v>0859130968474</v>
      </c>
      <c r="H208" s="46" t="str">
        <f>VLOOKUP($B208,master!$B$2:$S$595,17,0)</f>
        <v>088806060910</v>
      </c>
      <c r="I208" s="46" t="str">
        <f>VLOOKUP($B208,master!$B$2:$S$595,8,0)</f>
        <v>BLAWONG 2</v>
      </c>
      <c r="J208" s="46" t="str">
        <f>VLOOKUP($B208,master!$B$2:$S$595,9,0)</f>
        <v>02</v>
      </c>
      <c r="K208" s="46" t="str">
        <f>VLOOKUP($B208,master!$B$2:$S$595,11,0)</f>
        <v>TRIMULYO</v>
      </c>
      <c r="L208" s="46" t="str">
        <f>VLOOKUP($B208,master!$B$2:$S$595,12,0)</f>
        <v>JETIS</v>
      </c>
      <c r="M208" s="46" t="str">
        <f>VLOOKUP($B208,master!$B$2:$S$595,6,0)</f>
        <v>Suparman</v>
      </c>
      <c r="N208" s="58" t="str">
        <f>VLOOKUP($B208,master!$B$2:$S$595,15,0)</f>
        <v>SMP MUHAMADIYAH IMOGIRI</v>
      </c>
      <c r="O208" s="58" t="str">
        <f>VLOOKUP($B208,master!$B$2:$S$595,4,0)</f>
        <v>16-08-2009</v>
      </c>
    </row>
    <row r="209" spans="1:15" ht="15.75" customHeight="1" x14ac:dyDescent="0.25">
      <c r="A209" s="56" t="s">
        <v>291</v>
      </c>
      <c r="B209" s="90" t="s">
        <v>1615</v>
      </c>
      <c r="C209" s="88" t="s">
        <v>4266</v>
      </c>
      <c r="D209" s="90" t="s">
        <v>1616</v>
      </c>
      <c r="E209" s="45" t="str">
        <f>VLOOKUP(D209,Total!$C$2:$D$439,2,0)</f>
        <v>10 TKR 4</v>
      </c>
      <c r="F209" s="45" t="str">
        <f>VLOOKUP(C209,Total!$B$2:$F$439,5,0)</f>
        <v>AKTIF</v>
      </c>
      <c r="G209" s="46" t="str">
        <f>VLOOKUP($B209,master!$B$2:$S$595,16,0)</f>
        <v>085100331805</v>
      </c>
      <c r="H209" s="46" t="str">
        <f>VLOOKUP($B209,master!$B$2:$S$595,17,0)</f>
        <v>087762398387</v>
      </c>
      <c r="I209" s="46" t="str">
        <f>VLOOKUP($B209,master!$B$2:$S$595,8,0)</f>
        <v>PASUTAN</v>
      </c>
      <c r="J209" s="46" t="str">
        <f>VLOOKUP($B209,master!$B$2:$S$595,9,0)</f>
        <v>1</v>
      </c>
      <c r="K209" s="46" t="str">
        <f>VLOOKUP($B209,master!$B$2:$S$595,11,0)</f>
        <v>TRIRENGGO</v>
      </c>
      <c r="L209" s="46" t="str">
        <f>VLOOKUP($B209,master!$B$2:$S$595,12,0)</f>
        <v>BANTUL</v>
      </c>
      <c r="M209" s="46" t="str">
        <f>VLOOKUP($B209,master!$B$2:$S$595,6,0)</f>
        <v>SUWARNO</v>
      </c>
      <c r="N209" s="58" t="str">
        <f>VLOOKUP($B209,master!$B$2:$S$595,15,0)</f>
        <v>SMP MUHAMMADIYAH BANTUL</v>
      </c>
      <c r="O209" s="58" t="str">
        <f>VLOOKUP($B209,master!$B$2:$S$595,4,0)</f>
        <v>1-09-2009</v>
      </c>
    </row>
    <row r="210" spans="1:15" ht="15.75" customHeight="1" x14ac:dyDescent="0.25">
      <c r="A210" s="56" t="s">
        <v>292</v>
      </c>
      <c r="B210" s="92" t="s">
        <v>2816</v>
      </c>
      <c r="C210" s="88" t="s">
        <v>4267</v>
      </c>
      <c r="D210" s="92" t="s">
        <v>2817</v>
      </c>
      <c r="E210" s="45" t="str">
        <f>VLOOKUP(D210,Total!$C$2:$D$439,2,0)</f>
        <v>10 TKR 5</v>
      </c>
      <c r="F210" s="45" t="str">
        <f>VLOOKUP(C210,Total!$B$2:$F$439,5,0)</f>
        <v>AKTIF</v>
      </c>
      <c r="G210" s="46" t="str">
        <f>VLOOKUP($B210,master!$B$2:$S$595,16,0)</f>
        <v>0838202000366/083863682447</v>
      </c>
      <c r="H210" s="46" t="str">
        <f>VLOOKUP($B210,master!$B$2:$S$595,17,0)</f>
        <v>083134907467</v>
      </c>
      <c r="I210" s="46" t="str">
        <f>VLOOKUP($B210,master!$B$2:$S$595,8,0)</f>
        <v>BEJEN</v>
      </c>
      <c r="J210" s="46" t="str">
        <f>VLOOKUP($B210,master!$B$2:$S$595,9,0)</f>
        <v>05</v>
      </c>
      <c r="K210" s="46" t="str">
        <f>VLOOKUP($B210,master!$B$2:$S$595,11,0)</f>
        <v>BANTUL</v>
      </c>
      <c r="L210" s="46" t="str">
        <f>VLOOKUP($B210,master!$B$2:$S$595,12,0)</f>
        <v>BANTUL</v>
      </c>
      <c r="M210" s="46" t="str">
        <f>VLOOKUP($B210,master!$B$2:$S$595,6,0)</f>
        <v>Sriyatun</v>
      </c>
      <c r="N210" s="58" t="str">
        <f>VLOOKUP($B210,master!$B$2:$S$595,15,0)</f>
        <v>SMP N 3 JETIS</v>
      </c>
      <c r="O210" s="58" t="str">
        <f>VLOOKUP($B210,master!$B$2:$S$595,4,0)</f>
        <v>20-01-2010</v>
      </c>
    </row>
    <row r="211" spans="1:15" ht="15.75" customHeight="1" x14ac:dyDescent="0.25">
      <c r="A211" s="56" t="s">
        <v>293</v>
      </c>
      <c r="B211" s="92" t="s">
        <v>2006</v>
      </c>
      <c r="C211" s="88" t="s">
        <v>4268</v>
      </c>
      <c r="D211" s="92" t="s">
        <v>2007</v>
      </c>
      <c r="E211" s="45" t="str">
        <f>VLOOKUP(D211,Total!$C$2:$D$439,2,0)</f>
        <v>10 TKR 5</v>
      </c>
      <c r="F211" s="45" t="str">
        <f>VLOOKUP(C211,Total!$B$2:$F$439,5,0)</f>
        <v>AKTIF</v>
      </c>
      <c r="G211" s="46" t="str">
        <f>VLOOKUP($B211,master!$B$2:$S$595,16,0)</f>
        <v>08994563248</v>
      </c>
      <c r="H211" s="46" t="str">
        <f>VLOOKUP($B211,master!$B$2:$S$595,17,0)</f>
        <v>0895386259041</v>
      </c>
      <c r="I211" s="46" t="str">
        <f>VLOOKUP($B211,master!$B$2:$S$595,8,0)</f>
        <v>KARET</v>
      </c>
      <c r="J211" s="46" t="str">
        <f>VLOOKUP($B211,master!$B$2:$S$595,9,0)</f>
        <v>05</v>
      </c>
      <c r="K211" s="46" t="str">
        <f>VLOOKUP($B211,master!$B$2:$S$595,11,0)</f>
        <v>PLERET</v>
      </c>
      <c r="L211" s="46" t="str">
        <f>VLOOKUP($B211,master!$B$2:$S$595,12,0)</f>
        <v>PLERET</v>
      </c>
      <c r="M211" s="46" t="str">
        <f>VLOOKUP($B211,master!$B$2:$S$595,6,0)</f>
        <v>Sugeng Sriyanta</v>
      </c>
      <c r="N211" s="58" t="str">
        <f>VLOOKUP($B211,master!$B$2:$S$595,15,0)</f>
        <v>SMP N 3 PLERET</v>
      </c>
      <c r="O211" s="58" t="str">
        <f>VLOOKUP($B211,master!$B$2:$S$595,4,0)</f>
        <v>5-10-2009</v>
      </c>
    </row>
    <row r="212" spans="1:15" ht="15.75" customHeight="1" x14ac:dyDescent="0.25">
      <c r="A212" s="56" t="s">
        <v>294</v>
      </c>
      <c r="B212" s="92" t="s">
        <v>2275</v>
      </c>
      <c r="C212" s="88" t="s">
        <v>4269</v>
      </c>
      <c r="D212" s="92" t="s">
        <v>2276</v>
      </c>
      <c r="E212" s="45" t="str">
        <f>VLOOKUP(D212,Total!$C$2:$D$439,2,0)</f>
        <v>10 TKR 5</v>
      </c>
      <c r="F212" s="45" t="str">
        <f>VLOOKUP(C212,Total!$B$2:$F$439,5,0)</f>
        <v>AKTIF</v>
      </c>
      <c r="G212" s="46" t="str">
        <f>VLOOKUP($B212,master!$B$2:$S$595,16,0)</f>
        <v>081337259145</v>
      </c>
      <c r="H212" s="46" t="str">
        <f>VLOOKUP($B212,master!$B$2:$S$595,17,0)</f>
        <v>081337259145</v>
      </c>
      <c r="I212" s="46" t="str">
        <f>VLOOKUP($B212,master!$B$2:$S$595,8,0)</f>
        <v>GEDONGAN</v>
      </c>
      <c r="J212" s="46" t="str">
        <f>VLOOKUP($B212,master!$B$2:$S$595,9,0)</f>
        <v>3</v>
      </c>
      <c r="K212" s="46" t="str">
        <f>VLOOKUP($B212,master!$B$2:$S$595,11,0)</f>
        <v>CATURHARJO</v>
      </c>
      <c r="L212" s="46" t="str">
        <f>VLOOKUP($B212,master!$B$2:$S$595,12,0)</f>
        <v>PANDAK</v>
      </c>
      <c r="M212" s="46" t="str">
        <f>VLOOKUP($B212,master!$B$2:$S$595,6,0)</f>
        <v>Supriyana</v>
      </c>
      <c r="N212" s="58" t="str">
        <f>VLOOKUP($B212,master!$B$2:$S$595,15,0)</f>
        <v>SMP N 4 PANDAK</v>
      </c>
      <c r="O212" s="58" t="str">
        <f>VLOOKUP($B212,master!$B$2:$S$595,4,0)</f>
        <v>9-03-2010</v>
      </c>
    </row>
    <row r="213" spans="1:15" ht="15.75" customHeight="1" x14ac:dyDescent="0.25">
      <c r="A213" s="56" t="s">
        <v>295</v>
      </c>
      <c r="B213" s="92" t="s">
        <v>2497</v>
      </c>
      <c r="C213" s="88" t="s">
        <v>4270</v>
      </c>
      <c r="D213" s="92" t="s">
        <v>2498</v>
      </c>
      <c r="E213" s="45" t="str">
        <f>VLOOKUP(D213,Total!$C$2:$D$439,2,0)</f>
        <v>10 TKR 5</v>
      </c>
      <c r="F213" s="45" t="str">
        <f>VLOOKUP(C213,Total!$B$2:$F$439,5,0)</f>
        <v>AKTIF</v>
      </c>
      <c r="G213" s="46" t="str">
        <f>VLOOKUP($B213,master!$B$2:$S$595,16,0)</f>
        <v>087839568142</v>
      </c>
      <c r="H213" s="46" t="str">
        <f>VLOOKUP($B213,master!$B$2:$S$595,17,0)</f>
        <v>087839568142</v>
      </c>
      <c r="I213" s="46" t="str">
        <f>VLOOKUP($B213,master!$B$2:$S$595,8,0)</f>
        <v>NGEBEL</v>
      </c>
      <c r="J213" s="46" t="str">
        <f>VLOOKUP($B213,master!$B$2:$S$595,9,0)</f>
        <v>9</v>
      </c>
      <c r="K213" s="46" t="str">
        <f>VLOOKUP($B213,master!$B$2:$S$595,11,0)</f>
        <v>TAMANTIRTO</v>
      </c>
      <c r="L213" s="46" t="str">
        <f>VLOOKUP($B213,master!$B$2:$S$595,12,0)</f>
        <v>KASIHAN</v>
      </c>
      <c r="M213" s="46" t="str">
        <f>VLOOKUP($B213,master!$B$2:$S$595,6,0)</f>
        <v>RUJIYANTO</v>
      </c>
      <c r="N213" s="58" t="str">
        <f>VLOOKUP($B213,master!$B$2:$S$595,15,0)</f>
        <v>MTS MUHAMMADIYAH KASIHAN</v>
      </c>
      <c r="O213" s="58" t="str">
        <f>VLOOKUP($B213,master!$B$2:$S$595,4,0)</f>
        <v>20-11-2009</v>
      </c>
    </row>
    <row r="214" spans="1:15" ht="15.75" customHeight="1" x14ac:dyDescent="0.25">
      <c r="A214" s="56" t="s">
        <v>296</v>
      </c>
      <c r="B214" s="92" t="s">
        <v>2062</v>
      </c>
      <c r="C214" s="88" t="s">
        <v>4271</v>
      </c>
      <c r="D214" s="92" t="s">
        <v>2063</v>
      </c>
      <c r="E214" s="45" t="str">
        <f>VLOOKUP(D214,Total!$C$2:$D$439,2,0)</f>
        <v>10 TKR 5</v>
      </c>
      <c r="F214" s="45" t="str">
        <f>VLOOKUP(C214,Total!$B$2:$F$439,5,0)</f>
        <v>AKTIF</v>
      </c>
      <c r="G214" s="46" t="str">
        <f>VLOOKUP($B214,master!$B$2:$S$595,16,0)</f>
        <v>089602527222</v>
      </c>
      <c r="H214" s="46" t="str">
        <f>VLOOKUP($B214,master!$B$2:$S$595,17,0)</f>
        <v>089686186262</v>
      </c>
      <c r="I214" s="46" t="str">
        <f>VLOOKUP($B214,master!$B$2:$S$595,8,0)</f>
        <v>KWENI</v>
      </c>
      <c r="J214" s="46" t="str">
        <f>VLOOKUP($B214,master!$B$2:$S$595,9,0)</f>
        <v>006</v>
      </c>
      <c r="K214" s="46" t="str">
        <f>VLOOKUP($B214,master!$B$2:$S$595,11,0)</f>
        <v>PANGGUNGHARJO</v>
      </c>
      <c r="L214" s="46" t="str">
        <f>VLOOKUP($B214,master!$B$2:$S$595,12,0)</f>
        <v>SEWON</v>
      </c>
      <c r="M214" s="46" t="str">
        <f>VLOOKUP($B214,master!$B$2:$S$595,6,0)</f>
        <v>SITI NUR HIDAYAH</v>
      </c>
      <c r="N214" s="58" t="str">
        <f>VLOOKUP($B214,master!$B$2:$S$595,15,0)</f>
        <v>SMP MUHAMMADIYAH SEWON</v>
      </c>
      <c r="O214" s="58" t="str">
        <f>VLOOKUP($B214,master!$B$2:$S$595,4,0)</f>
        <v>18-01-2010</v>
      </c>
    </row>
    <row r="215" spans="1:15" ht="15.75" customHeight="1" x14ac:dyDescent="0.25">
      <c r="A215" s="56" t="s">
        <v>297</v>
      </c>
      <c r="B215" s="92" t="s">
        <v>2237</v>
      </c>
      <c r="C215" s="88" t="s">
        <v>4272</v>
      </c>
      <c r="D215" s="92" t="s">
        <v>2238</v>
      </c>
      <c r="E215" s="45" t="str">
        <f>VLOOKUP(D215,Total!$C$2:$D$439,2,0)</f>
        <v>10 TKR 5</v>
      </c>
      <c r="F215" s="45" t="str">
        <f>VLOOKUP(C215,Total!$B$2:$F$439,5,0)</f>
        <v>AKTIF</v>
      </c>
      <c r="G215" s="46" t="str">
        <f>VLOOKUP($B215,master!$B$2:$S$595,16,0)</f>
        <v>085877234764 / 085194544827</v>
      </c>
      <c r="H215" s="46" t="str">
        <f>VLOOKUP($B215,master!$B$2:$S$595,17,0)</f>
        <v>085194544827</v>
      </c>
      <c r="I215" s="46" t="str">
        <f>VLOOKUP($B215,master!$B$2:$S$595,8,0)</f>
        <v>PIJENAN</v>
      </c>
      <c r="J215" s="46" t="str">
        <f>VLOOKUP($B215,master!$B$2:$S$595,9,0)</f>
        <v>3</v>
      </c>
      <c r="K215" s="46" t="str">
        <f>VLOOKUP($B215,master!$B$2:$S$595,11,0)</f>
        <v>WIJIREJO</v>
      </c>
      <c r="L215" s="46" t="str">
        <f>VLOOKUP($B215,master!$B$2:$S$595,12,0)</f>
        <v>PANDAK</v>
      </c>
      <c r="M215" s="46" t="str">
        <f>VLOOKUP($B215,master!$B$2:$S$595,6,0)</f>
        <v>BONIDI</v>
      </c>
      <c r="N215" s="58" t="str">
        <f>VLOOKUP($B215,master!$B$2:$S$595,15,0)</f>
        <v>SMP N 4 PANDAK</v>
      </c>
      <c r="O215" s="58" t="str">
        <f>VLOOKUP($B215,master!$B$2:$S$595,4,0)</f>
        <v>7-11-2009</v>
      </c>
    </row>
    <row r="216" spans="1:15" ht="15.75" customHeight="1" x14ac:dyDescent="0.25">
      <c r="A216" s="56" t="s">
        <v>298</v>
      </c>
      <c r="B216" s="92" t="s">
        <v>2459</v>
      </c>
      <c r="C216" s="88" t="s">
        <v>4273</v>
      </c>
      <c r="D216" s="92" t="s">
        <v>2460</v>
      </c>
      <c r="E216" s="45" t="str">
        <f>VLOOKUP(D216,Total!$C$2:$D$439,2,0)</f>
        <v>10 TKR 5</v>
      </c>
      <c r="F216" s="45" t="str">
        <f>VLOOKUP(C216,Total!$B$2:$F$439,5,0)</f>
        <v>AKTIF</v>
      </c>
      <c r="G216" s="46" t="str">
        <f>VLOOKUP($B216,master!$B$2:$S$595,16,0)</f>
        <v>089508581523</v>
      </c>
      <c r="H216" s="46" t="str">
        <f>VLOOKUP($B216,master!$B$2:$S$595,17,0)</f>
        <v>0895380199135</v>
      </c>
      <c r="I216" s="46" t="str">
        <f>VLOOKUP($B216,master!$B$2:$S$595,8,0)</f>
        <v>GANDEKAN</v>
      </c>
      <c r="J216" s="46" t="str">
        <f>VLOOKUP($B216,master!$B$2:$S$595,9,0)</f>
        <v>3</v>
      </c>
      <c r="K216" s="46" t="str">
        <f>VLOOKUP($B216,master!$B$2:$S$595,11,0)</f>
        <v>TRIRENGGO</v>
      </c>
      <c r="L216" s="46" t="str">
        <f>VLOOKUP($B216,master!$B$2:$S$595,12,0)</f>
        <v>BANTUL</v>
      </c>
      <c r="M216" s="46" t="str">
        <f>VLOOKUP($B216,master!$B$2:$S$595,6,0)</f>
        <v>MUJIMAN</v>
      </c>
      <c r="N216" s="58" t="str">
        <f>VLOOKUP($B216,master!$B$2:$S$595,15,0)</f>
        <v>SMP N 3 BANTUL</v>
      </c>
      <c r="O216" s="58" t="str">
        <f>VLOOKUP($B216,master!$B$2:$S$595,4,0)</f>
        <v>5-03-2010</v>
      </c>
    </row>
    <row r="217" spans="1:15" ht="15.75" customHeight="1" x14ac:dyDescent="0.25">
      <c r="A217" s="56" t="s">
        <v>299</v>
      </c>
      <c r="B217" s="92" t="s">
        <v>690</v>
      </c>
      <c r="C217" s="88" t="s">
        <v>4274</v>
      </c>
      <c r="D217" s="92" t="s">
        <v>691</v>
      </c>
      <c r="E217" s="45" t="str">
        <f>VLOOKUP(D217,Total!$C$2:$D$439,2,0)</f>
        <v>10 TKR 5</v>
      </c>
      <c r="F217" s="45" t="str">
        <f>VLOOKUP(C217,Total!$B$2:$F$439,5,0)</f>
        <v>AKTIF</v>
      </c>
      <c r="G217" s="46" t="str">
        <f>VLOOKUP($B217,master!$B$2:$S$595,16,0)</f>
        <v>08995080974</v>
      </c>
      <c r="H217" s="46">
        <f>VLOOKUP($B217,master!$B$2:$S$595,17,0)</f>
        <v>0</v>
      </c>
      <c r="I217" s="46" t="str">
        <f>VLOOKUP($B217,master!$B$2:$S$595,8,0)</f>
        <v>PANJANG</v>
      </c>
      <c r="J217" s="46" t="str">
        <f>VLOOKUP($B217,master!$B$2:$S$595,9,0)</f>
        <v>2</v>
      </c>
      <c r="K217" s="46" t="str">
        <f>VLOOKUP($B217,master!$B$2:$S$595,11,0)</f>
        <v>PANJANGREJO</v>
      </c>
      <c r="L217" s="46" t="str">
        <f>VLOOKUP($B217,master!$B$2:$S$595,12,0)</f>
        <v>PUNDONG</v>
      </c>
      <c r="M217" s="46" t="str">
        <f>VLOOKUP($B217,master!$B$2:$S$595,6,0)</f>
        <v>SLAMET</v>
      </c>
      <c r="N217" s="58" t="str">
        <f>VLOOKUP($B217,master!$B$2:$S$595,15,0)</f>
        <v>SMP N 1 PUNDONG</v>
      </c>
      <c r="O217" s="58" t="str">
        <f>VLOOKUP($B217,master!$B$2:$S$595,4,0)</f>
        <v>8-07-2009</v>
      </c>
    </row>
    <row r="218" spans="1:15" ht="15.75" customHeight="1" x14ac:dyDescent="0.25">
      <c r="A218" s="56" t="s">
        <v>300</v>
      </c>
      <c r="B218" s="92" t="s">
        <v>3699</v>
      </c>
      <c r="C218" s="88" t="s">
        <v>4275</v>
      </c>
      <c r="D218" s="92" t="s">
        <v>3700</v>
      </c>
      <c r="E218" s="45" t="str">
        <f>VLOOKUP(D218,Total!$C$2:$D$439,2,0)</f>
        <v>10 TKR 5</v>
      </c>
      <c r="F218" s="45" t="str">
        <f>VLOOKUP(C218,Total!$B$2:$F$439,5,0)</f>
        <v>AKTIF</v>
      </c>
      <c r="G218" s="46" t="str">
        <f>VLOOKUP($B218,master!$B$2:$S$595,16,0)</f>
        <v>087721526817</v>
      </c>
      <c r="H218" s="46" t="str">
        <f>VLOOKUP($B218,master!$B$2:$S$595,17,0)</f>
        <v>089639872968</v>
      </c>
      <c r="I218" s="46" t="str">
        <f>VLOOKUP($B218,master!$B$2:$S$595,8,0)</f>
        <v>SITEN</v>
      </c>
      <c r="J218" s="46" t="str">
        <f>VLOOKUP($B218,master!$B$2:$S$595,9,0)</f>
        <v>03</v>
      </c>
      <c r="K218" s="46" t="str">
        <f>VLOOKUP($B218,master!$B$2:$S$595,11,0)</f>
        <v>SUMBERMULYO</v>
      </c>
      <c r="L218" s="46" t="str">
        <f>VLOOKUP($B218,master!$B$2:$S$595,12,0)</f>
        <v>BAMBANGLIPURO</v>
      </c>
      <c r="M218" s="46" t="str">
        <f>VLOOKUP($B218,master!$B$2:$S$595,6,0)</f>
        <v>SAROSA</v>
      </c>
      <c r="N218" s="58" t="str">
        <f>VLOOKUP($B218,master!$B$2:$S$595,15,0)</f>
        <v>SMP N 1 BAMBANGLIPURO</v>
      </c>
      <c r="O218" s="58" t="str">
        <f>VLOOKUP($B218,master!$B$2:$S$595,4,0)</f>
        <v>18-10-2009</v>
      </c>
    </row>
    <row r="219" spans="1:15" ht="15.75" customHeight="1" x14ac:dyDescent="0.25">
      <c r="A219" s="56" t="s">
        <v>301</v>
      </c>
      <c r="B219" s="92" t="s">
        <v>1848</v>
      </c>
      <c r="C219" s="88" t="s">
        <v>4276</v>
      </c>
      <c r="D219" s="92" t="s">
        <v>1849</v>
      </c>
      <c r="E219" s="45" t="str">
        <f>VLOOKUP(D219,Total!$C$2:$D$439,2,0)</f>
        <v>10 TKR 5</v>
      </c>
      <c r="F219" s="45" t="str">
        <f>VLOOKUP(C219,Total!$B$2:$F$439,5,0)</f>
        <v>AKTIF</v>
      </c>
      <c r="G219" s="46" t="str">
        <f>VLOOKUP($B219,master!$B$2:$S$595,16,0)</f>
        <v>089618608289</v>
      </c>
      <c r="H219" s="46" t="str">
        <f>VLOOKUP($B219,master!$B$2:$S$595,17,0)</f>
        <v>089529381653</v>
      </c>
      <c r="I219" s="46" t="str">
        <f>VLOOKUP($B219,master!$B$2:$S$595,8,0)</f>
        <v>PRANCAK</v>
      </c>
      <c r="J219" s="46" t="str">
        <f>VLOOKUP($B219,master!$B$2:$S$595,9,0)</f>
        <v>003</v>
      </c>
      <c r="K219" s="46" t="str">
        <f>VLOOKUP($B219,master!$B$2:$S$595,11,0)</f>
        <v>PANGGUNGHARJO</v>
      </c>
      <c r="L219" s="46" t="str">
        <f>VLOOKUP($B219,master!$B$2:$S$595,12,0)</f>
        <v>SEWON</v>
      </c>
      <c r="M219" s="46" t="str">
        <f>VLOOKUP($B219,master!$B$2:$S$595,6,0)</f>
        <v>Aris Kurniawan</v>
      </c>
      <c r="N219" s="58" t="str">
        <f>VLOOKUP($B219,master!$B$2:$S$595,15,0)</f>
        <v>SMP N 3 SEWON</v>
      </c>
      <c r="O219" s="58" t="str">
        <f>VLOOKUP($B219,master!$B$2:$S$595,4,0)</f>
        <v>18-06-2009</v>
      </c>
    </row>
    <row r="220" spans="1:15" ht="15.75" customHeight="1" x14ac:dyDescent="0.25">
      <c r="A220" s="56" t="s">
        <v>302</v>
      </c>
      <c r="B220" s="92" t="s">
        <v>2745</v>
      </c>
      <c r="C220" s="88" t="s">
        <v>4277</v>
      </c>
      <c r="D220" s="92" t="s">
        <v>2746</v>
      </c>
      <c r="E220" s="45" t="str">
        <f>VLOOKUP(D220,Total!$C$2:$D$439,2,0)</f>
        <v>10 TKR 5</v>
      </c>
      <c r="F220" s="45" t="str">
        <f>VLOOKUP(C220,Total!$B$2:$F$439,5,0)</f>
        <v>AKTIF</v>
      </c>
      <c r="G220" s="46" t="str">
        <f>VLOOKUP($B220,master!$B$2:$S$595,16,0)</f>
        <v>081356348883</v>
      </c>
      <c r="H220" s="46" t="str">
        <f>VLOOKUP($B220,master!$B$2:$S$595,17,0)</f>
        <v>085329638838</v>
      </c>
      <c r="I220" s="46" t="str">
        <f>VLOOKUP($B220,master!$B$2:$S$595,8,0)</f>
        <v>NGIBIKAN</v>
      </c>
      <c r="J220" s="46" t="str">
        <f>VLOOKUP($B220,master!$B$2:$S$595,9,0)</f>
        <v>06</v>
      </c>
      <c r="K220" s="46" t="str">
        <f>VLOOKUP($B220,master!$B$2:$S$595,11,0)</f>
        <v>CANDEN</v>
      </c>
      <c r="L220" s="46" t="str">
        <f>VLOOKUP($B220,master!$B$2:$S$595,12,0)</f>
        <v>JETIS</v>
      </c>
      <c r="M220" s="46" t="str">
        <f>VLOOKUP($B220,master!$B$2:$S$595,6,0)</f>
        <v>Sutrisno</v>
      </c>
      <c r="N220" s="58" t="str">
        <f>VLOOKUP($B220,master!$B$2:$S$595,15,0)</f>
        <v>SMP MUHAMMADIYAH IMOGIRI</v>
      </c>
      <c r="O220" s="58" t="str">
        <f>VLOOKUP($B220,master!$B$2:$S$595,4,0)</f>
        <v>11-08-2009</v>
      </c>
    </row>
    <row r="221" spans="1:15" ht="15.75" customHeight="1" x14ac:dyDescent="0.25">
      <c r="A221" s="56" t="s">
        <v>303</v>
      </c>
      <c r="B221" s="92" t="s">
        <v>2465</v>
      </c>
      <c r="C221" s="88" t="s">
        <v>4278</v>
      </c>
      <c r="D221" s="92" t="s">
        <v>2466</v>
      </c>
      <c r="E221" s="45" t="str">
        <f>VLOOKUP(D221,Total!$C$2:$D$439,2,0)</f>
        <v>10 TKR 5</v>
      </c>
      <c r="F221" s="45" t="str">
        <f>VLOOKUP(C221,Total!$B$2:$F$439,5,0)</f>
        <v>AKTIF</v>
      </c>
      <c r="G221" s="46" t="str">
        <f>VLOOKUP($B221,master!$B$2:$S$595,16,0)</f>
        <v>081314673519</v>
      </c>
      <c r="H221" s="46" t="str">
        <f>VLOOKUP($B221,master!$B$2:$S$595,17,0)</f>
        <v>089687140131</v>
      </c>
      <c r="I221" s="46" t="str">
        <f>VLOOKUP($B221,master!$B$2:$S$595,8,0)</f>
        <v>KARANGSEMUT</v>
      </c>
      <c r="J221" s="46" t="str">
        <f>VLOOKUP($B221,master!$B$2:$S$595,9,0)</f>
        <v>010</v>
      </c>
      <c r="K221" s="46" t="str">
        <f>VLOOKUP($B221,master!$B$2:$S$595,11,0)</f>
        <v>TRIMULYO</v>
      </c>
      <c r="L221" s="46" t="str">
        <f>VLOOKUP($B221,master!$B$2:$S$595,12,0)</f>
        <v>JETIS</v>
      </c>
      <c r="M221" s="46" t="str">
        <f>VLOOKUP($B221,master!$B$2:$S$595,6,0)</f>
        <v>Nur Hayanto</v>
      </c>
      <c r="N221" s="58" t="str">
        <f>VLOOKUP($B221,master!$B$2:$S$595,15,0)</f>
        <v>SMP MUHAMMADIYAH IMOGIRI</v>
      </c>
      <c r="O221" s="58" t="str">
        <f>VLOOKUP($B221,master!$B$2:$S$595,4,0)</f>
        <v>13-06-2009</v>
      </c>
    </row>
    <row r="222" spans="1:15" ht="15.75" customHeight="1" x14ac:dyDescent="0.25">
      <c r="A222" s="56" t="s">
        <v>304</v>
      </c>
      <c r="B222" s="92" t="s">
        <v>2288</v>
      </c>
      <c r="C222" s="88" t="s">
        <v>4279</v>
      </c>
      <c r="D222" s="92" t="s">
        <v>2289</v>
      </c>
      <c r="E222" s="45" t="str">
        <f>VLOOKUP(D222,Total!$C$2:$D$439,2,0)</f>
        <v>10 TKR 5</v>
      </c>
      <c r="F222" s="45" t="str">
        <f>VLOOKUP(C222,Total!$B$2:$F$439,5,0)</f>
        <v>AKTIF</v>
      </c>
      <c r="G222" s="46" t="str">
        <f>VLOOKUP($B222,master!$B$2:$S$595,16,0)</f>
        <v>082324582244</v>
      </c>
      <c r="H222" s="46" t="str">
        <f>VLOOKUP($B222,master!$B$2:$S$595,17,0)</f>
        <v>082324582244</v>
      </c>
      <c r="I222" s="46" t="str">
        <f>VLOOKUP($B222,master!$B$2:$S$595,8,0)</f>
        <v>CANDRAN</v>
      </c>
      <c r="J222" s="46" t="str">
        <f>VLOOKUP($B222,master!$B$2:$S$595,9,0)</f>
        <v>3</v>
      </c>
      <c r="K222" s="46" t="str">
        <f>VLOOKUP($B222,master!$B$2:$S$595,11,0)</f>
        <v>KEBONAGUNG</v>
      </c>
      <c r="L222" s="46" t="str">
        <f>VLOOKUP($B222,master!$B$2:$S$595,12,0)</f>
        <v>IMOGIRI</v>
      </c>
      <c r="M222" s="46" t="str">
        <f>VLOOKUP($B222,master!$B$2:$S$595,6,0)</f>
        <v>SARYANTA</v>
      </c>
      <c r="N222" s="58" t="str">
        <f>VLOOKUP($B222,master!$B$2:$S$595,15,0)</f>
        <v>PKBM WIYATA MANDIRI</v>
      </c>
      <c r="O222" s="58" t="str">
        <f>VLOOKUP($B222,master!$B$2:$S$595,4,0)</f>
        <v>25-06-2009</v>
      </c>
    </row>
    <row r="223" spans="1:15" ht="15.75" customHeight="1" x14ac:dyDescent="0.25">
      <c r="A223" s="56" t="s">
        <v>305</v>
      </c>
      <c r="B223" s="92" t="s">
        <v>1934</v>
      </c>
      <c r="C223" s="88" t="s">
        <v>4280</v>
      </c>
      <c r="D223" s="92" t="s">
        <v>1935</v>
      </c>
      <c r="E223" s="45" t="str">
        <f>VLOOKUP(D223,Total!$C$2:$D$439,2,0)</f>
        <v>10 TKR 5</v>
      </c>
      <c r="F223" s="45" t="str">
        <f>VLOOKUP(C223,Total!$B$2:$F$439,5,0)</f>
        <v>AKTIF</v>
      </c>
      <c r="G223" s="46" t="str">
        <f>VLOOKUP($B223,master!$B$2:$S$595,16,0)</f>
        <v>089504377885</v>
      </c>
      <c r="H223" s="46" t="str">
        <f>VLOOKUP($B223,master!$B$2:$S$595,17,0)</f>
        <v>-</v>
      </c>
      <c r="I223" s="46" t="str">
        <f>VLOOKUP($B223,master!$B$2:$S$595,8,0)</f>
        <v>PATEN</v>
      </c>
      <c r="J223" s="46" t="str">
        <f>VLOOKUP($B223,master!$B$2:$S$595,9,0)</f>
        <v>6</v>
      </c>
      <c r="K223" s="46" t="str">
        <f>VLOOKUP($B223,master!$B$2:$S$595,11,0)</f>
        <v>TIMBULHARJO</v>
      </c>
      <c r="L223" s="46" t="str">
        <f>VLOOKUP($B223,master!$B$2:$S$595,12,0)</f>
        <v>SEWON</v>
      </c>
      <c r="M223" s="46" t="str">
        <f>VLOOKUP($B223,master!$B$2:$S$595,6,0)</f>
        <v>PARDIMAN</v>
      </c>
      <c r="N223" s="58" t="str">
        <f>VLOOKUP($B223,master!$B$2:$S$595,15,0)</f>
        <v>SMP N 2 SEWON</v>
      </c>
      <c r="O223" s="58" t="str">
        <f>VLOOKUP($B223,master!$B$2:$S$595,4,0)</f>
        <v>27-02-2009</v>
      </c>
    </row>
    <row r="224" spans="1:15" ht="15.75" customHeight="1" x14ac:dyDescent="0.25">
      <c r="A224" s="56" t="s">
        <v>306</v>
      </c>
      <c r="B224" s="92" t="s">
        <v>1249</v>
      </c>
      <c r="C224" s="88" t="s">
        <v>4281</v>
      </c>
      <c r="D224" s="92" t="s">
        <v>1250</v>
      </c>
      <c r="E224" s="45" t="str">
        <f>VLOOKUP(D224,Total!$C$2:$D$439,2,0)</f>
        <v>10 TKR 5</v>
      </c>
      <c r="F224" s="45" t="str">
        <f>VLOOKUP(C224,Total!$B$2:$F$439,5,0)</f>
        <v>AKTIF</v>
      </c>
      <c r="G224" s="46" t="str">
        <f>VLOOKUP($B224,master!$B$2:$S$595,16,0)</f>
        <v>-</v>
      </c>
      <c r="H224" s="46" t="str">
        <f>VLOOKUP($B224,master!$B$2:$S$595,17,0)</f>
        <v>088806060618</v>
      </c>
      <c r="I224" s="46" t="str">
        <f>VLOOKUP($B224,master!$B$2:$S$595,8,0)</f>
        <v>PAGUNG</v>
      </c>
      <c r="J224" s="46" t="str">
        <f>VLOOKUP($B224,master!$B$2:$S$595,9,0)</f>
        <v>4</v>
      </c>
      <c r="K224" s="46" t="str">
        <f>VLOOKUP($B224,master!$B$2:$S$595,11,0)</f>
        <v>TIRTOMULYO</v>
      </c>
      <c r="L224" s="46" t="str">
        <f>VLOOKUP($B224,master!$B$2:$S$595,12,0)</f>
        <v>KRETEK</v>
      </c>
      <c r="M224" s="46" t="str">
        <f>VLOOKUP($B224,master!$B$2:$S$595,6,0)</f>
        <v>NOVITA DAMAYANTI</v>
      </c>
      <c r="N224" s="58" t="str">
        <f>VLOOKUP($B224,master!$B$2:$S$595,15,0)</f>
        <v>SMP N 1 BAMBANGLIPURO</v>
      </c>
      <c r="O224" s="58" t="str">
        <f>VLOOKUP($B224,master!$B$2:$S$595,4,0)</f>
        <v>17-09-2009</v>
      </c>
    </row>
    <row r="225" spans="1:15" ht="15.75" customHeight="1" x14ac:dyDescent="0.25">
      <c r="A225" s="56" t="s">
        <v>307</v>
      </c>
      <c r="B225" s="92" t="s">
        <v>1052</v>
      </c>
      <c r="C225" s="88" t="s">
        <v>4282</v>
      </c>
      <c r="D225" s="92" t="s">
        <v>1053</v>
      </c>
      <c r="E225" s="45" t="str">
        <f>VLOOKUP(D225,Total!$C$2:$D$439,2,0)</f>
        <v>10 TKR 5</v>
      </c>
      <c r="F225" s="45" t="str">
        <f>VLOOKUP(C225,Total!$B$2:$F$439,5,0)</f>
        <v>AKTIF</v>
      </c>
      <c r="G225" s="46" t="str">
        <f>VLOOKUP($B225,master!$B$2:$S$595,16,0)</f>
        <v>0895806688710</v>
      </c>
      <c r="H225" s="46">
        <f>VLOOKUP($B225,master!$B$2:$S$595,17,0)</f>
        <v>0</v>
      </c>
      <c r="I225" s="46" t="str">
        <f>VLOOKUP($B225,master!$B$2:$S$595,8,0)</f>
        <v>SRAGAN</v>
      </c>
      <c r="J225" s="46" t="str">
        <f>VLOOKUP($B225,master!$B$2:$S$595,9,0)</f>
        <v>6</v>
      </c>
      <c r="K225" s="46" t="str">
        <f>VLOOKUP($B225,master!$B$2:$S$595,11,0)</f>
        <v>TRIRENGGO</v>
      </c>
      <c r="L225" s="46" t="str">
        <f>VLOOKUP($B225,master!$B$2:$S$595,12,0)</f>
        <v>BANTUL</v>
      </c>
      <c r="M225" s="46" t="str">
        <f>VLOOKUP($B225,master!$B$2:$S$595,6,0)</f>
        <v>AGUNG WICAKSONO</v>
      </c>
      <c r="N225" s="58" t="str">
        <f>VLOOKUP($B225,master!$B$2:$S$595,15,0)</f>
        <v>SMP PATRIA BANTUL</v>
      </c>
      <c r="O225" s="58" t="str">
        <f>VLOOKUP($B225,master!$B$2:$S$595,4,0)</f>
        <v>8-02-2010</v>
      </c>
    </row>
    <row r="226" spans="1:15" ht="15.75" customHeight="1" x14ac:dyDescent="0.25">
      <c r="A226" s="56" t="s">
        <v>308</v>
      </c>
      <c r="B226" s="92" t="s">
        <v>1662</v>
      </c>
      <c r="C226" s="88" t="s">
        <v>4283</v>
      </c>
      <c r="D226" s="92" t="s">
        <v>4521</v>
      </c>
      <c r="E226" s="45" t="str">
        <f>VLOOKUP(D226,Total!$C$2:$D$439,2,0)</f>
        <v>10 TKR 5</v>
      </c>
      <c r="F226" s="45" t="str">
        <f>VLOOKUP(C226,Total!$B$2:$F$439,5,0)</f>
        <v>AKTIF</v>
      </c>
      <c r="G226" s="46" t="str">
        <f>VLOOKUP($B226,master!$B$2:$S$595,16,0)</f>
        <v>085212160306</v>
      </c>
      <c r="H226" s="46" t="str">
        <f>VLOOKUP($B226,master!$B$2:$S$595,17,0)</f>
        <v>085819225453</v>
      </c>
      <c r="I226" s="46" t="str">
        <f>VLOOKUP($B226,master!$B$2:$S$595,8,0)</f>
        <v>GANDEKAN</v>
      </c>
      <c r="J226" s="46" t="str">
        <f>VLOOKUP($B226,master!$B$2:$S$595,9,0)</f>
        <v>4</v>
      </c>
      <c r="K226" s="46" t="str">
        <f>VLOOKUP($B226,master!$B$2:$S$595,11,0)</f>
        <v>TRIRENGGO</v>
      </c>
      <c r="L226" s="46" t="str">
        <f>VLOOKUP($B226,master!$B$2:$S$595,12,0)</f>
        <v>BANTUL</v>
      </c>
      <c r="M226" s="46" t="str">
        <f>VLOOKUP($B226,master!$B$2:$S$595,6,0)</f>
        <v>WIDODO</v>
      </c>
      <c r="N226" s="58" t="str">
        <f>VLOOKUP($B226,master!$B$2:$S$595,15,0)</f>
        <v>MTs Minhajut Tholabah</v>
      </c>
      <c r="O226" s="58" t="str">
        <f>VLOOKUP($B226,master!$B$2:$S$595,4,0)</f>
        <v>6-12-2009</v>
      </c>
    </row>
    <row r="227" spans="1:15" ht="15.75" customHeight="1" x14ac:dyDescent="0.25">
      <c r="A227" s="56" t="s">
        <v>309</v>
      </c>
      <c r="B227" s="92" t="s">
        <v>2432</v>
      </c>
      <c r="C227" s="88" t="s">
        <v>4284</v>
      </c>
      <c r="D227" s="92" t="s">
        <v>2433</v>
      </c>
      <c r="E227" s="45" t="str">
        <f>VLOOKUP(D227,Total!$C$2:$D$439,2,0)</f>
        <v>10 TKR 5</v>
      </c>
      <c r="F227" s="45" t="str">
        <f>VLOOKUP(C227,Total!$B$2:$F$439,5,0)</f>
        <v>AKTIF</v>
      </c>
      <c r="G227" s="46" t="str">
        <f>VLOOKUP($B227,master!$B$2:$S$595,16,0)</f>
        <v>085712670558</v>
      </c>
      <c r="H227" s="46" t="str">
        <f>VLOOKUP($B227,master!$B$2:$S$595,17,0)</f>
        <v>085740009140</v>
      </c>
      <c r="I227" s="46" t="str">
        <f>VLOOKUP($B227,master!$B$2:$S$595,8,0)</f>
        <v>KARANGSEMUT</v>
      </c>
      <c r="J227" s="46" t="str">
        <f>VLOOKUP($B227,master!$B$2:$S$595,9,0)</f>
        <v>01</v>
      </c>
      <c r="K227" s="46" t="str">
        <f>VLOOKUP($B227,master!$B$2:$S$595,11,0)</f>
        <v>TRIMULYO</v>
      </c>
      <c r="L227" s="46" t="str">
        <f>VLOOKUP($B227,master!$B$2:$S$595,12,0)</f>
        <v>JETIS</v>
      </c>
      <c r="M227" s="46" t="str">
        <f>VLOOKUP($B227,master!$B$2:$S$595,6,0)</f>
        <v>Poniman/mujirah</v>
      </c>
      <c r="N227" s="58" t="str">
        <f>VLOOKUP($B227,master!$B$2:$S$595,15,0)</f>
        <v>SMP MUHAMMADIYAH IMOGIRI</v>
      </c>
      <c r="O227" s="58" t="str">
        <f>VLOOKUP($B227,master!$B$2:$S$595,4,0)</f>
        <v>17-09-2009</v>
      </c>
    </row>
    <row r="228" spans="1:15" ht="15.75" customHeight="1" x14ac:dyDescent="0.25">
      <c r="A228" s="56" t="s">
        <v>310</v>
      </c>
      <c r="B228" s="92" t="s">
        <v>1981</v>
      </c>
      <c r="C228" s="88" t="s">
        <v>4285</v>
      </c>
      <c r="D228" s="92" t="s">
        <v>1982</v>
      </c>
      <c r="E228" s="45" t="str">
        <f>VLOOKUP(D228,Total!$C$2:$D$439,2,0)</f>
        <v>10 TKR 5</v>
      </c>
      <c r="F228" s="45" t="str">
        <f>VLOOKUP(C228,Total!$B$2:$F$439,5,0)</f>
        <v>AKTIF</v>
      </c>
      <c r="G228" s="46" t="str">
        <f>VLOOKUP($B228,master!$B$2:$S$595,16,0)</f>
        <v>087839620515</v>
      </c>
      <c r="H228" s="46" t="str">
        <f>VLOOKUP($B228,master!$B$2:$S$595,17,0)</f>
        <v>081329281393</v>
      </c>
      <c r="I228" s="46" t="str">
        <f>VLOOKUP($B228,master!$B$2:$S$595,8,0)</f>
        <v>BIBIS</v>
      </c>
      <c r="J228" s="46" t="str">
        <f>VLOOKUP($B228,master!$B$2:$S$595,9,0)</f>
        <v>2</v>
      </c>
      <c r="K228" s="46" t="str">
        <f>VLOOKUP($B228,master!$B$2:$S$595,11,0)</f>
        <v>BANGUNJIWO</v>
      </c>
      <c r="L228" s="46" t="str">
        <f>VLOOKUP($B228,master!$B$2:$S$595,12,0)</f>
        <v>KASIHAN</v>
      </c>
      <c r="M228" s="46" t="str">
        <f>VLOOKUP($B228,master!$B$2:$S$595,6,0)</f>
        <v>MARDIYO</v>
      </c>
      <c r="N228" s="58" t="str">
        <f>VLOOKUP($B228,master!$B$2:$S$595,15,0)</f>
        <v>MTS AL-HADI II</v>
      </c>
      <c r="O228" s="58" t="str">
        <f>VLOOKUP($B228,master!$B$2:$S$595,4,0)</f>
        <v>20-03-2009</v>
      </c>
    </row>
    <row r="229" spans="1:15" ht="15.75" customHeight="1" x14ac:dyDescent="0.25">
      <c r="A229" s="56" t="s">
        <v>311</v>
      </c>
      <c r="B229" s="92" t="s">
        <v>1323</v>
      </c>
      <c r="C229" s="88" t="s">
        <v>4286</v>
      </c>
      <c r="D229" s="92" t="s">
        <v>1324</v>
      </c>
      <c r="E229" s="45" t="str">
        <f>VLOOKUP(D229,Total!$C$2:$D$439,2,0)</f>
        <v>10 TKR 5</v>
      </c>
      <c r="F229" s="45" t="str">
        <f>VLOOKUP(C229,Total!$B$2:$F$439,5,0)</f>
        <v>AKTIF</v>
      </c>
      <c r="G229" s="46" t="str">
        <f>VLOOKUP($B229,master!$B$2:$S$595,16,0)</f>
        <v>-</v>
      </c>
      <c r="H229" s="46" t="str">
        <f>VLOOKUP($B229,master!$B$2:$S$595,17,0)</f>
        <v>08998405176</v>
      </c>
      <c r="I229" s="46" t="str">
        <f>VLOOKUP($B229,master!$B$2:$S$595,8,0)</f>
        <v>MANGIR LOR</v>
      </c>
      <c r="J229" s="46" t="str">
        <f>VLOOKUP($B229,master!$B$2:$S$595,9,0)</f>
        <v>4</v>
      </c>
      <c r="K229" s="46" t="str">
        <f>VLOOKUP($B229,master!$B$2:$S$595,11,0)</f>
        <v>SENDANGSARI</v>
      </c>
      <c r="L229" s="46" t="str">
        <f>VLOOKUP($B229,master!$B$2:$S$595,12,0)</f>
        <v>PAJANGAN</v>
      </c>
      <c r="M229" s="46" t="str">
        <f>VLOOKUP($B229,master!$B$2:$S$595,6,0)</f>
        <v>SLAMET MULYADI</v>
      </c>
      <c r="N229" s="58" t="str">
        <f>VLOOKUP($B229,master!$B$2:$S$595,15,0)</f>
        <v>SMP N 1 BAMBANGLIPURO</v>
      </c>
      <c r="O229" s="58" t="str">
        <f>VLOOKUP($B229,master!$B$2:$S$595,4,0)</f>
        <v>27-10-2009</v>
      </c>
    </row>
    <row r="230" spans="1:15" ht="15.75" customHeight="1" x14ac:dyDescent="0.25">
      <c r="A230" s="56" t="s">
        <v>312</v>
      </c>
      <c r="B230" s="92" t="s">
        <v>1968</v>
      </c>
      <c r="C230" s="88" t="s">
        <v>4287</v>
      </c>
      <c r="D230" s="92" t="s">
        <v>1969</v>
      </c>
      <c r="E230" s="45" t="str">
        <f>VLOOKUP(D230,Total!$C$2:$D$439,2,0)</f>
        <v>10 TKR 5</v>
      </c>
      <c r="F230" s="45" t="str">
        <f>VLOOKUP(C230,Total!$B$2:$F$439,5,0)</f>
        <v>AKTIF</v>
      </c>
      <c r="G230" s="46" t="str">
        <f>VLOOKUP($B230,master!$B$2:$S$595,16,0)</f>
        <v>081236429064</v>
      </c>
      <c r="H230" s="46" t="str">
        <f>VLOOKUP($B230,master!$B$2:$S$595,17,0)</f>
        <v>089619791862</v>
      </c>
      <c r="I230" s="46" t="str">
        <f>VLOOKUP($B230,master!$B$2:$S$595,8,0)</f>
        <v>KEDATON</v>
      </c>
      <c r="J230" s="46" t="str">
        <f>VLOOKUP($B230,master!$B$2:$S$595,9,0)</f>
        <v>6</v>
      </c>
      <c r="K230" s="46" t="str">
        <f>VLOOKUP($B230,master!$B$2:$S$595,11,0)</f>
        <v>PLERET</v>
      </c>
      <c r="L230" s="46" t="str">
        <f>VLOOKUP($B230,master!$B$2:$S$595,12,0)</f>
        <v>PLERET</v>
      </c>
      <c r="M230" s="46" t="str">
        <f>VLOOKUP($B230,master!$B$2:$S$595,6,0)</f>
        <v>RUS PURYONO</v>
      </c>
      <c r="N230" s="58" t="str">
        <f>VLOOKUP($B230,master!$B$2:$S$595,15,0)</f>
        <v>SMP N 2 PLERET</v>
      </c>
      <c r="O230" s="58" t="str">
        <f>VLOOKUP($B230,master!$B$2:$S$595,4,0)</f>
        <v>17-12-2009</v>
      </c>
    </row>
    <row r="231" spans="1:15" ht="15.75" customHeight="1" x14ac:dyDescent="0.25">
      <c r="A231" s="56" t="s">
        <v>313</v>
      </c>
      <c r="B231" s="92" t="s">
        <v>2502</v>
      </c>
      <c r="C231" s="88" t="s">
        <v>4288</v>
      </c>
      <c r="D231" s="92" t="s">
        <v>2503</v>
      </c>
      <c r="E231" s="45" t="str">
        <f>VLOOKUP(D231,Total!$C$2:$D$439,2,0)</f>
        <v>10 TKR 5</v>
      </c>
      <c r="F231" s="45" t="str">
        <f>VLOOKUP(C231,Total!$B$2:$F$439,5,0)</f>
        <v>AKTIF</v>
      </c>
      <c r="G231" s="46" t="str">
        <f>VLOOKUP($B231,master!$B$2:$S$595,16,0)</f>
        <v>087748001428</v>
      </c>
      <c r="H231" s="46" t="str">
        <f>VLOOKUP($B231,master!$B$2:$S$595,17,0)</f>
        <v>081585389460</v>
      </c>
      <c r="I231" s="46" t="str">
        <f>VLOOKUP($B231,master!$B$2:$S$595,8,0)</f>
        <v>JOGOKARIYAN MJ.3/742</v>
      </c>
      <c r="J231" s="46" t="str">
        <f>VLOOKUP($B231,master!$B$2:$S$595,9,0)</f>
        <v>42</v>
      </c>
      <c r="K231" s="46" t="str">
        <f>VLOOKUP($B231,master!$B$2:$S$595,11,0)</f>
        <v>MANTRIJERON</v>
      </c>
      <c r="L231" s="46" t="str">
        <f>VLOOKUP($B231,master!$B$2:$S$595,12,0)</f>
        <v>MANTRIJERON</v>
      </c>
      <c r="M231" s="46" t="str">
        <f>VLOOKUP($B231,master!$B$2:$S$595,6,0)</f>
        <v>ARIF BIYANTO</v>
      </c>
      <c r="N231" s="58" t="str">
        <f>VLOOKUP($B231,master!$B$2:$S$595,15,0)</f>
        <v>MTS N 1 YOGYAKARTA</v>
      </c>
      <c r="O231" s="58" t="str">
        <f>VLOOKUP($B231,master!$B$2:$S$595,4,0)</f>
        <v>22-04-2010</v>
      </c>
    </row>
    <row r="232" spans="1:15" ht="15.75" customHeight="1" x14ac:dyDescent="0.25">
      <c r="A232" s="56" t="s">
        <v>314</v>
      </c>
      <c r="B232" s="92" t="s">
        <v>976</v>
      </c>
      <c r="C232" s="88" t="s">
        <v>4289</v>
      </c>
      <c r="D232" s="92" t="s">
        <v>977</v>
      </c>
      <c r="E232" s="45" t="str">
        <f>VLOOKUP(D232,Total!$C$2:$D$439,2,0)</f>
        <v>10 TKR 5</v>
      </c>
      <c r="F232" s="45" t="str">
        <f>VLOOKUP(C232,Total!$B$2:$F$439,5,0)</f>
        <v>AKTIF</v>
      </c>
      <c r="G232" s="46" t="str">
        <f>VLOOKUP($B232,master!$B$2:$S$595,16,0)</f>
        <v>083104813503</v>
      </c>
      <c r="H232" s="46">
        <f>VLOOKUP($B232,master!$B$2:$S$595,17,0)</f>
        <v>0</v>
      </c>
      <c r="I232" s="46" t="str">
        <f>VLOOKUP($B232,master!$B$2:$S$595,8,0)</f>
        <v>SOMPOK</v>
      </c>
      <c r="J232" s="46" t="str">
        <f>VLOOKUP($B232,master!$B$2:$S$595,9,0)</f>
        <v>6</v>
      </c>
      <c r="K232" s="46" t="str">
        <f>VLOOKUP($B232,master!$B$2:$S$595,11,0)</f>
        <v>SRIHARJO</v>
      </c>
      <c r="L232" s="46" t="str">
        <f>VLOOKUP($B232,master!$B$2:$S$595,12,0)</f>
        <v>IMOGIRI</v>
      </c>
      <c r="M232" s="46" t="str">
        <f>VLOOKUP($B232,master!$B$2:$S$595,6,0)</f>
        <v>AGUNG BUDI SANTOSO</v>
      </c>
      <c r="N232" s="58" t="str">
        <f>VLOOKUP($B232,master!$B$2:$S$595,15,0)</f>
        <v>SMP N 3 IMOGIRI</v>
      </c>
      <c r="O232" s="58" t="str">
        <f>VLOOKUP($B232,master!$B$2:$S$595,4,0)</f>
        <v>11-06-2009</v>
      </c>
    </row>
    <row r="233" spans="1:15" ht="15.75" customHeight="1" x14ac:dyDescent="0.25">
      <c r="A233" s="56" t="s">
        <v>315</v>
      </c>
      <c r="B233" s="92" t="s">
        <v>1222</v>
      </c>
      <c r="C233" s="88" t="s">
        <v>4290</v>
      </c>
      <c r="D233" s="92" t="s">
        <v>1223</v>
      </c>
      <c r="E233" s="62" t="str">
        <f>VLOOKUP(D233,Total!$C$2:$D$439,2,0)</f>
        <v>10 TKR 5</v>
      </c>
      <c r="F233" s="45" t="str">
        <f>VLOOKUP(C233,Total!$B$2:$F$439,5,0)</f>
        <v>AKTIF</v>
      </c>
      <c r="G233" s="46" t="str">
        <f>VLOOKUP($B233,master!$B$2:$S$595,16,0)</f>
        <v>085725732985</v>
      </c>
      <c r="H233" s="46" t="str">
        <f>VLOOKUP($B233,master!$B$2:$S$595,17,0)</f>
        <v>088226318266</v>
      </c>
      <c r="I233" s="46" t="str">
        <f>VLOOKUP($B233,master!$B$2:$S$595,8,0)</f>
        <v>dERMOJURANG</v>
      </c>
      <c r="J233" s="46" t="str">
        <f>VLOOKUP($B233,master!$B$2:$S$595,9,0)</f>
        <v>01</v>
      </c>
      <c r="K233" s="46" t="str">
        <f>VLOOKUP($B233,master!$B$2:$S$595,11,0)</f>
        <v>SELOHARJO</v>
      </c>
      <c r="L233" s="46" t="str">
        <f>VLOOKUP($B233,master!$B$2:$S$595,12,0)</f>
        <v>PUNDONG</v>
      </c>
      <c r="M233" s="46" t="str">
        <f>VLOOKUP($B233,master!$B$2:$S$595,6,0)</f>
        <v>AGUS NUR kHOLIQ</v>
      </c>
      <c r="N233" s="58" t="str">
        <f>VLOOKUP($B233,master!$B$2:$S$595,15,0)</f>
        <v>SMP N 2 PUNDONG</v>
      </c>
      <c r="O233" s="58" t="str">
        <f>VLOOKUP($B233,master!$B$2:$S$595,4,0)</f>
        <v>3-09-2009</v>
      </c>
    </row>
    <row r="234" spans="1:15" ht="15.75" customHeight="1" x14ac:dyDescent="0.25">
      <c r="A234" s="56" t="s">
        <v>316</v>
      </c>
      <c r="B234" s="92" t="s">
        <v>1369</v>
      </c>
      <c r="C234" s="88" t="s">
        <v>4291</v>
      </c>
      <c r="D234" s="92" t="s">
        <v>1370</v>
      </c>
      <c r="E234" s="45" t="str">
        <f>VLOOKUP(D234,Total!$C$2:$D$439,2,0)</f>
        <v>10 TKR 5</v>
      </c>
      <c r="F234" s="45" t="str">
        <f>VLOOKUP(C234,Total!$B$2:$F$439,5,0)</f>
        <v>AKTIF</v>
      </c>
      <c r="G234" s="46" t="str">
        <f>VLOOKUP($B234,master!$B$2:$S$595,16,0)</f>
        <v>0895405053272</v>
      </c>
      <c r="H234" s="46" t="str">
        <f>VLOOKUP($B234,master!$B$2:$S$595,17,0)</f>
        <v>0895405053272</v>
      </c>
      <c r="I234" s="46" t="str">
        <f>VLOOKUP($B234,master!$B$2:$S$595,8,0)</f>
        <v>SERAYU</v>
      </c>
      <c r="J234" s="46" t="str">
        <f>VLOOKUP($B234,master!$B$2:$S$595,9,0)</f>
        <v>2</v>
      </c>
      <c r="K234" s="46" t="str">
        <f>VLOOKUP($B234,master!$B$2:$S$595,11,0)</f>
        <v>BANTUL</v>
      </c>
      <c r="L234" s="46" t="str">
        <f>VLOOKUP($B234,master!$B$2:$S$595,12,0)</f>
        <v>BANTUL</v>
      </c>
      <c r="M234" s="46" t="str">
        <f>VLOOKUP($B234,master!$B$2:$S$595,6,0)</f>
        <v>BUDI LESTARI</v>
      </c>
      <c r="N234" s="58" t="str">
        <f>VLOOKUP($B234,master!$B$2:$S$595,15,0)</f>
        <v>PKBM BINA SEKAR MELATI</v>
      </c>
      <c r="O234" s="58" t="str">
        <f>VLOOKUP($B234,master!$B$2:$S$595,4,0)</f>
        <v>12-06-2009</v>
      </c>
    </row>
    <row r="235" spans="1:15" ht="15.75" customHeight="1" x14ac:dyDescent="0.25">
      <c r="A235" s="56" t="s">
        <v>317</v>
      </c>
      <c r="B235" s="92" t="s">
        <v>2453</v>
      </c>
      <c r="C235" s="88" t="s">
        <v>4292</v>
      </c>
      <c r="D235" s="92" t="s">
        <v>2454</v>
      </c>
      <c r="E235" s="45" t="str">
        <f>VLOOKUP(D235,Total!$C$2:$D$439,2,0)</f>
        <v>10 TKR 5</v>
      </c>
      <c r="F235" s="45" t="str">
        <f>VLOOKUP(C235,Total!$B$2:$F$439,5,0)</f>
        <v>AKTIF</v>
      </c>
      <c r="G235" s="46" t="str">
        <f>VLOOKUP($B235,master!$B$2:$S$595,16,0)</f>
        <v>085868218867</v>
      </c>
      <c r="H235" s="46" t="str">
        <f>VLOOKUP($B235,master!$B$2:$S$595,17,0)</f>
        <v>085786974397</v>
      </c>
      <c r="I235" s="46" t="str">
        <f>VLOOKUP($B235,master!$B$2:$S$595,8,0)</f>
        <v>GANDEKAN</v>
      </c>
      <c r="J235" s="46" t="str">
        <f>VLOOKUP($B235,master!$B$2:$S$595,9,0)</f>
        <v>4</v>
      </c>
      <c r="K235" s="46" t="str">
        <f>VLOOKUP($B235,master!$B$2:$S$595,11,0)</f>
        <v>TRIRENGGO</v>
      </c>
      <c r="L235" s="46" t="str">
        <f>VLOOKUP($B235,master!$B$2:$S$595,12,0)</f>
        <v>BANTUL</v>
      </c>
      <c r="M235" s="46" t="str">
        <f>VLOOKUP($B235,master!$B$2:$S$595,6,0)</f>
        <v>SETYO PURWANTO</v>
      </c>
      <c r="N235" s="58" t="str">
        <f>VLOOKUP($B235,master!$B$2:$S$595,15,0)</f>
        <v>MTS N 4 BANTUL</v>
      </c>
      <c r="O235" s="58" t="str">
        <f>VLOOKUP($B235,master!$B$2:$S$595,4,0)</f>
        <v>31-08-2009</v>
      </c>
    </row>
    <row r="236" spans="1:15" ht="15.75" customHeight="1" x14ac:dyDescent="0.25">
      <c r="A236" s="56" t="s">
        <v>318</v>
      </c>
      <c r="B236" s="92" t="s">
        <v>3331</v>
      </c>
      <c r="C236" s="88" t="s">
        <v>4293</v>
      </c>
      <c r="D236" s="92" t="s">
        <v>3332</v>
      </c>
      <c r="E236" s="45" t="str">
        <f>VLOOKUP(D236,Total!$C$2:$D$439,2,0)</f>
        <v>10 TKR 5</v>
      </c>
      <c r="F236" s="45" t="str">
        <f>VLOOKUP(C236,Total!$B$2:$F$439,5,0)</f>
        <v>AKTIF</v>
      </c>
      <c r="G236" s="46" t="str">
        <f>VLOOKUP($B236,master!$B$2:$S$595,16,0)</f>
        <v>081229513400</v>
      </c>
      <c r="H236" s="46" t="str">
        <f>VLOOKUP($B236,master!$B$2:$S$595,17,0)</f>
        <v>0</v>
      </c>
      <c r="I236" s="46" t="str">
        <f>VLOOKUP($B236,master!$B$2:$S$595,8,0)</f>
        <v>ROGOITAN</v>
      </c>
      <c r="J236" s="46" t="str">
        <f>VLOOKUP($B236,master!$B$2:$S$595,9,0)</f>
        <v>93</v>
      </c>
      <c r="K236" s="46" t="str">
        <f>VLOOKUP($B236,master!$B$2:$S$595,11,0)</f>
        <v>PENDOWOHARJO</v>
      </c>
      <c r="L236" s="46" t="str">
        <f>VLOOKUP($B236,master!$B$2:$S$595,12,0)</f>
        <v>SEWON</v>
      </c>
      <c r="M236" s="46" t="str">
        <f>VLOOKUP($B236,master!$B$2:$S$595,6,0)</f>
        <v>RISWANTO</v>
      </c>
      <c r="N236" s="58" t="str">
        <f>VLOOKUP($B236,master!$B$2:$S$595,15,0)</f>
        <v>SMP N 3 SEWON</v>
      </c>
      <c r="O236" s="58" t="str">
        <f>VLOOKUP($B236,master!$B$2:$S$595,4,0)</f>
        <v>16-04-2009</v>
      </c>
    </row>
    <row r="237" spans="1:15" ht="15.75" customHeight="1" x14ac:dyDescent="0.25">
      <c r="A237" s="56" t="s">
        <v>319</v>
      </c>
      <c r="B237" s="92" t="s">
        <v>1689</v>
      </c>
      <c r="C237" s="88" t="s">
        <v>4294</v>
      </c>
      <c r="D237" s="92" t="s">
        <v>4515</v>
      </c>
      <c r="E237" s="45" t="str">
        <f>VLOOKUP(D237,Total!$C$2:$D$439,2,0)</f>
        <v>10 TKR 5</v>
      </c>
      <c r="F237" s="45" t="str">
        <f>VLOOKUP(C237,Total!$B$2:$F$439,5,0)</f>
        <v>AKTIF</v>
      </c>
      <c r="G237" s="46" t="str">
        <f>VLOOKUP($B237,master!$B$2:$S$595,16,0)</f>
        <v>088233528024</v>
      </c>
      <c r="H237" s="46" t="str">
        <f>VLOOKUP($B237,master!$B$2:$S$595,17,0)</f>
        <v>089506943143</v>
      </c>
      <c r="I237" s="46" t="str">
        <f>VLOOKUP($B237,master!$B$2:$S$595,8,0)</f>
        <v>CEPIT</v>
      </c>
      <c r="J237" s="46" t="str">
        <f>VLOOKUP($B237,master!$B$2:$S$595,9,0)</f>
        <v>5</v>
      </c>
      <c r="K237" s="46" t="str">
        <f>VLOOKUP($B237,master!$B$2:$S$595,11,0)</f>
        <v>PENDOWOHARJO</v>
      </c>
      <c r="L237" s="46" t="str">
        <f>VLOOKUP($B237,master!$B$2:$S$595,12,0)</f>
        <v>SEWON</v>
      </c>
      <c r="M237" s="46" t="str">
        <f>VLOOKUP($B237,master!$B$2:$S$595,6,0)</f>
        <v>HENDI SETIANDI</v>
      </c>
      <c r="N237" s="58" t="str">
        <f>VLOOKUP($B237,master!$B$2:$S$595,15,0)</f>
        <v>SMP N 4 SEWON</v>
      </c>
      <c r="O237" s="58" t="str">
        <f>VLOOKUP($B237,master!$B$2:$S$595,4,0)</f>
        <v>28-09-2009</v>
      </c>
    </row>
    <row r="238" spans="1:15" ht="15.75" customHeight="1" x14ac:dyDescent="0.25">
      <c r="A238" s="56" t="s">
        <v>320</v>
      </c>
      <c r="B238" s="92" t="s">
        <v>1455</v>
      </c>
      <c r="C238" s="88" t="s">
        <v>4295</v>
      </c>
      <c r="D238" s="92" t="s">
        <v>1456</v>
      </c>
      <c r="E238" s="45" t="str">
        <f>VLOOKUP(D238,Total!$C$2:$D$439,2,0)</f>
        <v>10 TKR 5</v>
      </c>
      <c r="F238" s="45" t="str">
        <f>VLOOKUP(C238,Total!$B$2:$F$439,5,0)</f>
        <v>AKTIF</v>
      </c>
      <c r="G238" s="46" t="str">
        <f>VLOOKUP($B238,master!$B$2:$S$595,16,0)</f>
        <v>085729609230</v>
      </c>
      <c r="H238" s="46" t="str">
        <f>VLOOKUP($B238,master!$B$2:$S$595,17,0)</f>
        <v>085729609230</v>
      </c>
      <c r="I238" s="46" t="str">
        <f>VLOOKUP($B238,master!$B$2:$S$595,8,0)</f>
        <v>KEDUNG</v>
      </c>
      <c r="J238" s="46" t="str">
        <f>VLOOKUP($B238,master!$B$2:$S$595,9,0)</f>
        <v>3</v>
      </c>
      <c r="K238" s="46" t="str">
        <f>VLOOKUP($B238,master!$B$2:$S$595,11,0)</f>
        <v>GUWOSARI</v>
      </c>
      <c r="L238" s="46" t="str">
        <f>VLOOKUP($B238,master!$B$2:$S$595,12,0)</f>
        <v>PAJANGAN</v>
      </c>
      <c r="M238" s="46" t="str">
        <f>VLOOKUP($B238,master!$B$2:$S$595,6,0)</f>
        <v>MUJI HARJO</v>
      </c>
      <c r="N238" s="58" t="str">
        <f>VLOOKUP($B238,master!$B$2:$S$595,15,0)</f>
        <v>MTs AL MA'HAD AN NUR</v>
      </c>
      <c r="O238" s="58" t="str">
        <f>VLOOKUP($B238,master!$B$2:$S$595,4,0)</f>
        <v>10-07-2009</v>
      </c>
    </row>
    <row r="239" spans="1:15" ht="15.75" customHeight="1" x14ac:dyDescent="0.25">
      <c r="A239" s="56" t="s">
        <v>321</v>
      </c>
      <c r="B239" s="92" t="s">
        <v>2211</v>
      </c>
      <c r="C239" s="88" t="s">
        <v>4296</v>
      </c>
      <c r="D239" s="92" t="s">
        <v>2212</v>
      </c>
      <c r="E239" s="45" t="str">
        <f>VLOOKUP(D239,Total!$C$2:$D$439,2,0)</f>
        <v>10 TKR 5</v>
      </c>
      <c r="F239" s="45" t="str">
        <f>VLOOKUP(C239,Total!$B$2:$F$439,5,0)</f>
        <v>AKTIF</v>
      </c>
      <c r="G239" s="46" t="str">
        <f>VLOOKUP($B239,master!$B$2:$S$595,16,0)</f>
        <v>087739722717</v>
      </c>
      <c r="H239" s="46" t="str">
        <f>VLOOKUP($B239,master!$B$2:$S$595,17,0)</f>
        <v>087752281618</v>
      </c>
      <c r="I239" s="46" t="str">
        <f>VLOOKUP($B239,master!$B$2:$S$595,8,0)</f>
        <v>GERSIK</v>
      </c>
      <c r="J239" s="46" t="str">
        <f>VLOOKUP($B239,master!$B$2:$S$595,9,0)</f>
        <v>4</v>
      </c>
      <c r="K239" s="46" t="str">
        <f>VLOOKUP($B239,master!$B$2:$S$595,11,0)</f>
        <v>SUMBERMULYO</v>
      </c>
      <c r="L239" s="46" t="str">
        <f>VLOOKUP($B239,master!$B$2:$S$595,12,0)</f>
        <v>BAMBANGLIPURO</v>
      </c>
      <c r="M239" s="46" t="str">
        <f>VLOOKUP($B239,master!$B$2:$S$595,6,0)</f>
        <v>SARJIYANA</v>
      </c>
      <c r="N239" s="58" t="str">
        <f>VLOOKUP($B239,master!$B$2:$S$595,15,0)</f>
        <v>SMP MUHAMMADIYAH IMOGIRI</v>
      </c>
      <c r="O239" s="58" t="str">
        <f>VLOOKUP($B239,master!$B$2:$S$595,4,0)</f>
        <v>29-07-2009</v>
      </c>
    </row>
    <row r="240" spans="1:15" ht="15.75" customHeight="1" x14ac:dyDescent="0.25">
      <c r="A240" s="56" t="s">
        <v>322</v>
      </c>
      <c r="B240" s="88" t="s">
        <v>3320</v>
      </c>
      <c r="C240" s="88" t="s">
        <v>4077</v>
      </c>
      <c r="D240" s="88" t="s">
        <v>3321</v>
      </c>
      <c r="E240" s="45" t="str">
        <f>VLOOKUP(D240,Total!$C$2:$D$439,2,0)</f>
        <v>10 TPM 1</v>
      </c>
      <c r="F240" s="45" t="str">
        <f>VLOOKUP(C240,Total!$B$2:$F$439,5,0)</f>
        <v>AKTIF</v>
      </c>
      <c r="G240" s="46" t="str">
        <f>VLOOKUP($B240,master!$B$2:$S$595,16,0)</f>
        <v>087834451291</v>
      </c>
      <c r="H240" s="46" t="str">
        <f>VLOOKUP($B240,master!$B$2:$S$595,17,0)</f>
        <v>0895415531129</v>
      </c>
      <c r="I240" s="46" t="str">
        <f>VLOOKUP($B240,master!$B$2:$S$595,8,0)</f>
        <v>MRANGGEN</v>
      </c>
      <c r="J240" s="46" t="str">
        <f>VLOOKUP($B240,master!$B$2:$S$595,9,0)</f>
        <v>03</v>
      </c>
      <c r="K240" s="46" t="str">
        <f>VLOOKUP($B240,master!$B$2:$S$595,11,0)</f>
        <v>TAMANTIRTO</v>
      </c>
      <c r="L240" s="46" t="str">
        <f>VLOOKUP($B240,master!$B$2:$S$595,12,0)</f>
        <v>KASIHAN</v>
      </c>
      <c r="M240" s="46" t="str">
        <f>VLOOKUP($B240,master!$B$2:$S$595,6,0)</f>
        <v>eni sulastri</v>
      </c>
      <c r="N240" s="58" t="str">
        <f>VLOOKUP($B240,master!$B$2:$S$595,15,0)</f>
        <v>SMP MATARAM KASIHAN</v>
      </c>
      <c r="O240" s="58" t="str">
        <f>VLOOKUP($B240,master!$B$2:$S$595,4,0)</f>
        <v>24-12-2009</v>
      </c>
    </row>
    <row r="241" spans="1:15" ht="15.75" customHeight="1" x14ac:dyDescent="0.25">
      <c r="A241" s="56" t="s">
        <v>323</v>
      </c>
      <c r="B241" s="88" t="s">
        <v>1789</v>
      </c>
      <c r="C241" s="88" t="s">
        <v>4078</v>
      </c>
      <c r="D241" s="88" t="s">
        <v>1790</v>
      </c>
      <c r="E241" s="45" t="str">
        <f>VLOOKUP(D241,Total!$C$2:$D$439,2,0)</f>
        <v>10 TPM 1</v>
      </c>
      <c r="F241" s="45" t="str">
        <f>VLOOKUP(C241,Total!$B$2:$F$439,5,0)</f>
        <v>AKTIF</v>
      </c>
      <c r="G241" s="46" t="str">
        <f>VLOOKUP($B241,master!$B$2:$S$595,16,0)</f>
        <v>085643096870</v>
      </c>
      <c r="H241" s="46" t="str">
        <f>VLOOKUP($B241,master!$B$2:$S$595,17,0)</f>
        <v>08895316281</v>
      </c>
      <c r="I241" s="46" t="str">
        <f>VLOOKUP($B241,master!$B$2:$S$595,8,0)</f>
        <v>SRUMBUNG</v>
      </c>
      <c r="J241" s="46" t="str">
        <f>VLOOKUP($B241,master!$B$2:$S$595,9,0)</f>
        <v>3</v>
      </c>
      <c r="K241" s="46" t="str">
        <f>VLOOKUP($B241,master!$B$2:$S$595,11,0)</f>
        <v>SEGOROYOSO</v>
      </c>
      <c r="L241" s="46" t="str">
        <f>VLOOKUP($B241,master!$B$2:$S$595,12,0)</f>
        <v>PLERET</v>
      </c>
      <c r="M241" s="46" t="str">
        <f>VLOOKUP($B241,master!$B$2:$S$595,6,0)</f>
        <v>MARYATI</v>
      </c>
      <c r="N241" s="58" t="str">
        <f>VLOOKUP($B241,master!$B$2:$S$595,15,0)</f>
        <v>MTs N 6 BANTUL</v>
      </c>
      <c r="O241" s="58" t="str">
        <f>VLOOKUP($B241,master!$B$2:$S$595,4,0)</f>
        <v>23-02-2010</v>
      </c>
    </row>
    <row r="242" spans="1:15" ht="15.75" customHeight="1" x14ac:dyDescent="0.25">
      <c r="A242" s="56" t="s">
        <v>324</v>
      </c>
      <c r="B242" s="88" t="s">
        <v>2509</v>
      </c>
      <c r="C242" s="88" t="s">
        <v>4079</v>
      </c>
      <c r="D242" s="88" t="s">
        <v>2510</v>
      </c>
      <c r="E242" s="45" t="str">
        <f>VLOOKUP(D242,Total!$C$2:$D$439,2,0)</f>
        <v>10 TPM 1</v>
      </c>
      <c r="F242" s="45" t="str">
        <f>VLOOKUP(C242,Total!$B$2:$F$439,5,0)</f>
        <v>AKTIF</v>
      </c>
      <c r="G242" s="46" t="str">
        <f>VLOOKUP($B242,master!$B$2:$S$595,16,0)</f>
        <v>082226911616</v>
      </c>
      <c r="H242" s="46" t="str">
        <f>VLOOKUP($B242,master!$B$2:$S$595,17,0)</f>
        <v>087888610556</v>
      </c>
      <c r="I242" s="46" t="str">
        <f>VLOOKUP($B242,master!$B$2:$S$595,8,0)</f>
        <v>JAMBUMETE KALIPUCANG</v>
      </c>
      <c r="J242" s="46" t="str">
        <f>VLOOKUP($B242,master!$B$2:$S$595,9,0)</f>
        <v>2</v>
      </c>
      <c r="K242" s="46" t="str">
        <f>VLOOKUP($B242,master!$B$2:$S$595,11,0)</f>
        <v>BANGUNJIWO</v>
      </c>
      <c r="L242" s="46" t="str">
        <f>VLOOKUP($B242,master!$B$2:$S$595,12,0)</f>
        <v>KASIHAN</v>
      </c>
      <c r="M242" s="46" t="str">
        <f>VLOOKUP($B242,master!$B$2:$S$595,6,0)</f>
        <v>SIGIT PURWANTO</v>
      </c>
      <c r="N242" s="58" t="str">
        <f>VLOOKUP($B242,master!$B$2:$S$595,15,0)</f>
        <v>MITQ Jamilurrahman</v>
      </c>
      <c r="O242" s="58" t="str">
        <f>VLOOKUP($B242,master!$B$2:$S$595,4,0)</f>
        <v>2-10-2011</v>
      </c>
    </row>
    <row r="243" spans="1:15" ht="15.75" customHeight="1" x14ac:dyDescent="0.25">
      <c r="A243" s="56" t="s">
        <v>325</v>
      </c>
      <c r="B243" s="88" t="s">
        <v>3844</v>
      </c>
      <c r="C243" s="88" t="s">
        <v>4080</v>
      </c>
      <c r="D243" s="88" t="s">
        <v>4518</v>
      </c>
      <c r="E243" s="45" t="str">
        <f>VLOOKUP(D243,Total!$C$2:$D$439,2,0)</f>
        <v>10 TPM 1</v>
      </c>
      <c r="F243" s="45" t="str">
        <f>VLOOKUP(C243,Total!$B$2:$F$439,5,0)</f>
        <v>AKTIF</v>
      </c>
      <c r="G243" s="46" t="str">
        <f>VLOOKUP($B243,master!$B$2:$S$595,16,0)</f>
        <v>081511483125</v>
      </c>
      <c r="H243" s="46" t="str">
        <f>VLOOKUP($B243,master!$B$2:$S$595,17,0)</f>
        <v>0882007122473</v>
      </c>
      <c r="I243" s="46" t="str">
        <f>VLOOKUP($B243,master!$B$2:$S$595,8,0)</f>
        <v>TRUCUK</v>
      </c>
      <c r="J243" s="46" t="str">
        <f>VLOOKUP($B243,master!$B$2:$S$595,9,0)</f>
        <v>2</v>
      </c>
      <c r="K243" s="46" t="str">
        <f>VLOOKUP($B243,master!$B$2:$S$595,11,0)</f>
        <v>TRIWIDADI</v>
      </c>
      <c r="L243" s="46" t="str">
        <f>VLOOKUP($B243,master!$B$2:$S$595,12,0)</f>
        <v>PAJANGAN</v>
      </c>
      <c r="M243" s="46" t="str">
        <f>VLOOKUP($B243,master!$B$2:$S$595,6,0)</f>
        <v>WAHYUDI</v>
      </c>
      <c r="N243" s="58" t="str">
        <f>VLOOKUP($B243,master!$B$2:$S$595,15,0)</f>
        <v>SMP N 2 PAJANGAN</v>
      </c>
      <c r="O243" s="58" t="str">
        <f>VLOOKUP($B243,master!$B$2:$S$595,4,0)</f>
        <v>28-11-2009</v>
      </c>
    </row>
    <row r="244" spans="1:15" ht="15.75" customHeight="1" x14ac:dyDescent="0.25">
      <c r="A244" s="56" t="s">
        <v>326</v>
      </c>
      <c r="B244" s="88" t="s">
        <v>2199</v>
      </c>
      <c r="C244" s="88" t="s">
        <v>4081</v>
      </c>
      <c r="D244" s="88" t="s">
        <v>2200</v>
      </c>
      <c r="E244" s="45" t="str">
        <f>VLOOKUP(D244,Total!$C$2:$D$439,2,0)</f>
        <v>10 TPM 1</v>
      </c>
      <c r="F244" s="45" t="str">
        <f>VLOOKUP(C244,Total!$B$2:$F$439,5,0)</f>
        <v>AKTIF</v>
      </c>
      <c r="G244" s="46" t="str">
        <f>VLOOKUP($B244,master!$B$2:$S$595,16,0)</f>
        <v>0895806687640</v>
      </c>
      <c r="H244" s="46" t="str">
        <f>VLOOKUP($B244,master!$B$2:$S$595,17,0)</f>
        <v>0895806687640</v>
      </c>
      <c r="I244" s="46" t="str">
        <f>VLOOKUP($B244,master!$B$2:$S$595,8,0)</f>
        <v>KANGGOTAN</v>
      </c>
      <c r="J244" s="46" t="str">
        <f>VLOOKUP($B244,master!$B$2:$S$595,9,0)</f>
        <v>03</v>
      </c>
      <c r="K244" s="46" t="str">
        <f>VLOOKUP($B244,master!$B$2:$S$595,11,0)</f>
        <v>PLERET</v>
      </c>
      <c r="L244" s="46" t="str">
        <f>VLOOKUP($B244,master!$B$2:$S$595,12,0)</f>
        <v>PLERET</v>
      </c>
      <c r="M244" s="46" t="str">
        <f>VLOOKUP($B244,master!$B$2:$S$595,6,0)</f>
        <v>Wahyudin</v>
      </c>
      <c r="N244" s="58" t="str">
        <f>VLOOKUP($B244,master!$B$2:$S$595,15,0)</f>
        <v>SMP N 1 PLERET</v>
      </c>
      <c r="O244" s="58" t="str">
        <f>VLOOKUP($B244,master!$B$2:$S$595,4,0)</f>
        <v>10-07-2009</v>
      </c>
    </row>
    <row r="245" spans="1:15" ht="15.75" customHeight="1" x14ac:dyDescent="0.25">
      <c r="A245" s="56" t="s">
        <v>327</v>
      </c>
      <c r="B245" s="88" t="s">
        <v>2362</v>
      </c>
      <c r="C245" s="88" t="s">
        <v>4082</v>
      </c>
      <c r="D245" s="88" t="s">
        <v>2363</v>
      </c>
      <c r="E245" s="45" t="str">
        <f>VLOOKUP(D245,Total!$C$2:$D$439,2,0)</f>
        <v>10 TPM 1</v>
      </c>
      <c r="F245" s="45" t="str">
        <f>VLOOKUP(C245,Total!$B$2:$F$439,5,0)</f>
        <v>AKTIF</v>
      </c>
      <c r="G245" s="46" t="str">
        <f>VLOOKUP($B245,master!$B$2:$S$595,16,0)</f>
        <v>081804323468</v>
      </c>
      <c r="H245" s="46" t="str">
        <f>VLOOKUP($B245,master!$B$2:$S$595,17,0)</f>
        <v>0882003490646</v>
      </c>
      <c r="I245" s="46" t="str">
        <f>VLOOKUP($B245,master!$B$2:$S$595,8,0)</f>
        <v>MANDING</v>
      </c>
      <c r="J245" s="46" t="str">
        <f>VLOOKUP($B245,master!$B$2:$S$595,9,0)</f>
        <v>7</v>
      </c>
      <c r="K245" s="46" t="str">
        <f>VLOOKUP($B245,master!$B$2:$S$595,11,0)</f>
        <v>TRIRENGGO</v>
      </c>
      <c r="L245" s="46" t="str">
        <f>VLOOKUP($B245,master!$B$2:$S$595,12,0)</f>
        <v>BANTUL</v>
      </c>
      <c r="M245" s="46" t="str">
        <f>VLOOKUP($B245,master!$B$2:$S$595,6,0)</f>
        <v>ARIS YUNIARTO</v>
      </c>
      <c r="N245" s="58" t="str">
        <f>VLOOKUP($B245,master!$B$2:$S$595,15,0)</f>
        <v>MTS MUHAMMADIYAH BANTUL</v>
      </c>
      <c r="O245" s="58" t="str">
        <f>VLOOKUP($B245,master!$B$2:$S$595,4,0)</f>
        <v>9-12-2009</v>
      </c>
    </row>
    <row r="246" spans="1:15" ht="15.75" customHeight="1" x14ac:dyDescent="0.25">
      <c r="A246" s="56" t="s">
        <v>328</v>
      </c>
      <c r="B246" s="88" t="s">
        <v>1656</v>
      </c>
      <c r="C246" s="88" t="s">
        <v>4083</v>
      </c>
      <c r="D246" s="88" t="s">
        <v>1657</v>
      </c>
      <c r="E246" s="45" t="str">
        <f>VLOOKUP(D246,Total!$C$2:$D$439,2,0)</f>
        <v>10 TPM 1</v>
      </c>
      <c r="F246" s="45" t="str">
        <f>VLOOKUP(C246,Total!$B$2:$F$439,5,0)</f>
        <v>AKTIF</v>
      </c>
      <c r="G246" s="46" t="str">
        <f>VLOOKUP($B246,master!$B$2:$S$595,16,0)</f>
        <v>081542632553</v>
      </c>
      <c r="H246" s="46" t="str">
        <f>VLOOKUP($B246,master!$B$2:$S$595,17,0)</f>
        <v>-</v>
      </c>
      <c r="I246" s="46" t="str">
        <f>VLOOKUP($B246,master!$B$2:$S$595,8,0)</f>
        <v>MANGIR KIDUL</v>
      </c>
      <c r="J246" s="46" t="str">
        <f>VLOOKUP($B246,master!$B$2:$S$595,9,0)</f>
        <v>2</v>
      </c>
      <c r="K246" s="46" t="str">
        <f>VLOOKUP($B246,master!$B$2:$S$595,11,0)</f>
        <v>SENDANGSARI</v>
      </c>
      <c r="L246" s="46" t="str">
        <f>VLOOKUP($B246,master!$B$2:$S$595,12,0)</f>
        <v>PAJANGAN</v>
      </c>
      <c r="M246" s="46" t="str">
        <f>VLOOKUP($B246,master!$B$2:$S$595,6,0)</f>
        <v>MURTIANI</v>
      </c>
      <c r="N246" s="58" t="str">
        <f>VLOOKUP($B246,master!$B$2:$S$595,15,0)</f>
        <v>SMP N 2 PAJANGAN</v>
      </c>
      <c r="O246" s="58" t="str">
        <f>VLOOKUP($B246,master!$B$2:$S$595,4,0)</f>
        <v>23-02-2010</v>
      </c>
    </row>
    <row r="247" spans="1:15" ht="15.75" customHeight="1" x14ac:dyDescent="0.25">
      <c r="A247" s="56" t="s">
        <v>329</v>
      </c>
      <c r="B247" s="88" t="s">
        <v>1811</v>
      </c>
      <c r="C247" s="88" t="s">
        <v>4084</v>
      </c>
      <c r="D247" s="88" t="s">
        <v>1812</v>
      </c>
      <c r="E247" s="45" t="str">
        <f>VLOOKUP(D247,Total!$C$2:$D$439,2,0)</f>
        <v>10 TPM 1</v>
      </c>
      <c r="F247" s="45" t="str">
        <f>VLOOKUP(C247,Total!$B$2:$F$439,5,0)</f>
        <v>AKTIF</v>
      </c>
      <c r="G247" s="46" t="str">
        <f>VLOOKUP($B247,master!$B$2:$S$595,16,0)</f>
        <v>0895392628537</v>
      </c>
      <c r="H247" s="46" t="str">
        <f>VLOOKUP($B247,master!$B$2:$S$595,17,0)</f>
        <v>088220298631</v>
      </c>
      <c r="I247" s="46" t="str">
        <f>VLOOKUP($B247,master!$B$2:$S$595,8,0)</f>
        <v>KEDATON WETAN</v>
      </c>
      <c r="J247" s="46" t="str">
        <f>VLOOKUP($B247,master!$B$2:$S$595,9,0)</f>
        <v>05</v>
      </c>
      <c r="K247" s="46" t="str">
        <f>VLOOKUP($B247,master!$B$2:$S$595,11,0)</f>
        <v>PLERET</v>
      </c>
      <c r="L247" s="46" t="str">
        <f>VLOOKUP($B247,master!$B$2:$S$595,12,0)</f>
        <v>PLERET</v>
      </c>
      <c r="M247" s="46" t="str">
        <f>VLOOKUP($B247,master!$B$2:$S$595,6,0)</f>
        <v>Aris Novianto</v>
      </c>
      <c r="N247" s="58" t="str">
        <f>VLOOKUP($B247,master!$B$2:$S$595,15,0)</f>
        <v>SMP N 2 PLERET</v>
      </c>
      <c r="O247" s="58" t="str">
        <f>VLOOKUP($B247,master!$B$2:$S$595,4,0)</f>
        <v>12-10-2008</v>
      </c>
    </row>
    <row r="248" spans="1:15" ht="15.75" customHeight="1" x14ac:dyDescent="0.25">
      <c r="A248" s="56" t="s">
        <v>330</v>
      </c>
      <c r="B248" s="88" t="s">
        <v>2997</v>
      </c>
      <c r="C248" s="88" t="s">
        <v>4085</v>
      </c>
      <c r="D248" s="88" t="s">
        <v>2998</v>
      </c>
      <c r="E248" s="45" t="str">
        <f>VLOOKUP(D248,Total!$C$2:$D$439,2,0)</f>
        <v>10 TPM 1</v>
      </c>
      <c r="F248" s="45" t="str">
        <f>VLOOKUP(C248,Total!$B$2:$F$439,5,0)</f>
        <v>AKTIF</v>
      </c>
      <c r="G248" s="46" t="str">
        <f>VLOOKUP($B248,master!$B$2:$S$595,16,0)</f>
        <v>087839577750</v>
      </c>
      <c r="H248" s="46" t="str">
        <f>VLOOKUP($B248,master!$B$2:$S$595,17,0)</f>
        <v>087898971005</v>
      </c>
      <c r="I248" s="46" t="str">
        <f>VLOOKUP($B248,master!$B$2:$S$595,8,0)</f>
        <v>PUCUNG</v>
      </c>
      <c r="J248" s="46" t="str">
        <f>VLOOKUP($B248,master!$B$2:$S$595,9,0)</f>
        <v>52</v>
      </c>
      <c r="K248" s="46" t="str">
        <f>VLOOKUP($B248,master!$B$2:$S$595,11,0)</f>
        <v>PENDOWOHARJO</v>
      </c>
      <c r="L248" s="46" t="str">
        <f>VLOOKUP($B248,master!$B$2:$S$595,12,0)</f>
        <v>SEWON</v>
      </c>
      <c r="M248" s="46" t="str">
        <f>VLOOKUP($B248,master!$B$2:$S$595,6,0)</f>
        <v>KRISTIAWAN</v>
      </c>
      <c r="N248" s="58" t="str">
        <f>VLOOKUP($B248,master!$B$2:$S$595,15,0)</f>
        <v>SMP N 1 SEWON</v>
      </c>
      <c r="O248" s="58" t="str">
        <f>VLOOKUP($B248,master!$B$2:$S$595,4,0)</f>
        <v>5-02-2010</v>
      </c>
    </row>
    <row r="249" spans="1:15" ht="15.75" customHeight="1" x14ac:dyDescent="0.25">
      <c r="A249" s="56" t="s">
        <v>331</v>
      </c>
      <c r="B249" s="88" t="s">
        <v>1145</v>
      </c>
      <c r="C249" s="88" t="s">
        <v>4086</v>
      </c>
      <c r="D249" s="88" t="s">
        <v>1146</v>
      </c>
      <c r="E249" s="45" t="str">
        <f>VLOOKUP(D249,Total!$C$2:$D$439,2,0)</f>
        <v>10 TPM 1</v>
      </c>
      <c r="F249" s="45" t="str">
        <f>VLOOKUP(C249,Total!$B$2:$F$439,5,0)</f>
        <v>AKTIF</v>
      </c>
      <c r="G249" s="46" t="str">
        <f>VLOOKUP($B249,master!$B$2:$S$595,16,0)</f>
        <v>089508053351</v>
      </c>
      <c r="H249" s="46" t="str">
        <f>VLOOKUP($B249,master!$B$2:$S$595,17,0)</f>
        <v>089671718685</v>
      </c>
      <c r="I249" s="46" t="str">
        <f>VLOOKUP($B249,master!$B$2:$S$595,8,0)</f>
        <v>KWEDEN</v>
      </c>
      <c r="J249" s="46" t="str">
        <f>VLOOKUP($B249,master!$B$2:$S$595,9,0)</f>
        <v>1</v>
      </c>
      <c r="K249" s="46" t="str">
        <f>VLOOKUP($B249,master!$B$2:$S$595,11,0)</f>
        <v>TRIRENGGO</v>
      </c>
      <c r="L249" s="46" t="str">
        <f>VLOOKUP($B249,master!$B$2:$S$595,12,0)</f>
        <v>BANTUL</v>
      </c>
      <c r="M249" s="46" t="str">
        <f>VLOOKUP($B249,master!$B$2:$S$595,6,0)</f>
        <v>KIRMAJI</v>
      </c>
      <c r="N249" s="58" t="str">
        <f>VLOOKUP($B249,master!$B$2:$S$595,15,0)</f>
        <v>SMP N 3 BANTUL</v>
      </c>
      <c r="O249" s="58" t="str">
        <f>VLOOKUP($B249,master!$B$2:$S$595,4,0)</f>
        <v>30-09-2009</v>
      </c>
    </row>
    <row r="250" spans="1:15" ht="15.75" customHeight="1" x14ac:dyDescent="0.25">
      <c r="A250" s="56" t="s">
        <v>332</v>
      </c>
      <c r="B250" s="88" t="s">
        <v>3832</v>
      </c>
      <c r="C250" s="88" t="s">
        <v>4087</v>
      </c>
      <c r="D250" s="88" t="s">
        <v>3833</v>
      </c>
      <c r="E250" s="45" t="str">
        <f>VLOOKUP(D250,Total!$C$2:$D$439,2,0)</f>
        <v>10 TPM 1</v>
      </c>
      <c r="F250" s="45" t="str">
        <f>VLOOKUP(C250,Total!$B$2:$F$439,5,0)</f>
        <v>AKTIF</v>
      </c>
      <c r="G250" s="46" t="str">
        <f>VLOOKUP($B250,master!$B$2:$S$595,16,0)</f>
        <v>088980151938</v>
      </c>
      <c r="H250" s="46" t="str">
        <f>VLOOKUP($B250,master!$B$2:$S$595,17,0)</f>
        <v>08812958940</v>
      </c>
      <c r="I250" s="46" t="str">
        <f>VLOOKUP($B250,master!$B$2:$S$595,8,0)</f>
        <v>KARANGASEM</v>
      </c>
      <c r="J250" s="46" t="str">
        <f>VLOOKUP($B250,master!$B$2:$S$595,9,0)</f>
        <v>03</v>
      </c>
      <c r="K250" s="46" t="str">
        <f>VLOOKUP($B250,master!$B$2:$S$595,11,0)</f>
        <v>GILANGHARJO</v>
      </c>
      <c r="L250" s="46" t="str">
        <f>VLOOKUP($B250,master!$B$2:$S$595,12,0)</f>
        <v>PANDAK</v>
      </c>
      <c r="M250" s="46" t="str">
        <f>VLOOKUP($B250,master!$B$2:$S$595,6,0)</f>
        <v>Darno</v>
      </c>
      <c r="N250" s="58" t="str">
        <f>VLOOKUP($B250,master!$B$2:$S$595,15,0)</f>
        <v>SMP N 1 PANDAK</v>
      </c>
      <c r="O250" s="58" t="str">
        <f>VLOOKUP($B250,master!$B$2:$S$595,4,0)</f>
        <v>25-01-2010</v>
      </c>
    </row>
    <row r="251" spans="1:15" ht="15.75" customHeight="1" x14ac:dyDescent="0.25">
      <c r="A251" s="56" t="s">
        <v>333</v>
      </c>
      <c r="B251" s="88" t="s">
        <v>1168</v>
      </c>
      <c r="C251" s="88" t="s">
        <v>4088</v>
      </c>
      <c r="D251" s="88" t="s">
        <v>1169</v>
      </c>
      <c r="E251" s="45" t="str">
        <f>VLOOKUP(D251,Total!$C$2:$D$439,2,0)</f>
        <v>10 TPM 1</v>
      </c>
      <c r="F251" s="45" t="str">
        <f>VLOOKUP(C251,Total!$B$2:$F$439,5,0)</f>
        <v>AKTIF</v>
      </c>
      <c r="G251" s="46" t="str">
        <f>VLOOKUP($B251,master!$B$2:$S$595,16,0)</f>
        <v>088226932071</v>
      </c>
      <c r="H251" s="46" t="str">
        <f>VLOOKUP($B251,master!$B$2:$S$595,17,0)</f>
        <v>088226932071</v>
      </c>
      <c r="I251" s="46" t="str">
        <f>VLOOKUP($B251,master!$B$2:$S$595,8,0)</f>
        <v>MAYUNGAN I</v>
      </c>
      <c r="J251" s="46" t="str">
        <f>VLOOKUP($B251,master!$B$2:$S$595,9,0)</f>
        <v>1</v>
      </c>
      <c r="K251" s="46" t="str">
        <f>VLOOKUP($B251,master!$B$2:$S$595,11,0)</f>
        <v>MURTIGADING</v>
      </c>
      <c r="L251" s="46" t="str">
        <f>VLOOKUP($B251,master!$B$2:$S$595,12,0)</f>
        <v>SANDEN</v>
      </c>
      <c r="M251" s="46" t="str">
        <f>VLOOKUP($B251,master!$B$2:$S$595,6,0)</f>
        <v>NURDIYONO</v>
      </c>
      <c r="N251" s="58" t="str">
        <f>VLOOKUP($B251,master!$B$2:$S$595,15,0)</f>
        <v>SMP N 2 SANDEN</v>
      </c>
      <c r="O251" s="58" t="str">
        <f>VLOOKUP($B251,master!$B$2:$S$595,4,0)</f>
        <v>16-03-2010</v>
      </c>
    </row>
    <row r="252" spans="1:15" ht="15.75" customHeight="1" x14ac:dyDescent="0.25">
      <c r="A252" s="56" t="s">
        <v>334</v>
      </c>
      <c r="B252" s="88" t="s">
        <v>1899</v>
      </c>
      <c r="C252" s="88" t="s">
        <v>4089</v>
      </c>
      <c r="D252" s="88" t="s">
        <v>1900</v>
      </c>
      <c r="E252" s="45" t="str">
        <f>VLOOKUP(D252,Total!$C$2:$D$439,2,0)</f>
        <v>10 TPM 1</v>
      </c>
      <c r="F252" s="45" t="str">
        <f>VLOOKUP(C252,Total!$B$2:$F$439,5,0)</f>
        <v>AKTIF</v>
      </c>
      <c r="G252" s="46" t="str">
        <f>VLOOKUP($B252,master!$B$2:$S$595,16,0)</f>
        <v>082254663618</v>
      </c>
      <c r="H252" s="46" t="str">
        <f>VLOOKUP($B252,master!$B$2:$S$595,17,0)</f>
        <v>082328021237</v>
      </c>
      <c r="I252" s="46" t="str">
        <f>VLOOKUP($B252,master!$B$2:$S$595,8,0)</f>
        <v>BURUHAN</v>
      </c>
      <c r="J252" s="46" t="str">
        <f>VLOOKUP($B252,master!$B$2:$S$595,9,0)</f>
        <v>2</v>
      </c>
      <c r="K252" s="46" t="str">
        <f>VLOOKUP($B252,master!$B$2:$S$595,11,0)</f>
        <v>TIRTOSARI</v>
      </c>
      <c r="L252" s="46" t="str">
        <f>VLOOKUP($B252,master!$B$2:$S$595,12,0)</f>
        <v>KRETEK</v>
      </c>
      <c r="M252" s="46" t="str">
        <f>VLOOKUP($B252,master!$B$2:$S$595,6,0)</f>
        <v>SLAMET SANTOSO</v>
      </c>
      <c r="N252" s="58" t="str">
        <f>VLOOKUP($B252,master!$B$2:$S$595,15,0)</f>
        <v>SMP MUHAMMADIYAH KRETEK</v>
      </c>
      <c r="O252" s="58" t="str">
        <f>VLOOKUP($B252,master!$B$2:$S$595,4,0)</f>
        <v>17-01-2010</v>
      </c>
    </row>
    <row r="253" spans="1:15" ht="15.75" customHeight="1" x14ac:dyDescent="0.25">
      <c r="A253" s="56" t="s">
        <v>335</v>
      </c>
      <c r="B253" s="88" t="s">
        <v>2137</v>
      </c>
      <c r="C253" s="88" t="s">
        <v>4090</v>
      </c>
      <c r="D253" s="88" t="s">
        <v>2138</v>
      </c>
      <c r="E253" s="45" t="str">
        <f>VLOOKUP(D253,Total!$C$2:$D$439,2,0)</f>
        <v>10 TPM 1</v>
      </c>
      <c r="F253" s="45" t="str">
        <f>VLOOKUP(C253,Total!$B$2:$F$439,5,0)</f>
        <v>AKTIF</v>
      </c>
      <c r="G253" s="46" t="str">
        <f>VLOOKUP($B253,master!$B$2:$S$595,16,0)</f>
        <v>081904132932</v>
      </c>
      <c r="H253" s="46" t="str">
        <f>VLOOKUP($B253,master!$B$2:$S$595,17,0)</f>
        <v>081904132932</v>
      </c>
      <c r="I253" s="46" t="str">
        <f>VLOOKUP($B253,master!$B$2:$S$595,8,0)</f>
        <v>NOGOSARI</v>
      </c>
      <c r="J253" s="46" t="str">
        <f>VLOOKUP($B253,master!$B$2:$S$595,9,0)</f>
        <v>1</v>
      </c>
      <c r="K253" s="46" t="str">
        <f>VLOOKUP($B253,master!$B$2:$S$595,11,0)</f>
        <v>SELOPAMIORO</v>
      </c>
      <c r="L253" s="46" t="str">
        <f>VLOOKUP($B253,master!$B$2:$S$595,12,0)</f>
        <v>IMOGIRI</v>
      </c>
      <c r="M253" s="46" t="str">
        <f>VLOOKUP($B253,master!$B$2:$S$595,6,0)</f>
        <v>Ngatino Abdull Rohim</v>
      </c>
      <c r="N253" s="58" t="str">
        <f>VLOOKUP($B253,master!$B$2:$S$595,15,0)</f>
        <v>SMP MA'ARIF IMOGIRI</v>
      </c>
      <c r="O253" s="58" t="str">
        <f>VLOOKUP($B253,master!$B$2:$S$595,4,0)</f>
        <v>13-06-2009</v>
      </c>
    </row>
    <row r="254" spans="1:15" ht="15.75" customHeight="1" x14ac:dyDescent="0.25">
      <c r="A254" s="56" t="s">
        <v>336</v>
      </c>
      <c r="B254" s="88" t="s">
        <v>3167</v>
      </c>
      <c r="C254" s="88" t="s">
        <v>4091</v>
      </c>
      <c r="D254" s="88" t="s">
        <v>3168</v>
      </c>
      <c r="E254" s="45" t="str">
        <f>VLOOKUP(D254,Total!$C$2:$D$439,2,0)</f>
        <v>10 TPM 1</v>
      </c>
      <c r="F254" s="45" t="str">
        <f>VLOOKUP(C254,Total!$B$2:$F$439,5,0)</f>
        <v>AKTIF</v>
      </c>
      <c r="G254" s="46" t="str">
        <f>VLOOKUP($B254,master!$B$2:$S$595,16,0)</f>
        <v>087826533223</v>
      </c>
      <c r="H254" s="46" t="str">
        <f>VLOOKUP($B254,master!$B$2:$S$595,17,0)</f>
        <v>08983443184</v>
      </c>
      <c r="I254" s="46" t="str">
        <f>VLOOKUP($B254,master!$B$2:$S$595,8,0)</f>
        <v>SANAN</v>
      </c>
      <c r="J254" s="46" t="str">
        <f>VLOOKUP($B254,master!$B$2:$S$595,9,0)</f>
        <v>7</v>
      </c>
      <c r="K254" s="46" t="str">
        <f>VLOOKUP($B254,master!$B$2:$S$595,11,0)</f>
        <v>BAWURAN</v>
      </c>
      <c r="L254" s="46" t="str">
        <f>VLOOKUP($B254,master!$B$2:$S$595,12,0)</f>
        <v>PLERET</v>
      </c>
      <c r="M254" s="46" t="str">
        <f>VLOOKUP($B254,master!$B$2:$S$595,6,0)</f>
        <v>PURWANTI</v>
      </c>
      <c r="N254" s="58" t="str">
        <f>VLOOKUP($B254,master!$B$2:$S$595,15,0)</f>
        <v>SMP N 1 PLERET</v>
      </c>
      <c r="O254" s="58" t="str">
        <f>VLOOKUP($B254,master!$B$2:$S$595,4,0)</f>
        <v>24-11-2009</v>
      </c>
    </row>
    <row r="255" spans="1:15" ht="15.75" customHeight="1" x14ac:dyDescent="0.25">
      <c r="A255" s="56" t="s">
        <v>337</v>
      </c>
      <c r="B255" s="88" t="s">
        <v>1571</v>
      </c>
      <c r="C255" s="88" t="s">
        <v>4092</v>
      </c>
      <c r="D255" s="88" t="s">
        <v>1572</v>
      </c>
      <c r="E255" s="45" t="str">
        <f>VLOOKUP(D255,Total!$C$2:$D$439,2,0)</f>
        <v>10 TPM 1</v>
      </c>
      <c r="F255" s="45" t="str">
        <f>VLOOKUP(C255,Total!$B$2:$F$439,5,0)</f>
        <v>AKTIF</v>
      </c>
      <c r="G255" s="46" t="str">
        <f>VLOOKUP($B255,master!$B$2:$S$595,16,0)</f>
        <v>083131489432</v>
      </c>
      <c r="H255" s="46" t="str">
        <f>VLOOKUP($B255,master!$B$2:$S$595,17,0)</f>
        <v>083836184012</v>
      </c>
      <c r="I255" s="46" t="str">
        <f>VLOOKUP($B255,master!$B$2:$S$595,8,0)</f>
        <v>DEPOK</v>
      </c>
      <c r="J255" s="46" t="str">
        <f>VLOOKUP($B255,master!$B$2:$S$595,9,0)</f>
        <v>3</v>
      </c>
      <c r="K255" s="46" t="str">
        <f>VLOOKUP($B255,master!$B$2:$S$595,11,0)</f>
        <v>GILANGHARJO</v>
      </c>
      <c r="L255" s="46" t="str">
        <f>VLOOKUP($B255,master!$B$2:$S$595,12,0)</f>
        <v>PANDAK</v>
      </c>
      <c r="M255" s="46" t="str">
        <f>VLOOKUP($B255,master!$B$2:$S$595,6,0)</f>
        <v>MUSTOFA</v>
      </c>
      <c r="N255" s="58" t="str">
        <f>VLOOKUP($B255,master!$B$2:$S$595,15,0)</f>
        <v>SMP N 4 PANDAK</v>
      </c>
      <c r="O255" s="58" t="str">
        <f>VLOOKUP($B255,master!$B$2:$S$595,4,0)</f>
        <v>22-04-2010</v>
      </c>
    </row>
    <row r="256" spans="1:15" ht="15.75" customHeight="1" x14ac:dyDescent="0.25">
      <c r="A256" s="56" t="s">
        <v>338</v>
      </c>
      <c r="B256" s="88" t="s">
        <v>3124</v>
      </c>
      <c r="C256" s="88" t="s">
        <v>4093</v>
      </c>
      <c r="D256" s="88" t="s">
        <v>3125</v>
      </c>
      <c r="E256" s="45" t="str">
        <f>VLOOKUP(D256,Total!$C$2:$D$439,2,0)</f>
        <v>10 TPM 1</v>
      </c>
      <c r="F256" s="45" t="str">
        <f>VLOOKUP(C256,Total!$B$2:$F$439,5,0)</f>
        <v>AKTIF</v>
      </c>
      <c r="G256" s="46" t="str">
        <f>VLOOKUP($B256,master!$B$2:$S$595,16,0)</f>
        <v>088225316375</v>
      </c>
      <c r="H256" s="46" t="str">
        <f>VLOOKUP($B256,master!$B$2:$S$595,17,0)</f>
        <v>088216249015</v>
      </c>
      <c r="I256" s="46" t="str">
        <f>VLOOKUP($B256,master!$B$2:$S$595,8,0)</f>
        <v>PALIHAN</v>
      </c>
      <c r="J256" s="46" t="str">
        <f>VLOOKUP($B256,master!$B$2:$S$595,9,0)</f>
        <v>02</v>
      </c>
      <c r="K256" s="46" t="str">
        <f>VLOOKUP($B256,master!$B$2:$S$595,11,0)</f>
        <v>SIDOMULYO</v>
      </c>
      <c r="L256" s="46" t="str">
        <f>VLOOKUP($B256,master!$B$2:$S$595,12,0)</f>
        <v>BAMBANGLIPURO</v>
      </c>
      <c r="M256" s="46" t="str">
        <f>VLOOKUP($B256,master!$B$2:$S$595,6,0)</f>
        <v>SUMARDI</v>
      </c>
      <c r="N256" s="58" t="str">
        <f>VLOOKUP($B256,master!$B$2:$S$595,15,0)</f>
        <v>SMP N 1 BAMBANGLIPURO</v>
      </c>
      <c r="O256" s="58" t="str">
        <f>VLOOKUP($B256,master!$B$2:$S$595,4,0)</f>
        <v>21-06-2010</v>
      </c>
    </row>
    <row r="257" spans="1:15" ht="15.75" customHeight="1" x14ac:dyDescent="0.25">
      <c r="A257" s="56" t="s">
        <v>339</v>
      </c>
      <c r="B257" s="88" t="s">
        <v>3201</v>
      </c>
      <c r="C257" s="88" t="s">
        <v>4094</v>
      </c>
      <c r="D257" s="88" t="s">
        <v>3202</v>
      </c>
      <c r="E257" s="45" t="str">
        <f>VLOOKUP(D257,Total!$C$2:$D$439,2,0)</f>
        <v>10 TPM 1</v>
      </c>
      <c r="F257" s="45" t="str">
        <f>VLOOKUP(C257,Total!$B$2:$F$439,5,0)</f>
        <v>AKTIF</v>
      </c>
      <c r="G257" s="46" t="str">
        <f>VLOOKUP($B257,master!$B$2:$S$595,16,0)</f>
        <v>085640237197</v>
      </c>
      <c r="H257" s="46" t="str">
        <f>VLOOKUP($B257,master!$B$2:$S$595,17,0)</f>
        <v>085640237197</v>
      </c>
      <c r="I257" s="46" t="str">
        <f>VLOOKUP($B257,master!$B$2:$S$595,8,0)</f>
        <v>KALIWIRU</v>
      </c>
      <c r="J257" s="46" t="str">
        <f>VLOOKUP($B257,master!$B$2:$S$595,9,0)</f>
        <v>18</v>
      </c>
      <c r="K257" s="46" t="str">
        <f>VLOOKUP($B257,master!$B$2:$S$595,11,0)</f>
        <v>TUKSONO</v>
      </c>
      <c r="L257" s="46" t="str">
        <f>VLOOKUP($B257,master!$B$2:$S$595,12,0)</f>
        <v>SENTOLO</v>
      </c>
      <c r="M257" s="46" t="str">
        <f>VLOOKUP($B257,master!$B$2:$S$595,6,0)</f>
        <v>TEGUH</v>
      </c>
      <c r="N257" s="58" t="str">
        <f>VLOOKUP($B257,master!$B$2:$S$595,15,0)</f>
        <v>SMP MUHAMMADIYAH 2 LENDAH</v>
      </c>
      <c r="O257" s="58" t="str">
        <f>VLOOKUP($B257,master!$B$2:$S$595,4,0)</f>
        <v>7-05-2009</v>
      </c>
    </row>
    <row r="258" spans="1:15" ht="15.75" customHeight="1" x14ac:dyDescent="0.25">
      <c r="A258" s="56" t="s">
        <v>340</v>
      </c>
      <c r="B258" s="88" t="s">
        <v>1545</v>
      </c>
      <c r="C258" s="88" t="s">
        <v>4095</v>
      </c>
      <c r="D258" s="88" t="s">
        <v>1546</v>
      </c>
      <c r="E258" s="45" t="str">
        <f>VLOOKUP(D258,Total!$C$2:$D$439,2,0)</f>
        <v>10 TPM 1</v>
      </c>
      <c r="F258" s="45" t="str">
        <f>VLOOKUP(C258,Total!$B$2:$F$439,5,0)</f>
        <v>AKTIF</v>
      </c>
      <c r="G258" s="46" t="str">
        <f>VLOOKUP($B258,master!$B$2:$S$595,16,0)</f>
        <v>085801126187</v>
      </c>
      <c r="H258" s="46" t="str">
        <f>VLOOKUP($B258,master!$B$2:$S$595,17,0)</f>
        <v>085641573291</v>
      </c>
      <c r="I258" s="46" t="str">
        <f>VLOOKUP($B258,master!$B$2:$S$595,8,0)</f>
        <v>TAMBALAN</v>
      </c>
      <c r="J258" s="46" t="str">
        <f>VLOOKUP($B258,master!$B$2:$S$595,9,0)</f>
        <v>1</v>
      </c>
      <c r="K258" s="46" t="str">
        <f>VLOOKUP($B258,master!$B$2:$S$595,11,0)</f>
        <v>GILANGHARJO</v>
      </c>
      <c r="L258" s="46" t="str">
        <f>VLOOKUP($B258,master!$B$2:$S$595,12,0)</f>
        <v>PANDAK</v>
      </c>
      <c r="M258" s="46" t="str">
        <f>VLOOKUP($B258,master!$B$2:$S$595,6,0)</f>
        <v>JOMARI</v>
      </c>
      <c r="N258" s="58" t="str">
        <f>VLOOKUP($B258,master!$B$2:$S$595,15,0)</f>
        <v>SMP N 4 PANDAK</v>
      </c>
      <c r="O258" s="58" t="str">
        <f>VLOOKUP($B258,master!$B$2:$S$595,4,0)</f>
        <v>6-12-2009</v>
      </c>
    </row>
    <row r="259" spans="1:15" ht="15.75" customHeight="1" x14ac:dyDescent="0.25">
      <c r="A259" s="56" t="s">
        <v>341</v>
      </c>
      <c r="B259" s="88" t="s">
        <v>1077</v>
      </c>
      <c r="C259" s="88" t="s">
        <v>4096</v>
      </c>
      <c r="D259" s="88" t="s">
        <v>1078</v>
      </c>
      <c r="E259" s="45" t="str">
        <f>VLOOKUP(D259,Total!$C$2:$D$439,2,0)</f>
        <v>10 TPM 1</v>
      </c>
      <c r="F259" s="45" t="str">
        <f>VLOOKUP(C259,Total!$B$2:$F$439,5,0)</f>
        <v>AKTIF</v>
      </c>
      <c r="G259" s="46" t="str">
        <f>VLOOKUP($B259,master!$B$2:$S$595,16,0)</f>
        <v>081804092783</v>
      </c>
      <c r="H259" s="46">
        <f>VLOOKUP($B259,master!$B$2:$S$595,17,0)</f>
        <v>0</v>
      </c>
      <c r="I259" s="46" t="str">
        <f>VLOOKUP($B259,master!$B$2:$S$595,8,0)</f>
        <v>NOGOSARI</v>
      </c>
      <c r="J259" s="46" t="str">
        <f>VLOOKUP($B259,master!$B$2:$S$595,9,0)</f>
        <v>1</v>
      </c>
      <c r="K259" s="46" t="str">
        <f>VLOOKUP($B259,master!$B$2:$S$595,11,0)</f>
        <v>SELOPAMIORO</v>
      </c>
      <c r="L259" s="46" t="str">
        <f>VLOOKUP($B259,master!$B$2:$S$595,12,0)</f>
        <v>IMOGIRI</v>
      </c>
      <c r="M259" s="46" t="str">
        <f>VLOOKUP($B259,master!$B$2:$S$595,6,0)</f>
        <v>MUJIONO</v>
      </c>
      <c r="N259" s="58" t="str">
        <f>VLOOKUP($B259,master!$B$2:$S$595,15,0)</f>
        <v>SMP MA'ARIF IMOGIRI</v>
      </c>
      <c r="O259" s="58" t="str">
        <f>VLOOKUP($B259,master!$B$2:$S$595,4,0)</f>
        <v>1-04-2010</v>
      </c>
    </row>
    <row r="260" spans="1:15" ht="15.75" customHeight="1" x14ac:dyDescent="0.25">
      <c r="A260" s="56" t="s">
        <v>342</v>
      </c>
      <c r="B260" s="88" t="s">
        <v>3838</v>
      </c>
      <c r="C260" s="88" t="s">
        <v>4097</v>
      </c>
      <c r="D260" s="88" t="s">
        <v>3839</v>
      </c>
      <c r="E260" s="45" t="str">
        <f>VLOOKUP(D260,Total!$C$2:$D$439,2,0)</f>
        <v>10 TPM 1</v>
      </c>
      <c r="F260" s="45" t="str">
        <f>VLOOKUP(C260,Total!$B$2:$F$439,5,0)</f>
        <v>AKTIF</v>
      </c>
      <c r="G260" s="46" t="str">
        <f>VLOOKUP($B260,master!$B$2:$S$595,16,0)</f>
        <v>087839467438</v>
      </c>
      <c r="H260" s="46" t="str">
        <f>VLOOKUP($B260,master!$B$2:$S$595,17,0)</f>
        <v>087841391301</v>
      </c>
      <c r="I260" s="46" t="str">
        <f>VLOOKUP($B260,master!$B$2:$S$595,8,0)</f>
        <v>LANTING 1</v>
      </c>
      <c r="J260" s="46" t="str">
        <f>VLOOKUP($B260,master!$B$2:$S$595,9,0)</f>
        <v>1</v>
      </c>
      <c r="K260" s="46" t="str">
        <f>VLOOKUP($B260,master!$B$2:$S$595,11,0)</f>
        <v>SELOPAMIORO</v>
      </c>
      <c r="L260" s="46" t="str">
        <f>VLOOKUP($B260,master!$B$2:$S$595,12,0)</f>
        <v>IMOGIRI</v>
      </c>
      <c r="M260" s="46" t="str">
        <f>VLOOKUP($B260,master!$B$2:$S$595,6,0)</f>
        <v>BARDI</v>
      </c>
      <c r="N260" s="58" t="str">
        <f>VLOOKUP($B260,master!$B$2:$S$595,15,0)</f>
        <v>SMP N 3 IMOGIRI</v>
      </c>
      <c r="O260" s="58" t="str">
        <f>VLOOKUP($B260,master!$B$2:$S$595,4,0)</f>
        <v>26-03-2010</v>
      </c>
    </row>
    <row r="261" spans="1:15" ht="15.75" customHeight="1" x14ac:dyDescent="0.25">
      <c r="A261" s="56" t="s">
        <v>343</v>
      </c>
      <c r="B261" s="88" t="s">
        <v>2933</v>
      </c>
      <c r="C261" s="88" t="s">
        <v>4098</v>
      </c>
      <c r="D261" s="88" t="s">
        <v>2934</v>
      </c>
      <c r="E261" s="45" t="str">
        <f>VLOOKUP(D261,Total!$C$2:$D$439,2,0)</f>
        <v>10 TPM 1</v>
      </c>
      <c r="F261" s="45" t="str">
        <f>VLOOKUP(C261,Total!$B$2:$F$439,5,0)</f>
        <v>AKTIF</v>
      </c>
      <c r="G261" s="46" t="str">
        <f>VLOOKUP($B261,master!$B$2:$S$595,16,0)</f>
        <v>0895392114653</v>
      </c>
      <c r="H261" s="46" t="str">
        <f>VLOOKUP($B261,master!$B$2:$S$595,17,0)</f>
        <v>087752281819</v>
      </c>
      <c r="I261" s="46" t="str">
        <f>VLOOKUP($B261,master!$B$2:$S$595,8,0)</f>
        <v>NGENTAK</v>
      </c>
      <c r="J261" s="46" t="str">
        <f>VLOOKUP($B261,master!$B$2:$S$595,9,0)</f>
        <v>3</v>
      </c>
      <c r="K261" s="46" t="str">
        <f>VLOOKUP($B261,master!$B$2:$S$595,11,0)</f>
        <v>TIMBULHARJO</v>
      </c>
      <c r="L261" s="46" t="str">
        <f>VLOOKUP($B261,master!$B$2:$S$595,12,0)</f>
        <v>SEWON</v>
      </c>
      <c r="M261" s="46" t="str">
        <f>VLOOKUP($B261,master!$B$2:$S$595,6,0)</f>
        <v>ABU KHORI</v>
      </c>
      <c r="N261" s="58" t="str">
        <f>VLOOKUP($B261,master!$B$2:$S$595,15,0)</f>
        <v>SMP MUHAMMADIYAH IMOGIRI</v>
      </c>
      <c r="O261" s="58" t="str">
        <f>VLOOKUP($B261,master!$B$2:$S$595,4,0)</f>
        <v>2-08-2009</v>
      </c>
    </row>
    <row r="262" spans="1:15" ht="15.75" customHeight="1" x14ac:dyDescent="0.25">
      <c r="A262" s="56" t="s">
        <v>344</v>
      </c>
      <c r="B262" s="88" t="s">
        <v>3915</v>
      </c>
      <c r="C262" s="88" t="s">
        <v>4099</v>
      </c>
      <c r="D262" s="88" t="s">
        <v>3916</v>
      </c>
      <c r="E262" s="45" t="str">
        <f>VLOOKUP(D262,Total!$C$2:$D$439,2,0)</f>
        <v>10 TPM 1</v>
      </c>
      <c r="F262" s="45" t="str">
        <f>VLOOKUP(C262,Total!$B$2:$F$439,5,0)</f>
        <v>KELUAR</v>
      </c>
      <c r="G262" s="46" t="str">
        <f>VLOOKUP($B262,master!$B$2:$S$595,16,0)</f>
        <v>083846049741</v>
      </c>
      <c r="H262" s="46" t="str">
        <f>VLOOKUP($B262,master!$B$2:$S$595,17,0)</f>
        <v>08885998098</v>
      </c>
      <c r="I262" s="46" t="str">
        <f>VLOOKUP($B262,master!$B$2:$S$595,8,0)</f>
        <v>PRANTI</v>
      </c>
      <c r="J262" s="46" t="str">
        <f>VLOOKUP($B262,master!$B$2:$S$595,9,0)</f>
        <v>3</v>
      </c>
      <c r="K262" s="46" t="str">
        <f>VLOOKUP($B262,master!$B$2:$S$595,11,0)</f>
        <v>SRIHARDONO</v>
      </c>
      <c r="L262" s="46" t="str">
        <f>VLOOKUP($B262,master!$B$2:$S$595,12,0)</f>
        <v>PUNDONG</v>
      </c>
      <c r="M262" s="46" t="str">
        <f>VLOOKUP($B262,master!$B$2:$S$595,6,0)</f>
        <v>SARJIYEM</v>
      </c>
      <c r="N262" s="58" t="str">
        <f>VLOOKUP($B262,master!$B$2:$S$595,15,0)</f>
        <v>PKBM GERBANG MANDIRI</v>
      </c>
      <c r="O262" s="58" t="str">
        <f>VLOOKUP($B262,master!$B$2:$S$595,4,0)</f>
        <v>12-12-2009</v>
      </c>
    </row>
    <row r="263" spans="1:15" ht="15.75" customHeight="1" x14ac:dyDescent="0.25">
      <c r="A263" s="56" t="s">
        <v>345</v>
      </c>
      <c r="B263" s="88" t="s">
        <v>1940</v>
      </c>
      <c r="C263" s="88" t="s">
        <v>4100</v>
      </c>
      <c r="D263" s="88" t="s">
        <v>1941</v>
      </c>
      <c r="E263" s="45" t="str">
        <f>VLOOKUP(D263,Total!$C$2:$D$439,2,0)</f>
        <v>10 TPM 1</v>
      </c>
      <c r="F263" s="45" t="str">
        <f>VLOOKUP(C263,Total!$B$2:$F$439,5,0)</f>
        <v>AKTIF</v>
      </c>
      <c r="G263" s="46" t="str">
        <f>VLOOKUP($B263,master!$B$2:$S$595,16,0)</f>
        <v>081389020565</v>
      </c>
      <c r="H263" s="46" t="str">
        <f>VLOOKUP($B263,master!$B$2:$S$595,17,0)</f>
        <v>082124521842</v>
      </c>
      <c r="I263" s="46" t="str">
        <f>VLOOKUP($B263,master!$B$2:$S$595,8,0)</f>
        <v>BIBIS</v>
      </c>
      <c r="J263" s="46" t="str">
        <f>VLOOKUP($B263,master!$B$2:$S$595,9,0)</f>
        <v>3</v>
      </c>
      <c r="K263" s="46" t="str">
        <f>VLOOKUP($B263,master!$B$2:$S$595,11,0)</f>
        <v>BANGUNJIWO</v>
      </c>
      <c r="L263" s="46" t="str">
        <f>VLOOKUP($B263,master!$B$2:$S$595,12,0)</f>
        <v>KASIHAN</v>
      </c>
      <c r="M263" s="46" t="str">
        <f>VLOOKUP($B263,master!$B$2:$S$595,6,0)</f>
        <v>ZAINI</v>
      </c>
      <c r="N263" s="58" t="str">
        <f>VLOOKUP($B263,master!$B$2:$S$595,15,0)</f>
        <v>MTS AL-HADI II</v>
      </c>
      <c r="O263" s="58" t="str">
        <f>VLOOKUP($B263,master!$B$2:$S$595,4,0)</f>
        <v>9-10-2009</v>
      </c>
    </row>
    <row r="264" spans="1:15" ht="15.75" customHeight="1" x14ac:dyDescent="0.25">
      <c r="A264" s="56" t="s">
        <v>346</v>
      </c>
      <c r="B264" s="88" t="s">
        <v>2523</v>
      </c>
      <c r="C264" s="88" t="s">
        <v>4101</v>
      </c>
      <c r="D264" s="88" t="s">
        <v>2524</v>
      </c>
      <c r="E264" s="45" t="str">
        <f>VLOOKUP(D264,Total!$C$2:$D$439,2,0)</f>
        <v>10 TPM 1</v>
      </c>
      <c r="F264" s="45" t="str">
        <f>VLOOKUP(C264,Total!$B$2:$F$439,5,0)</f>
        <v>AKTIF</v>
      </c>
      <c r="G264" s="46" t="str">
        <f>VLOOKUP($B264,master!$B$2:$S$595,16,0)</f>
        <v>082334010728</v>
      </c>
      <c r="H264" s="46" t="str">
        <f>VLOOKUP($B264,master!$B$2:$S$595,17,0)</f>
        <v>085800345731</v>
      </c>
      <c r="I264" s="46" t="str">
        <f>VLOOKUP($B264,master!$B$2:$S$595,8,0)</f>
        <v>TEGALSARI</v>
      </c>
      <c r="J264" s="46" t="str">
        <f>VLOOKUP($B264,master!$B$2:$S$595,9,0)</f>
        <v>1</v>
      </c>
      <c r="K264" s="46" t="str">
        <f>VLOOKUP($B264,master!$B$2:$S$595,11,0)</f>
        <v>TAMANTIRTO</v>
      </c>
      <c r="L264" s="46" t="str">
        <f>VLOOKUP($B264,master!$B$2:$S$595,12,0)</f>
        <v>KASIHAN</v>
      </c>
      <c r="M264" s="46" t="str">
        <f>VLOOKUP($B264,master!$B$2:$S$595,6,0)</f>
        <v>INDRIYAS SURANTI</v>
      </c>
      <c r="N264" s="58" t="str">
        <f>VLOOKUP($B264,master!$B$2:$S$595,15,0)</f>
        <v>SMP MUHAMMADIYAH 1 GAMPING</v>
      </c>
      <c r="O264" s="58" t="str">
        <f>VLOOKUP($B264,master!$B$2:$S$595,4,0)</f>
        <v>27-05-2010</v>
      </c>
    </row>
    <row r="265" spans="1:15" ht="15.75" customHeight="1" x14ac:dyDescent="0.25">
      <c r="A265" s="56" t="s">
        <v>347</v>
      </c>
      <c r="B265" s="88" t="s">
        <v>3105</v>
      </c>
      <c r="C265" s="88" t="s">
        <v>4102</v>
      </c>
      <c r="D265" s="88" t="s">
        <v>3106</v>
      </c>
      <c r="E265" s="45" t="str">
        <f>VLOOKUP(D265,Total!$C$2:$D$439,2,0)</f>
        <v>10 TPM 1</v>
      </c>
      <c r="F265" s="45" t="str">
        <f>VLOOKUP(C265,Total!$B$2:$F$439,5,0)</f>
        <v>AKTIF</v>
      </c>
      <c r="G265" s="46" t="str">
        <f>VLOOKUP($B265,master!$B$2:$S$595,16,0)</f>
        <v>081228681583</v>
      </c>
      <c r="H265" s="46" t="str">
        <f>VLOOKUP($B265,master!$B$2:$S$595,17,0)</f>
        <v>081329500410</v>
      </c>
      <c r="I265" s="46" t="str">
        <f>VLOOKUP($B265,master!$B$2:$S$595,8,0)</f>
        <v>GEGER</v>
      </c>
      <c r="J265" s="46" t="str">
        <f>VLOOKUP($B265,master!$B$2:$S$595,9,0)</f>
        <v>03</v>
      </c>
      <c r="K265" s="46" t="str">
        <f>VLOOKUP($B265,master!$B$2:$S$595,11,0)</f>
        <v>SELOHARJO</v>
      </c>
      <c r="L265" s="46" t="str">
        <f>VLOOKUP($B265,master!$B$2:$S$595,12,0)</f>
        <v>PUNDONG</v>
      </c>
      <c r="M265" s="46" t="str">
        <f>VLOOKUP($B265,master!$B$2:$S$595,6,0)</f>
        <v>KARDADI</v>
      </c>
      <c r="N265" s="58" t="str">
        <f>VLOOKUP($B265,master!$B$2:$S$595,15,0)</f>
        <v>SMP N 2 PUNDONG</v>
      </c>
      <c r="O265" s="58" t="str">
        <f>VLOOKUP($B265,master!$B$2:$S$595,4,0)</f>
        <v>20-11-2009</v>
      </c>
    </row>
    <row r="266" spans="1:15" ht="15.75" customHeight="1" x14ac:dyDescent="0.25">
      <c r="A266" s="56" t="s">
        <v>348</v>
      </c>
      <c r="B266" s="88" t="s">
        <v>1588</v>
      </c>
      <c r="C266" s="88" t="s">
        <v>4103</v>
      </c>
      <c r="D266" s="88" t="s">
        <v>1589</v>
      </c>
      <c r="E266" s="45" t="str">
        <f>VLOOKUP(D266,Total!$C$2:$D$439,2,0)</f>
        <v>10 TPM 1</v>
      </c>
      <c r="F266" s="45" t="str">
        <f>VLOOKUP(C266,Total!$B$2:$F$439,5,0)</f>
        <v>AKTIF</v>
      </c>
      <c r="G266" s="46" t="str">
        <f>VLOOKUP($B266,master!$B$2:$S$595,16,0)</f>
        <v>081227042749</v>
      </c>
      <c r="H266" s="46" t="str">
        <f>VLOOKUP($B266,master!$B$2:$S$595,17,0)</f>
        <v>082135310169</v>
      </c>
      <c r="I266" s="46" t="str">
        <f>VLOOKUP($B266,master!$B$2:$S$595,8,0)</f>
        <v>MASAHAN</v>
      </c>
      <c r="J266" s="46" t="str">
        <f>VLOOKUP($B266,master!$B$2:$S$595,9,0)</f>
        <v>3</v>
      </c>
      <c r="K266" s="46" t="str">
        <f>VLOOKUP($B266,master!$B$2:$S$595,11,0)</f>
        <v>TRIRENGGO</v>
      </c>
      <c r="L266" s="46" t="str">
        <f>VLOOKUP($B266,master!$B$2:$S$595,12,0)</f>
        <v>BANTUL</v>
      </c>
      <c r="M266" s="46" t="str">
        <f>VLOOKUP($B266,master!$B$2:$S$595,6,0)</f>
        <v>NINIK PURWANTI</v>
      </c>
      <c r="N266" s="58" t="str">
        <f>VLOOKUP($B266,master!$B$2:$S$595,15,0)</f>
        <v>SMP MUHAMMADIYAH BANTUL</v>
      </c>
      <c r="O266" s="58" t="str">
        <f>VLOOKUP($B266,master!$B$2:$S$595,4,0)</f>
        <v>18-02-2010</v>
      </c>
    </row>
    <row r="267" spans="1:15" ht="15.75" customHeight="1" x14ac:dyDescent="0.25">
      <c r="A267" s="56" t="s">
        <v>349</v>
      </c>
      <c r="B267" s="88" t="s">
        <v>2301</v>
      </c>
      <c r="C267" s="88" t="s">
        <v>4104</v>
      </c>
      <c r="D267" s="88" t="s">
        <v>2302</v>
      </c>
      <c r="E267" s="45" t="str">
        <f>VLOOKUP(D267,Total!$C$2:$D$439,2,0)</f>
        <v>10 TPM 1</v>
      </c>
      <c r="F267" s="45" t="str">
        <f>VLOOKUP(C267,Total!$B$2:$F$439,5,0)</f>
        <v>AKTIF</v>
      </c>
      <c r="G267" s="46" t="str">
        <f>VLOOKUP($B267,master!$B$2:$S$595,16,0)</f>
        <v>085326433312</v>
      </c>
      <c r="H267" s="46" t="str">
        <f>VLOOKUP($B267,master!$B$2:$S$595,17,0)</f>
        <v>082396336957</v>
      </c>
      <c r="I267" s="46" t="str">
        <f>VLOOKUP($B267,master!$B$2:$S$595,8,0)</f>
        <v>PANGGANG II</v>
      </c>
      <c r="J267" s="46" t="str">
        <f>VLOOKUP($B267,master!$B$2:$S$595,9,0)</f>
        <v>5</v>
      </c>
      <c r="K267" s="46" t="str">
        <f>VLOOKUP($B267,master!$B$2:$S$595,11,0)</f>
        <v>GIRIHARJO</v>
      </c>
      <c r="L267" s="46" t="str">
        <f>VLOOKUP($B267,master!$B$2:$S$595,12,0)</f>
        <v>PANGGANG</v>
      </c>
      <c r="M267" s="46" t="str">
        <f>VLOOKUP($B267,master!$B$2:$S$595,6,0)</f>
        <v>RIA NITA UTAMI</v>
      </c>
      <c r="N267" s="58" t="str">
        <f>VLOOKUP($B267,master!$B$2:$S$595,15,0)</f>
        <v>SMP DHARMA UTAMA MUARA WAHAU</v>
      </c>
      <c r="O267" s="58" t="str">
        <f>VLOOKUP($B267,master!$B$2:$S$595,4,0)</f>
        <v>12-04-2009</v>
      </c>
    </row>
    <row r="268" spans="1:15" ht="15.75" customHeight="1" x14ac:dyDescent="0.25">
      <c r="A268" s="56" t="s">
        <v>350</v>
      </c>
      <c r="B268" s="88" t="s">
        <v>723</v>
      </c>
      <c r="C268" s="88" t="s">
        <v>4105</v>
      </c>
      <c r="D268" s="88" t="s">
        <v>724</v>
      </c>
      <c r="E268" s="45" t="str">
        <f>VLOOKUP(D268,Total!$C$2:$D$439,2,0)</f>
        <v>10 TPM 1</v>
      </c>
      <c r="F268" s="45" t="str">
        <f>VLOOKUP(C268,Total!$B$2:$F$439,5,0)</f>
        <v>AKTIF</v>
      </c>
      <c r="G268" s="46" t="str">
        <f>VLOOKUP($B268,master!$B$2:$S$595,16,0)</f>
        <v>083846731305</v>
      </c>
      <c r="H268" s="46">
        <f>VLOOKUP($B268,master!$B$2:$S$595,17,0)</f>
        <v>0</v>
      </c>
      <c r="I268" s="46" t="str">
        <f>VLOOKUP($B268,master!$B$2:$S$595,8,0)</f>
        <v>DAGEN</v>
      </c>
      <c r="J268" s="46" t="str">
        <f>VLOOKUP($B268,master!$B$2:$S$595,9,0)</f>
        <v>4</v>
      </c>
      <c r="K268" s="46" t="str">
        <f>VLOOKUP($B268,master!$B$2:$S$595,11,0)</f>
        <v>RINGIN HARJO</v>
      </c>
      <c r="L268" s="46" t="str">
        <f>VLOOKUP($B268,master!$B$2:$S$595,12,0)</f>
        <v>BANTUL</v>
      </c>
      <c r="M268" s="46" t="str">
        <f>VLOOKUP($B268,master!$B$2:$S$595,6,0)</f>
        <v>KIRWANTO</v>
      </c>
      <c r="N268" s="58" t="str">
        <f>VLOOKUP($B268,master!$B$2:$S$595,15,0)</f>
        <v>SMP MUHAMMADIYAH BANTUL</v>
      </c>
      <c r="O268" s="58" t="str">
        <f>VLOOKUP($B268,master!$B$2:$S$595,4,0)</f>
        <v>24-01-2010</v>
      </c>
    </row>
    <row r="269" spans="1:15" ht="15.75" customHeight="1" x14ac:dyDescent="0.25">
      <c r="A269" s="56" t="s">
        <v>351</v>
      </c>
      <c r="B269" s="88" t="s">
        <v>2294</v>
      </c>
      <c r="C269" s="88" t="s">
        <v>4106</v>
      </c>
      <c r="D269" s="88" t="s">
        <v>2295</v>
      </c>
      <c r="E269" s="45" t="str">
        <f>VLOOKUP(D269,Total!$C$2:$D$439,2,0)</f>
        <v>10 TPM 1</v>
      </c>
      <c r="F269" s="45" t="str">
        <f>VLOOKUP(C269,Total!$B$2:$F$439,5,0)</f>
        <v>AKTIF</v>
      </c>
      <c r="G269" s="46" t="str">
        <f>VLOOKUP($B269,master!$B$2:$S$595,16,0)</f>
        <v>088806901971</v>
      </c>
      <c r="H269" s="46" t="str">
        <f>VLOOKUP($B269,master!$B$2:$S$595,17,0)</f>
        <v>+62 857-0048-76</v>
      </c>
      <c r="I269" s="46" t="str">
        <f>VLOOKUP($B269,master!$B$2:$S$595,8,0)</f>
        <v>GLONDONG</v>
      </c>
      <c r="J269" s="46" t="str">
        <f>VLOOKUP($B269,master!$B$2:$S$595,9,0)</f>
        <v>01</v>
      </c>
      <c r="K269" s="46" t="str">
        <f>VLOOKUP($B269,master!$B$2:$S$595,11,0)</f>
        <v>TIRTONIRMOLO</v>
      </c>
      <c r="L269" s="46" t="str">
        <f>VLOOKUP($B269,master!$B$2:$S$595,12,0)</f>
        <v>KASIHAN</v>
      </c>
      <c r="M269" s="46" t="str">
        <f>VLOOKUP($B269,master!$B$2:$S$595,6,0)</f>
        <v>Teguh suharyanto</v>
      </c>
      <c r="N269" s="58" t="str">
        <f>VLOOKUP($B269,master!$B$2:$S$595,15,0)</f>
        <v>SMP MUHAMMADIYAH SEWON</v>
      </c>
      <c r="O269" s="58" t="str">
        <f>VLOOKUP($B269,master!$B$2:$S$595,4,0)</f>
        <v>9-04-2009</v>
      </c>
    </row>
    <row r="270" spans="1:15" ht="15.75" customHeight="1" x14ac:dyDescent="0.25">
      <c r="A270" s="56" t="s">
        <v>352</v>
      </c>
      <c r="B270" s="88" t="s">
        <v>1096</v>
      </c>
      <c r="C270" s="88" t="s">
        <v>4107</v>
      </c>
      <c r="D270" s="88" t="s">
        <v>1097</v>
      </c>
      <c r="E270" s="45" t="str">
        <f>VLOOKUP(D270,Total!$C$2:$D$439,2,0)</f>
        <v>10 TPM 2</v>
      </c>
      <c r="F270" s="45" t="str">
        <f>VLOOKUP(C270,Total!$B$2:$F$439,5,0)</f>
        <v>AKTIF</v>
      </c>
      <c r="G270" s="46" t="str">
        <f>VLOOKUP($B270,master!$B$2:$S$595,16,0)</f>
        <v>083149680849</v>
      </c>
      <c r="H270" s="46" t="str">
        <f>VLOOKUP($B270,master!$B$2:$S$595,17,0)</f>
        <v>089699569061</v>
      </c>
      <c r="I270" s="46" t="str">
        <f>VLOOKUP($B270,master!$B$2:$S$595,8,0)</f>
        <v>KADISORO</v>
      </c>
      <c r="J270" s="46" t="str">
        <f>VLOOKUP($B270,master!$B$2:$S$595,9,0)</f>
        <v>04</v>
      </c>
      <c r="K270" s="46" t="str">
        <f>VLOOKUP($B270,master!$B$2:$S$595,11,0)</f>
        <v>GILANGHARJO</v>
      </c>
      <c r="L270" s="46" t="str">
        <f>VLOOKUP($B270,master!$B$2:$S$595,12,0)</f>
        <v>PANDAK</v>
      </c>
      <c r="M270" s="46" t="str">
        <f>VLOOKUP($B270,master!$B$2:$S$595,6,0)</f>
        <v>Suryanta</v>
      </c>
      <c r="N270" s="58" t="str">
        <f>VLOOKUP($B270,master!$B$2:$S$595,15,0)</f>
        <v>SMP N 3 PANDAK</v>
      </c>
      <c r="O270" s="58" t="str">
        <f>VLOOKUP($B270,master!$B$2:$S$595,4,0)</f>
        <v>3-02-2009</v>
      </c>
    </row>
    <row r="271" spans="1:15" ht="15.75" customHeight="1" x14ac:dyDescent="0.25">
      <c r="A271" s="56" t="s">
        <v>353</v>
      </c>
      <c r="B271" s="88" t="s">
        <v>2977</v>
      </c>
      <c r="C271" s="88" t="s">
        <v>4108</v>
      </c>
      <c r="D271" s="88" t="s">
        <v>2978</v>
      </c>
      <c r="E271" s="45" t="str">
        <f>VLOOKUP(D271,Total!$C$2:$D$439,2,0)</f>
        <v>10 TPM 2</v>
      </c>
      <c r="F271" s="45" t="str">
        <f>VLOOKUP(C271,Total!$B$2:$F$439,5,0)</f>
        <v>AKTIF</v>
      </c>
      <c r="G271" s="46" t="str">
        <f>VLOOKUP($B271,master!$B$2:$S$595,16,0)</f>
        <v>083138647191</v>
      </c>
      <c r="H271" s="46" t="str">
        <f>VLOOKUP($B271,master!$B$2:$S$595,17,0)</f>
        <v>08311106392</v>
      </c>
      <c r="I271" s="46" t="str">
        <f>VLOOKUP($B271,master!$B$2:$S$595,8,0)</f>
        <v>KANGGOTAN</v>
      </c>
      <c r="J271" s="46" t="str">
        <f>VLOOKUP($B271,master!$B$2:$S$595,9,0)</f>
        <v>008</v>
      </c>
      <c r="K271" s="46" t="str">
        <f>VLOOKUP($B271,master!$B$2:$S$595,11,0)</f>
        <v>PLERET</v>
      </c>
      <c r="L271" s="46" t="str">
        <f>VLOOKUP($B271,master!$B$2:$S$595,12,0)</f>
        <v>PLERET</v>
      </c>
      <c r="M271" s="46" t="str">
        <f>VLOOKUP($B271,master!$B$2:$S$595,6,0)</f>
        <v>Nasrudin</v>
      </c>
      <c r="N271" s="58" t="str">
        <f>VLOOKUP($B271,master!$B$2:$S$595,15,0)</f>
        <v>SMP MUHAMMADIYAH BANGUNTAPAN</v>
      </c>
      <c r="O271" s="58" t="str">
        <f>VLOOKUP($B271,master!$B$2:$S$595,4,0)</f>
        <v>21-07-2010</v>
      </c>
    </row>
    <row r="272" spans="1:15" ht="15.75" customHeight="1" x14ac:dyDescent="0.25">
      <c r="A272" s="56" t="s">
        <v>354</v>
      </c>
      <c r="B272" s="88" t="s">
        <v>1375</v>
      </c>
      <c r="C272" s="88" t="s">
        <v>4109</v>
      </c>
      <c r="D272" s="88" t="s">
        <v>1376</v>
      </c>
      <c r="E272" s="45" t="str">
        <f>VLOOKUP(D272,Total!$C$2:$D$439,2,0)</f>
        <v>10 TPM 2</v>
      </c>
      <c r="F272" s="45" t="str">
        <f>VLOOKUP(C272,Total!$B$2:$F$439,5,0)</f>
        <v>AKTIF</v>
      </c>
      <c r="G272" s="46" t="str">
        <f>VLOOKUP($B272,master!$B$2:$S$595,16,0)</f>
        <v>081228663969</v>
      </c>
      <c r="H272" s="46" t="str">
        <f>VLOOKUP($B272,master!$B$2:$S$595,17,0)</f>
        <v>088232500570</v>
      </c>
      <c r="I272" s="46" t="str">
        <f>VLOOKUP($B272,master!$B$2:$S$595,8,0)</f>
        <v>DADAPAN</v>
      </c>
      <c r="J272" s="46" t="str">
        <f>VLOOKUP($B272,master!$B$2:$S$595,9,0)</f>
        <v>2</v>
      </c>
      <c r="K272" s="46" t="str">
        <f>VLOOKUP($B272,master!$B$2:$S$595,11,0)</f>
        <v>TIMBULHARJO</v>
      </c>
      <c r="L272" s="46" t="str">
        <f>VLOOKUP($B272,master!$B$2:$S$595,12,0)</f>
        <v>SEWON</v>
      </c>
      <c r="M272" s="46" t="str">
        <f>VLOOKUP($B272,master!$B$2:$S$595,6,0)</f>
        <v>YURIYADI</v>
      </c>
      <c r="N272" s="58" t="str">
        <f>VLOOKUP($B272,master!$B$2:$S$595,15,0)</f>
        <v>MTS N 2 BANTUL</v>
      </c>
      <c r="O272" s="58" t="str">
        <f>VLOOKUP($B272,master!$B$2:$S$595,4,0)</f>
        <v>14-08-2009</v>
      </c>
    </row>
    <row r="273" spans="1:15" ht="15.75" customHeight="1" x14ac:dyDescent="0.25">
      <c r="A273" s="56" t="s">
        <v>355</v>
      </c>
      <c r="B273" s="88" t="s">
        <v>2389</v>
      </c>
      <c r="C273" s="88" t="s">
        <v>4110</v>
      </c>
      <c r="D273" s="88" t="s">
        <v>2390</v>
      </c>
      <c r="E273" s="45" t="str">
        <f>VLOOKUP(D273,Total!$C$2:$D$439,2,0)</f>
        <v>10 TPM 2</v>
      </c>
      <c r="F273" s="45" t="str">
        <f>VLOOKUP(C273,Total!$B$2:$F$439,5,0)</f>
        <v>AKTIF</v>
      </c>
      <c r="G273" s="46" t="str">
        <f>VLOOKUP($B273,master!$B$2:$S$595,16,0)</f>
        <v>08822884827</v>
      </c>
      <c r="H273" s="46" t="str">
        <f>VLOOKUP($B273,master!$B$2:$S$595,17,0)</f>
        <v>088227752987</v>
      </c>
      <c r="I273" s="46" t="str">
        <f>VLOOKUP($B273,master!$B$2:$S$595,8,0)</f>
        <v>KARANGKULON</v>
      </c>
      <c r="J273" s="46" t="str">
        <f>VLOOKUP($B273,master!$B$2:$S$595,9,0)</f>
        <v>2</v>
      </c>
      <c r="K273" s="46" t="str">
        <f>VLOOKUP($B273,master!$B$2:$S$595,11,0)</f>
        <v>WUKIRSARI</v>
      </c>
      <c r="L273" s="46" t="str">
        <f>VLOOKUP($B273,master!$B$2:$S$595,12,0)</f>
        <v>IMOGIRI</v>
      </c>
      <c r="M273" s="46" t="str">
        <f>VLOOKUP($B273,master!$B$2:$S$595,6,0)</f>
        <v>EKO SUNARYO</v>
      </c>
      <c r="N273" s="58" t="str">
        <f>VLOOKUP($B273,master!$B$2:$S$595,15,0)</f>
        <v>MTS BINAUL UMMAH</v>
      </c>
      <c r="O273" s="58" t="str">
        <f>VLOOKUP($B273,master!$B$2:$S$595,4,0)</f>
        <v>23-07-2007</v>
      </c>
    </row>
    <row r="274" spans="1:15" ht="15.75" customHeight="1" x14ac:dyDescent="0.25">
      <c r="A274" s="56" t="s">
        <v>356</v>
      </c>
      <c r="B274" s="88" t="s">
        <v>3932</v>
      </c>
      <c r="C274" s="88" t="s">
        <v>4111</v>
      </c>
      <c r="D274" s="88" t="s">
        <v>3933</v>
      </c>
      <c r="E274" s="45" t="str">
        <f>VLOOKUP(D274,Total!$C$2:$D$439,2,0)</f>
        <v>10 TPM 2</v>
      </c>
      <c r="F274" s="45" t="str">
        <f>VLOOKUP(C274,Total!$B$2:$F$439,5,0)</f>
        <v>AKTIF</v>
      </c>
      <c r="G274" s="46" t="str">
        <f>VLOOKUP($B274,master!$B$2:$S$595,16,0)</f>
        <v>0895806688639</v>
      </c>
      <c r="H274" s="46" t="str">
        <f>VLOOKUP($B274,master!$B$2:$S$595,17,0)</f>
        <v>088216484534</v>
      </c>
      <c r="I274" s="46" t="str">
        <f>VLOOKUP($B274,master!$B$2:$S$595,8,0)</f>
        <v>SANAN</v>
      </c>
      <c r="J274" s="46" t="str">
        <f>VLOOKUP($B274,master!$B$2:$S$595,9,0)</f>
        <v>6</v>
      </c>
      <c r="K274" s="46" t="str">
        <f>VLOOKUP($B274,master!$B$2:$S$595,11,0)</f>
        <v>BAWURAN</v>
      </c>
      <c r="L274" s="46" t="str">
        <f>VLOOKUP($B274,master!$B$2:$S$595,12,0)</f>
        <v>PLERET</v>
      </c>
      <c r="M274" s="46" t="str">
        <f>VLOOKUP($B274,master!$B$2:$S$595,6,0)</f>
        <v>SARJONO</v>
      </c>
      <c r="N274" s="58" t="str">
        <f>VLOOKUP($B274,master!$B$2:$S$595,15,0)</f>
        <v>SMP N 2 PLERET</v>
      </c>
      <c r="O274" s="58" t="str">
        <f>VLOOKUP($B274,master!$B$2:$S$595,4,0)</f>
        <v>19-03-2009</v>
      </c>
    </row>
    <row r="275" spans="1:15" ht="15.75" customHeight="1" x14ac:dyDescent="0.25">
      <c r="A275" s="56" t="s">
        <v>357</v>
      </c>
      <c r="B275" s="88" t="s">
        <v>3118</v>
      </c>
      <c r="C275" s="88" t="s">
        <v>4112</v>
      </c>
      <c r="D275" s="88" t="s">
        <v>3119</v>
      </c>
      <c r="E275" s="45" t="str">
        <f>VLOOKUP(D275,Total!$C$2:$D$439,2,0)</f>
        <v>10 TPM 2</v>
      </c>
      <c r="F275" s="45" t="str">
        <f>VLOOKUP(C275,Total!$B$2:$F$439,5,0)</f>
        <v>AKTIF</v>
      </c>
      <c r="G275" s="46" t="str">
        <f>VLOOKUP($B275,master!$B$2:$S$595,16,0)</f>
        <v>082131010733</v>
      </c>
      <c r="H275" s="46" t="str">
        <f>VLOOKUP($B275,master!$B$2:$S$595,17,0)</f>
        <v>085695127326</v>
      </c>
      <c r="I275" s="46" t="str">
        <f>VLOOKUP($B275,master!$B$2:$S$595,8,0)</f>
        <v>TEGALLAYANG 10</v>
      </c>
      <c r="J275" s="46" t="str">
        <f>VLOOKUP($B275,master!$B$2:$S$595,9,0)</f>
        <v>03</v>
      </c>
      <c r="K275" s="46" t="str">
        <f>VLOOKUP($B275,master!$B$2:$S$595,11,0)</f>
        <v>CATURHARJO</v>
      </c>
      <c r="L275" s="46" t="str">
        <f>VLOOKUP($B275,master!$B$2:$S$595,12,0)</f>
        <v>PANDAK</v>
      </c>
      <c r="M275" s="46" t="str">
        <f>VLOOKUP($B275,master!$B$2:$S$595,6,0)</f>
        <v>IRFAN SAHUDI</v>
      </c>
      <c r="N275" s="58" t="str">
        <f>VLOOKUP($B275,master!$B$2:$S$595,15,0)</f>
        <v>SMP N 4 PANDAK</v>
      </c>
      <c r="O275" s="58" t="str">
        <f>VLOOKUP($B275,master!$B$2:$S$595,4,0)</f>
        <v>5-11-2009</v>
      </c>
    </row>
    <row r="276" spans="1:15" ht="15.75" customHeight="1" x14ac:dyDescent="0.25">
      <c r="A276" s="56" t="s">
        <v>358</v>
      </c>
      <c r="B276" s="88" t="s">
        <v>843</v>
      </c>
      <c r="C276" s="88" t="s">
        <v>4113</v>
      </c>
      <c r="D276" s="88" t="s">
        <v>844</v>
      </c>
      <c r="E276" s="45" t="str">
        <f>VLOOKUP(D276,Total!$C$2:$D$439,2,0)</f>
        <v>10 TPM 2</v>
      </c>
      <c r="F276" s="45" t="str">
        <f>VLOOKUP(C276,Total!$B$2:$F$439,5,0)</f>
        <v>AKTIF</v>
      </c>
      <c r="G276" s="46" t="str">
        <f>VLOOKUP($B276,master!$B$2:$S$595,16,0)</f>
        <v>082134220040</v>
      </c>
      <c r="H276" s="46">
        <f>VLOOKUP($B276,master!$B$2:$S$595,17,0)</f>
        <v>0</v>
      </c>
      <c r="I276" s="46" t="str">
        <f>VLOOKUP($B276,master!$B$2:$S$595,8,0)</f>
        <v>SRAGAN</v>
      </c>
      <c r="J276" s="46" t="str">
        <f>VLOOKUP($B276,master!$B$2:$S$595,9,0)</f>
        <v>6</v>
      </c>
      <c r="K276" s="46" t="str">
        <f>VLOOKUP($B276,master!$B$2:$S$595,11,0)</f>
        <v>TRIRENGGO</v>
      </c>
      <c r="L276" s="46" t="str">
        <f>VLOOKUP($B276,master!$B$2:$S$595,12,0)</f>
        <v>BANTUL</v>
      </c>
      <c r="M276" s="46" t="str">
        <f>VLOOKUP($B276,master!$B$2:$S$595,6,0)</f>
        <v>ARIYANTO</v>
      </c>
      <c r="N276" s="58" t="str">
        <f>VLOOKUP($B276,master!$B$2:$S$595,15,0)</f>
        <v>SMP MUHAMMADIYAH BANTUL</v>
      </c>
      <c r="O276" s="58" t="str">
        <f>VLOOKUP($B276,master!$B$2:$S$595,4,0)</f>
        <v>27-04-2010</v>
      </c>
    </row>
    <row r="277" spans="1:15" ht="15.75" customHeight="1" x14ac:dyDescent="0.25">
      <c r="A277" s="56" t="s">
        <v>359</v>
      </c>
      <c r="B277" s="88" t="s">
        <v>1675</v>
      </c>
      <c r="C277" s="88" t="s">
        <v>4114</v>
      </c>
      <c r="D277" s="88" t="s">
        <v>1676</v>
      </c>
      <c r="E277" s="45" t="str">
        <f>VLOOKUP(D277,Total!$C$2:$D$439,2,0)</f>
        <v>10 TPM 2</v>
      </c>
      <c r="F277" s="45" t="str">
        <f>VLOOKUP(C277,Total!$B$2:$F$439,5,0)</f>
        <v>AKTIF</v>
      </c>
      <c r="G277" s="46" t="str">
        <f>VLOOKUP($B277,master!$B$2:$S$595,16,0)</f>
        <v>089680499884</v>
      </c>
      <c r="H277" s="46" t="str">
        <f>VLOOKUP($B277,master!$B$2:$S$595,17,0)</f>
        <v>089680499884</v>
      </c>
      <c r="I277" s="46" t="str">
        <f>VLOOKUP($B277,master!$B$2:$S$595,8,0)</f>
        <v>GEBLAG</v>
      </c>
      <c r="J277" s="46" t="str">
        <f>VLOOKUP($B277,master!$B$2:$S$595,9,0)</f>
        <v>002</v>
      </c>
      <c r="K277" s="46" t="str">
        <f>VLOOKUP($B277,master!$B$2:$S$595,11,0)</f>
        <v>BANTUL</v>
      </c>
      <c r="L277" s="46" t="str">
        <f>VLOOKUP($B277,master!$B$2:$S$595,12,0)</f>
        <v>BANTUL</v>
      </c>
      <c r="M277" s="46" t="str">
        <f>VLOOKUP($B277,master!$B$2:$S$595,6,0)</f>
        <v>Sulistia Pratiwi</v>
      </c>
      <c r="N277" s="58" t="str">
        <f>VLOOKUP($B277,master!$B$2:$S$595,15,0)</f>
        <v>SMP N 4 SEWON</v>
      </c>
      <c r="O277" s="58" t="str">
        <f>VLOOKUP($B277,master!$B$2:$S$595,4,0)</f>
        <v>9-02-2010</v>
      </c>
    </row>
    <row r="278" spans="1:15" ht="15.75" customHeight="1" x14ac:dyDescent="0.25">
      <c r="A278" s="56" t="s">
        <v>360</v>
      </c>
      <c r="B278" s="88" t="s">
        <v>2402</v>
      </c>
      <c r="C278" s="88" t="s">
        <v>4115</v>
      </c>
      <c r="D278" s="88" t="s">
        <v>2403</v>
      </c>
      <c r="E278" s="45" t="str">
        <f>VLOOKUP(D278,Total!$C$2:$D$439,2,0)</f>
        <v>10 TPM 2</v>
      </c>
      <c r="F278" s="45" t="str">
        <f>VLOOKUP(C278,Total!$B$2:$F$439,5,0)</f>
        <v>AKTIF</v>
      </c>
      <c r="G278" s="46" t="str">
        <f>VLOOKUP($B278,master!$B$2:$S$595,16,0)</f>
        <v>0895365361865</v>
      </c>
      <c r="H278" s="46" t="str">
        <f>VLOOKUP($B278,master!$B$2:$S$595,17,0)</f>
        <v>0895365361865</v>
      </c>
      <c r="I278" s="46" t="str">
        <f>VLOOKUP($B278,master!$B$2:$S$595,8,0)</f>
        <v>KARASAN</v>
      </c>
      <c r="J278" s="46" t="str">
        <f>VLOOKUP($B278,master!$B$2:$S$595,9,0)</f>
        <v>3</v>
      </c>
      <c r="K278" s="46" t="str">
        <f>VLOOKUP($B278,master!$B$2:$S$595,11,0)</f>
        <v>PALBAPANG</v>
      </c>
      <c r="L278" s="46" t="str">
        <f>VLOOKUP($B278,master!$B$2:$S$595,12,0)</f>
        <v>BANTUL</v>
      </c>
      <c r="M278" s="46" t="str">
        <f>VLOOKUP($B278,master!$B$2:$S$595,6,0)</f>
        <v>WANDIANA</v>
      </c>
      <c r="N278" s="58" t="str">
        <f>VLOOKUP($B278,master!$B$2:$S$595,15,0)</f>
        <v>SMP N 3 BANTUL</v>
      </c>
      <c r="O278" s="58" t="str">
        <f>VLOOKUP($B278,master!$B$2:$S$595,4,0)</f>
        <v>24-06-2009</v>
      </c>
    </row>
    <row r="279" spans="1:15" ht="15.75" customHeight="1" x14ac:dyDescent="0.25">
      <c r="A279" s="56" t="s">
        <v>361</v>
      </c>
      <c r="B279" s="88" t="s">
        <v>709</v>
      </c>
      <c r="C279" s="88" t="s">
        <v>4116</v>
      </c>
      <c r="D279" s="88" t="s">
        <v>710</v>
      </c>
      <c r="E279" s="45" t="str">
        <f>VLOOKUP(D279,Total!$C$2:$D$439,2,0)</f>
        <v>10 TPM 2</v>
      </c>
      <c r="F279" s="45" t="str">
        <f>VLOOKUP(C279,Total!$B$2:$F$439,5,0)</f>
        <v>AKTIF</v>
      </c>
      <c r="G279" s="46" t="str">
        <f>VLOOKUP($B279,master!$B$2:$S$595,16,0)</f>
        <v>0895325667873</v>
      </c>
      <c r="H279" s="46">
        <f>VLOOKUP($B279,master!$B$2:$S$595,17,0)</f>
        <v>0</v>
      </c>
      <c r="I279" s="46" t="str">
        <f>VLOOKUP($B279,master!$B$2:$S$595,8,0)</f>
        <v>MANDING</v>
      </c>
      <c r="J279" s="46" t="str">
        <f>VLOOKUP($B279,master!$B$2:$S$595,9,0)</f>
        <v>3</v>
      </c>
      <c r="K279" s="46" t="str">
        <f>VLOOKUP($B279,master!$B$2:$S$595,11,0)</f>
        <v>SABDODADI</v>
      </c>
      <c r="L279" s="46" t="str">
        <f>VLOOKUP($B279,master!$B$2:$S$595,12,0)</f>
        <v>BANTUL</v>
      </c>
      <c r="M279" s="46" t="str">
        <f>VLOOKUP($B279,master!$B$2:$S$595,6,0)</f>
        <v>TUKIJAN</v>
      </c>
      <c r="N279" s="58" t="str">
        <f>VLOOKUP($B279,master!$B$2:$S$595,15,0)</f>
        <v>SMP MUHAMMADIYAH BANTUL</v>
      </c>
      <c r="O279" s="58" t="str">
        <f>VLOOKUP($B279,master!$B$2:$S$595,4,0)</f>
        <v>31-03-2010</v>
      </c>
    </row>
    <row r="280" spans="1:15" ht="15.75" customHeight="1" x14ac:dyDescent="0.25">
      <c r="A280" s="56" t="s">
        <v>362</v>
      </c>
      <c r="B280" s="88" t="s">
        <v>1599</v>
      </c>
      <c r="C280" s="88" t="s">
        <v>4117</v>
      </c>
      <c r="D280" s="88" t="s">
        <v>1600</v>
      </c>
      <c r="E280" s="45" t="str">
        <f>VLOOKUP(D280,Total!$C$2:$D$439,2,0)</f>
        <v>10 TPM 2</v>
      </c>
      <c r="F280" s="45" t="str">
        <f>VLOOKUP(C280,Total!$B$2:$F$439,5,0)</f>
        <v>AKTIF</v>
      </c>
      <c r="G280" s="46" t="str">
        <f>VLOOKUP($B280,master!$B$2:$S$595,16,0)</f>
        <v>081393887883</v>
      </c>
      <c r="H280" s="46" t="str">
        <f>VLOOKUP($B280,master!$B$2:$S$595,17,0)</f>
        <v>085700849596</v>
      </c>
      <c r="I280" s="46" t="str">
        <f>VLOOKUP($B280,master!$B$2:$S$595,8,0)</f>
        <v>SELO</v>
      </c>
      <c r="J280" s="46" t="str">
        <f>VLOOKUP($B280,master!$B$2:$S$595,9,0)</f>
        <v>001</v>
      </c>
      <c r="K280" s="46" t="str">
        <f>VLOOKUP($B280,master!$B$2:$S$595,11,0)</f>
        <v>SIDOMULYO</v>
      </c>
      <c r="L280" s="46" t="str">
        <f>VLOOKUP($B280,master!$B$2:$S$595,12,0)</f>
        <v>BAMBANGLIPURO</v>
      </c>
      <c r="M280" s="46" t="str">
        <f>VLOOKUP($B280,master!$B$2:$S$595,6,0)</f>
        <v>Agus Susilo</v>
      </c>
      <c r="N280" s="58" t="str">
        <f>VLOOKUP($B280,master!$B$2:$S$595,15,0)</f>
        <v>SMP N 1 BAMBANGLIPURO</v>
      </c>
      <c r="O280" s="58" t="str">
        <f>VLOOKUP($B280,master!$B$2:$S$595,4,0)</f>
        <v>3-03-2010</v>
      </c>
    </row>
    <row r="281" spans="1:15" ht="15.75" customHeight="1" x14ac:dyDescent="0.25">
      <c r="A281" s="56" t="s">
        <v>363</v>
      </c>
      <c r="B281" s="88" t="s">
        <v>2561</v>
      </c>
      <c r="C281" s="88" t="s">
        <v>4118</v>
      </c>
      <c r="D281" s="88" t="s">
        <v>2562</v>
      </c>
      <c r="E281" s="45" t="str">
        <f>VLOOKUP(D281,Total!$C$2:$D$439,2,0)</f>
        <v>10 TPM 2</v>
      </c>
      <c r="F281" s="45" t="str">
        <f>VLOOKUP(C281,Total!$B$2:$F$439,5,0)</f>
        <v>AKTIF</v>
      </c>
      <c r="G281" s="46" t="str">
        <f>VLOOKUP($B281,master!$B$2:$S$595,16,0)</f>
        <v>082242141030</v>
      </c>
      <c r="H281" s="46" t="str">
        <f>VLOOKUP($B281,master!$B$2:$S$595,17,0)</f>
        <v>082242141030</v>
      </c>
      <c r="I281" s="46" t="str">
        <f>VLOOKUP($B281,master!$B$2:$S$595,8,0)</f>
        <v>BEKELAN</v>
      </c>
      <c r="J281" s="46" t="str">
        <f>VLOOKUP($B281,master!$B$2:$S$595,9,0)</f>
        <v>02</v>
      </c>
      <c r="K281" s="46" t="str">
        <f>VLOOKUP($B281,master!$B$2:$S$595,11,0)</f>
        <v>TIRTONIRMOLO</v>
      </c>
      <c r="L281" s="46" t="str">
        <f>VLOOKUP($B281,master!$B$2:$S$595,12,0)</f>
        <v>KASIHAN</v>
      </c>
      <c r="M281" s="46" t="str">
        <f>VLOOKUP($B281,master!$B$2:$S$595,6,0)</f>
        <v>Irwan Riswoto</v>
      </c>
      <c r="N281" s="58" t="str">
        <f>VLOOKUP($B281,master!$B$2:$S$595,15,0)</f>
        <v>SMP MUHAMMADIYAH KASIHAN</v>
      </c>
      <c r="O281" s="58" t="str">
        <f>VLOOKUP($B281,master!$B$2:$S$595,4,0)</f>
        <v>9-12-2009</v>
      </c>
    </row>
    <row r="282" spans="1:15" ht="15.75" customHeight="1" x14ac:dyDescent="0.25">
      <c r="A282" s="56" t="s">
        <v>364</v>
      </c>
      <c r="B282" s="88" t="s">
        <v>3009</v>
      </c>
      <c r="C282" s="88" t="s">
        <v>4119</v>
      </c>
      <c r="D282" s="88" t="s">
        <v>3010</v>
      </c>
      <c r="E282" s="62" t="str">
        <f>VLOOKUP(D282,Total!$C$2:$D$439,2,0)</f>
        <v>10 TPM 2</v>
      </c>
      <c r="F282" s="45" t="str">
        <f>VLOOKUP(C282,Total!$B$2:$F$439,5,0)</f>
        <v>AKTIF</v>
      </c>
      <c r="G282" s="46" t="str">
        <f>VLOOKUP($B282,master!$B$2:$S$595,16,0)</f>
        <v>083862578834</v>
      </c>
      <c r="H282" s="46" t="str">
        <f>VLOOKUP($B282,master!$B$2:$S$595,17,0)</f>
        <v>083129337434</v>
      </c>
      <c r="I282" s="46" t="str">
        <f>VLOOKUP($B282,master!$B$2:$S$595,8,0)</f>
        <v>ONNGOPATRAN</v>
      </c>
      <c r="J282" s="46" t="str">
        <f>VLOOKUP($B282,master!$B$2:$S$595,9,0)</f>
        <v>1</v>
      </c>
      <c r="K282" s="46" t="str">
        <f>VLOOKUP($B282,master!$B$2:$S$595,11,0)</f>
        <v>KEBONAGUNG</v>
      </c>
      <c r="L282" s="46" t="str">
        <f>VLOOKUP($B282,master!$B$2:$S$595,12,0)</f>
        <v>IMOGIRI</v>
      </c>
      <c r="M282" s="46" t="str">
        <f>VLOOKUP($B282,master!$B$2:$S$595,6,0)</f>
        <v>TRIYANTO</v>
      </c>
      <c r="N282" s="58" t="str">
        <f>VLOOKUP($B282,master!$B$2:$S$595,15,0)</f>
        <v>SMP N 2 IMOGIRI</v>
      </c>
      <c r="O282" s="58" t="str">
        <f>VLOOKUP($B282,master!$B$2:$S$595,4,0)</f>
        <v>31-01-2010</v>
      </c>
    </row>
    <row r="283" spans="1:15" ht="15.75" customHeight="1" x14ac:dyDescent="0.25">
      <c r="A283" s="56" t="s">
        <v>365</v>
      </c>
      <c r="B283" s="88" t="s">
        <v>857</v>
      </c>
      <c r="C283" s="88" t="s">
        <v>4120</v>
      </c>
      <c r="D283" s="88" t="s">
        <v>858</v>
      </c>
      <c r="E283" s="45" t="str">
        <f>VLOOKUP(D283,Total!$C$2:$D$439,2,0)</f>
        <v>10 TPM 2</v>
      </c>
      <c r="F283" s="45" t="str">
        <f>VLOOKUP(C283,Total!$B$2:$F$439,5,0)</f>
        <v>AKTIF</v>
      </c>
      <c r="G283" s="46" t="str">
        <f>VLOOKUP($B283,master!$B$2:$S$595,16,0)</f>
        <v>087744492490</v>
      </c>
      <c r="H283" s="46">
        <f>VLOOKUP($B283,master!$B$2:$S$595,17,0)</f>
        <v>0</v>
      </c>
      <c r="I283" s="46" t="str">
        <f>VLOOKUP($B283,master!$B$2:$S$595,8,0)</f>
        <v>KORIPAN</v>
      </c>
      <c r="J283" s="46" t="str">
        <f>VLOOKUP($B283,master!$B$2:$S$595,9,0)</f>
        <v>1</v>
      </c>
      <c r="K283" s="46" t="str">
        <f>VLOOKUP($B283,master!$B$2:$S$595,11,0)</f>
        <v>PONCOSARI</v>
      </c>
      <c r="L283" s="46" t="str">
        <f>VLOOKUP($B283,master!$B$2:$S$595,12,0)</f>
        <v>SRANDAKAN</v>
      </c>
      <c r="M283" s="46" t="str">
        <f>VLOOKUP($B283,master!$B$2:$S$595,6,0)</f>
        <v>LASIMAN</v>
      </c>
      <c r="N283" s="58" t="str">
        <f>VLOOKUP($B283,master!$B$2:$S$595,15,0)</f>
        <v>SMP N 1 SRANDAKAN</v>
      </c>
      <c r="O283" s="58" t="str">
        <f>VLOOKUP($B283,master!$B$2:$S$595,4,0)</f>
        <v>1-11-2009</v>
      </c>
    </row>
    <row r="284" spans="1:15" ht="15.75" customHeight="1" x14ac:dyDescent="0.25">
      <c r="A284" s="56" t="s">
        <v>366</v>
      </c>
      <c r="B284" s="88" t="s">
        <v>2406</v>
      </c>
      <c r="C284" s="88" t="s">
        <v>4121</v>
      </c>
      <c r="D284" s="88" t="s">
        <v>2407</v>
      </c>
      <c r="E284" s="45" t="str">
        <f>VLOOKUP(D284,Total!$C$2:$D$439,2,0)</f>
        <v>10 TPM 2</v>
      </c>
      <c r="F284" s="45" t="str">
        <f>VLOOKUP(C284,Total!$B$2:$F$439,5,0)</f>
        <v>AKTIF</v>
      </c>
      <c r="G284" s="46" t="str">
        <f>VLOOKUP($B284,master!$B$2:$S$595,16,0)</f>
        <v>08233120323</v>
      </c>
      <c r="H284" s="46" t="str">
        <f>VLOOKUP($B284,master!$B$2:$S$595,17,0)</f>
        <v>081216310426</v>
      </c>
      <c r="I284" s="46" t="str">
        <f>VLOOKUP($B284,master!$B$2:$S$595,8,0)</f>
        <v>GLONDONG</v>
      </c>
      <c r="J284" s="46" t="str">
        <f>VLOOKUP($B284,master!$B$2:$S$595,9,0)</f>
        <v>05</v>
      </c>
      <c r="K284" s="46" t="str">
        <f>VLOOKUP($B284,master!$B$2:$S$595,11,0)</f>
        <v>TIRTONIRMOLO</v>
      </c>
      <c r="L284" s="46" t="str">
        <f>VLOOKUP($B284,master!$B$2:$S$595,12,0)</f>
        <v>KASIHAN</v>
      </c>
      <c r="M284" s="46" t="str">
        <f>VLOOKUP($B284,master!$B$2:$S$595,6,0)</f>
        <v>Dwi fajar ima delawati</v>
      </c>
      <c r="N284" s="58" t="str">
        <f>VLOOKUP($B284,master!$B$2:$S$595,15,0)</f>
        <v>Mts Nurul jadid</v>
      </c>
      <c r="O284" s="58" t="str">
        <f>VLOOKUP($B284,master!$B$2:$S$595,4,0)</f>
        <v>22-01-2010</v>
      </c>
    </row>
    <row r="285" spans="1:15" ht="15.75" customHeight="1" x14ac:dyDescent="0.25">
      <c r="A285" s="56" t="s">
        <v>367</v>
      </c>
      <c r="B285" s="88" t="s">
        <v>3847</v>
      </c>
      <c r="C285" s="88" t="s">
        <v>4122</v>
      </c>
      <c r="D285" s="88" t="s">
        <v>3848</v>
      </c>
      <c r="E285" s="45" t="str">
        <f>VLOOKUP(D285,Total!$C$2:$D$439,2,0)</f>
        <v>10 TPM 2</v>
      </c>
      <c r="F285" s="45" t="str">
        <f>VLOOKUP(C285,Total!$B$2:$F$439,5,0)</f>
        <v>AKTIF</v>
      </c>
      <c r="G285" s="46" t="str">
        <f>VLOOKUP($B285,master!$B$2:$S$595,16,0)</f>
        <v>082142194571</v>
      </c>
      <c r="H285" s="46" t="str">
        <f>VLOOKUP($B285,master!$B$2:$S$595,17,0)</f>
        <v>081229289311</v>
      </c>
      <c r="I285" s="46" t="str">
        <f>VLOOKUP($B285,master!$B$2:$S$595,8,0)</f>
        <v>MANGIR</v>
      </c>
      <c r="J285" s="46" t="str">
        <f>VLOOKUP($B285,master!$B$2:$S$595,9,0)</f>
        <v>1</v>
      </c>
      <c r="K285" s="46" t="str">
        <f>VLOOKUP($B285,master!$B$2:$S$595,11,0)</f>
        <v>SEDANGSARI</v>
      </c>
      <c r="L285" s="46" t="str">
        <f>VLOOKUP($B285,master!$B$2:$S$595,12,0)</f>
        <v>PAJANGAN</v>
      </c>
      <c r="M285" s="46" t="str">
        <f>VLOOKUP($B285,master!$B$2:$S$595,6,0)</f>
        <v>TEMU</v>
      </c>
      <c r="N285" s="58" t="str">
        <f>VLOOKUP($B285,master!$B$2:$S$595,15,0)</f>
        <v>SMP N 2 PAJANGAN</v>
      </c>
      <c r="O285" s="58" t="str">
        <f>VLOOKUP($B285,master!$B$2:$S$595,4,0)</f>
        <v>18-06-2010</v>
      </c>
    </row>
    <row r="286" spans="1:15" ht="15.75" customHeight="1" x14ac:dyDescent="0.25">
      <c r="A286" s="56" t="s">
        <v>368</v>
      </c>
      <c r="B286" s="88" t="s">
        <v>1264</v>
      </c>
      <c r="C286" s="88" t="s">
        <v>4123</v>
      </c>
      <c r="D286" s="88" t="s">
        <v>1265</v>
      </c>
      <c r="E286" s="45" t="str">
        <f>VLOOKUP(D286,Total!$C$2:$D$439,2,0)</f>
        <v>10 TPM 2</v>
      </c>
      <c r="F286" s="45" t="str">
        <f>VLOOKUP(C286,Total!$B$2:$F$439,5,0)</f>
        <v>AKTIF</v>
      </c>
      <c r="G286" s="46" t="str">
        <f>VLOOKUP($B286,master!$B$2:$S$595,16,0)</f>
        <v>085520943877</v>
      </c>
      <c r="H286" s="46" t="str">
        <f>VLOOKUP($B286,master!$B$2:$S$595,17,0)</f>
        <v>0882005884048</v>
      </c>
      <c r="I286" s="46" t="str">
        <f>VLOOKUP($B286,master!$B$2:$S$595,8,0)</f>
        <v>KARANGGAYAM</v>
      </c>
      <c r="J286" s="46" t="str">
        <f>VLOOKUP($B286,master!$B$2:$S$595,9,0)</f>
        <v>3</v>
      </c>
      <c r="K286" s="46" t="str">
        <f>VLOOKUP($B286,master!$B$2:$S$595,11,0)</f>
        <v>BANTUL</v>
      </c>
      <c r="L286" s="46" t="str">
        <f>VLOOKUP($B286,master!$B$2:$S$595,12,0)</f>
        <v>BANTUL</v>
      </c>
      <c r="M286" s="46" t="str">
        <f>VLOOKUP($B286,master!$B$2:$S$595,6,0)</f>
        <v>RIYANTI</v>
      </c>
      <c r="N286" s="58" t="str">
        <f>VLOOKUP($B286,master!$B$2:$S$595,15,0)</f>
        <v>MTS N 4 BANTUL</v>
      </c>
      <c r="O286" s="58" t="str">
        <f>VLOOKUP($B286,master!$B$2:$S$595,4,0)</f>
        <v>26-01-2010</v>
      </c>
    </row>
    <row r="287" spans="1:15" ht="15.75" customHeight="1" x14ac:dyDescent="0.25">
      <c r="A287" s="56" t="s">
        <v>369</v>
      </c>
      <c r="B287" s="88" t="s">
        <v>2758</v>
      </c>
      <c r="C287" s="88" t="s">
        <v>4124</v>
      </c>
      <c r="D287" s="88" t="s">
        <v>2759</v>
      </c>
      <c r="E287" s="45" t="str">
        <f>VLOOKUP(D287,Total!$C$2:$D$439,2,0)</f>
        <v>10 TPM 2</v>
      </c>
      <c r="F287" s="45" t="str">
        <f>VLOOKUP(C287,Total!$B$2:$F$439,5,0)</f>
        <v>AKTIF</v>
      </c>
      <c r="G287" s="46" t="str">
        <f>VLOOKUP($B287,master!$B$2:$S$595,16,0)</f>
        <v>081802799574</v>
      </c>
      <c r="H287" s="46" t="str">
        <f>VLOOKUP($B287,master!$B$2:$S$595,17,0)</f>
        <v>082233954428</v>
      </c>
      <c r="I287" s="46" t="str">
        <f>VLOOKUP($B287,master!$B$2:$S$595,8,0)</f>
        <v>MERSAN</v>
      </c>
      <c r="J287" s="46" t="str">
        <f>VLOOKUP($B287,master!$B$2:$S$595,9,0)</f>
        <v>31</v>
      </c>
      <c r="K287" s="46" t="str">
        <f>VLOOKUP($B287,master!$B$2:$S$595,11,0)</f>
        <v>DONOTIRTO</v>
      </c>
      <c r="L287" s="46" t="str">
        <f>VLOOKUP($B287,master!$B$2:$S$595,12,0)</f>
        <v>KRETEK</v>
      </c>
      <c r="M287" s="46" t="str">
        <f>VLOOKUP($B287,master!$B$2:$S$595,6,0)</f>
        <v>SITI</v>
      </c>
      <c r="N287" s="58" t="str">
        <f>VLOOKUP($B287,master!$B$2:$S$595,15,0)</f>
        <v>MTS N 5 BANTUL</v>
      </c>
      <c r="O287" s="58" t="str">
        <f>VLOOKUP($B287,master!$B$2:$S$595,4,0)</f>
        <v>3-07-2008</v>
      </c>
    </row>
    <row r="288" spans="1:15" ht="15.75" customHeight="1" x14ac:dyDescent="0.25">
      <c r="A288" s="56" t="s">
        <v>370</v>
      </c>
      <c r="B288" s="88" t="s">
        <v>731</v>
      </c>
      <c r="C288" s="88" t="s">
        <v>4125</v>
      </c>
      <c r="D288" s="88" t="s">
        <v>732</v>
      </c>
      <c r="E288" s="45" t="str">
        <f>VLOOKUP(D288,Total!$C$2:$D$439,2,0)</f>
        <v>10 TPM 2</v>
      </c>
      <c r="F288" s="45" t="str">
        <f>VLOOKUP(C288,Total!$B$2:$F$439,5,0)</f>
        <v>AKTIF</v>
      </c>
      <c r="G288" s="46" t="str">
        <f>VLOOKUP($B288,master!$B$2:$S$595,16,0)</f>
        <v>082223236576</v>
      </c>
      <c r="H288" s="46">
        <f>VLOOKUP($B288,master!$B$2:$S$595,17,0)</f>
        <v>0</v>
      </c>
      <c r="I288" s="46" t="str">
        <f>VLOOKUP($B288,master!$B$2:$S$595,8,0)</f>
        <v>KARASAN</v>
      </c>
      <c r="J288" s="46" t="str">
        <f>VLOOKUP($B288,master!$B$2:$S$595,9,0)</f>
        <v>2</v>
      </c>
      <c r="K288" s="46" t="str">
        <f>VLOOKUP($B288,master!$B$2:$S$595,11,0)</f>
        <v>PALBAPANG</v>
      </c>
      <c r="L288" s="46" t="str">
        <f>VLOOKUP($B288,master!$B$2:$S$595,12,0)</f>
        <v>BANTUL</v>
      </c>
      <c r="M288" s="46" t="str">
        <f>VLOOKUP($B288,master!$B$2:$S$595,6,0)</f>
        <v>AGUS YULIANTO</v>
      </c>
      <c r="N288" s="58" t="str">
        <f>VLOOKUP($B288,master!$B$2:$S$595,15,0)</f>
        <v>SMP N 1 BAMBANGLIPURO</v>
      </c>
      <c r="O288" s="58" t="str">
        <f>VLOOKUP($B288,master!$B$2:$S$595,4,0)</f>
        <v>13-10-2009</v>
      </c>
    </row>
    <row r="289" spans="1:15" ht="15.75" customHeight="1" x14ac:dyDescent="0.25">
      <c r="A289" s="56" t="s">
        <v>371</v>
      </c>
      <c r="B289" s="88" t="s">
        <v>3885</v>
      </c>
      <c r="C289" s="88" t="s">
        <v>4126</v>
      </c>
      <c r="D289" s="88" t="s">
        <v>3886</v>
      </c>
      <c r="E289" s="45" t="str">
        <f>VLOOKUP(D289,Total!$C$2:$D$439,2,0)</f>
        <v>10 TPM 2</v>
      </c>
      <c r="F289" s="45" t="str">
        <f>VLOOKUP(C289,Total!$B$2:$F$439,5,0)</f>
        <v>AKTIF</v>
      </c>
      <c r="G289" s="46" t="str">
        <f>VLOOKUP($B289,master!$B$2:$S$595,16,0)</f>
        <v>089540309993</v>
      </c>
      <c r="H289" s="46" t="str">
        <f>VLOOKUP($B289,master!$B$2:$S$595,17,0)</f>
        <v>08980110899</v>
      </c>
      <c r="I289" s="46" t="str">
        <f>VLOOKUP($B289,master!$B$2:$S$595,8,0)</f>
        <v>GLONDONG</v>
      </c>
      <c r="J289" s="46" t="str">
        <f>VLOOKUP($B289,master!$B$2:$S$595,9,0)</f>
        <v>001</v>
      </c>
      <c r="K289" s="46" t="str">
        <f>VLOOKUP($B289,master!$B$2:$S$595,11,0)</f>
        <v>TIRTONIRMOLO</v>
      </c>
      <c r="L289" s="46" t="str">
        <f>VLOOKUP($B289,master!$B$2:$S$595,12,0)</f>
        <v>KASIHAN</v>
      </c>
      <c r="M289" s="46" t="str">
        <f>VLOOKUP($B289,master!$B$2:$S$595,6,0)</f>
        <v>DWI SETIAWATI</v>
      </c>
      <c r="N289" s="58" t="str">
        <f>VLOOKUP($B289,master!$B$2:$S$595,15,0)</f>
        <v>MTS N 4 BANTUL</v>
      </c>
      <c r="O289" s="58" t="str">
        <f>VLOOKUP($B289,master!$B$2:$S$595,4,0)</f>
        <v>16-02-2009</v>
      </c>
    </row>
    <row r="290" spans="1:15" ht="15.75" customHeight="1" x14ac:dyDescent="0.25">
      <c r="A290" s="56" t="s">
        <v>372</v>
      </c>
      <c r="B290" s="88" t="s">
        <v>1346</v>
      </c>
      <c r="C290" s="88" t="s">
        <v>4127</v>
      </c>
      <c r="D290" s="88" t="s">
        <v>1347</v>
      </c>
      <c r="E290" s="45" t="str">
        <f>VLOOKUP(D290,Total!$C$2:$D$439,2,0)</f>
        <v>10 TPM 2</v>
      </c>
      <c r="F290" s="45" t="str">
        <f>VLOOKUP(C290,Total!$B$2:$F$439,5,0)</f>
        <v>AKTIF</v>
      </c>
      <c r="G290" s="46" t="str">
        <f>VLOOKUP($B290,master!$B$2:$S$595,16,0)</f>
        <v>0895422305204</v>
      </c>
      <c r="H290" s="46" t="str">
        <f>VLOOKUP($B290,master!$B$2:$S$595,17,0)</f>
        <v>089646887020</v>
      </c>
      <c r="I290" s="46" t="str">
        <f>VLOOKUP($B290,master!$B$2:$S$595,8,0)</f>
        <v>CELEP</v>
      </c>
      <c r="J290" s="46" t="str">
        <f>VLOOKUP($B290,master!$B$2:$S$595,9,0)</f>
        <v>6</v>
      </c>
      <c r="K290" s="46" t="str">
        <f>VLOOKUP($B290,master!$B$2:$S$595,11,0)</f>
        <v>SRIGADING</v>
      </c>
      <c r="L290" s="46" t="str">
        <f>VLOOKUP($B290,master!$B$2:$S$595,12,0)</f>
        <v>SANDEN</v>
      </c>
      <c r="M290" s="46" t="str">
        <f>VLOOKUP($B290,master!$B$2:$S$595,6,0)</f>
        <v>MUHTIJAN</v>
      </c>
      <c r="N290" s="58" t="str">
        <f>VLOOKUP($B290,master!$B$2:$S$595,15,0)</f>
        <v>MTS MUHAMMADIYAH SANDEN</v>
      </c>
      <c r="O290" s="58" t="str">
        <f>VLOOKUP($B290,master!$B$2:$S$595,4,0)</f>
        <v>28-11-2009</v>
      </c>
    </row>
    <row r="291" spans="1:15" ht="15.75" customHeight="1" x14ac:dyDescent="0.25">
      <c r="A291" s="56" t="s">
        <v>373</v>
      </c>
      <c r="B291" s="88" t="s">
        <v>3824</v>
      </c>
      <c r="C291" s="88" t="s">
        <v>4128</v>
      </c>
      <c r="D291" s="88" t="s">
        <v>3825</v>
      </c>
      <c r="E291" s="45" t="str">
        <f>VLOOKUP(D291,Total!$C$2:$D$439,2,0)</f>
        <v>10 TPM 2</v>
      </c>
      <c r="F291" s="45" t="str">
        <f>VLOOKUP(C291,Total!$B$2:$F$439,5,0)</f>
        <v>AKTIF</v>
      </c>
      <c r="G291" s="46" t="str">
        <f>VLOOKUP($B291,master!$B$2:$S$595,16,0)</f>
        <v>085799363566</v>
      </c>
      <c r="H291" s="46" t="str">
        <f>VLOOKUP($B291,master!$B$2:$S$595,17,0)</f>
        <v>085799363566</v>
      </c>
      <c r="I291" s="46" t="str">
        <f>VLOOKUP($B291,master!$B$2:$S$595,8,0)</f>
        <v>TRUCUK</v>
      </c>
      <c r="J291" s="46" t="str">
        <f>VLOOKUP($B291,master!$B$2:$S$595,9,0)</f>
        <v>05</v>
      </c>
      <c r="K291" s="46" t="str">
        <f>VLOOKUP($B291,master!$B$2:$S$595,11,0)</f>
        <v>TRIWIDADI</v>
      </c>
      <c r="L291" s="46" t="str">
        <f>VLOOKUP($B291,master!$B$2:$S$595,12,0)</f>
        <v>PAJANGAN</v>
      </c>
      <c r="M291" s="46" t="str">
        <f>VLOOKUP($B291,master!$B$2:$S$595,6,0)</f>
        <v>parjiyah</v>
      </c>
      <c r="N291" s="58" t="str">
        <f>VLOOKUP($B291,master!$B$2:$S$595,15,0)</f>
        <v>SMPN2 PAJANGAN</v>
      </c>
      <c r="O291" s="58" t="str">
        <f>VLOOKUP($B291,master!$B$2:$S$595,4,0)</f>
        <v>15-10-2009</v>
      </c>
    </row>
    <row r="292" spans="1:15" ht="15.75" customHeight="1" x14ac:dyDescent="0.25">
      <c r="A292" s="56" t="s">
        <v>374</v>
      </c>
      <c r="B292" s="88" t="s">
        <v>1106</v>
      </c>
      <c r="C292" s="88" t="s">
        <v>4129</v>
      </c>
      <c r="D292" s="88" t="s">
        <v>1107</v>
      </c>
      <c r="E292" s="45" t="str">
        <f>VLOOKUP(D292,Total!$C$2:$D$439,2,0)</f>
        <v>10 TPM 2</v>
      </c>
      <c r="F292" s="45" t="str">
        <f>VLOOKUP(C292,Total!$B$2:$F$439,5,0)</f>
        <v>AKTIF</v>
      </c>
      <c r="G292" s="46" t="str">
        <f>VLOOKUP($B292,master!$B$2:$S$595,16,0)</f>
        <v>082137372466</v>
      </c>
      <c r="H292" s="46" t="str">
        <f>VLOOKUP($B292,master!$B$2:$S$595,17,0)</f>
        <v>081227392047</v>
      </c>
      <c r="I292" s="46" t="str">
        <f>VLOOKUP($B292,master!$B$2:$S$595,8,0)</f>
        <v>DALEMAN</v>
      </c>
      <c r="J292" s="46" t="str">
        <f>VLOOKUP($B292,master!$B$2:$S$595,9,0)</f>
        <v>02</v>
      </c>
      <c r="K292" s="46" t="str">
        <f>VLOOKUP($B292,master!$B$2:$S$595,11,0)</f>
        <v>GADINGHARJO</v>
      </c>
      <c r="L292" s="46" t="str">
        <f>VLOOKUP($B292,master!$B$2:$S$595,12,0)</f>
        <v>SANDEN</v>
      </c>
      <c r="M292" s="46" t="str">
        <f>VLOOKUP($B292,master!$B$2:$S$595,6,0)</f>
        <v>ZAINURRACHMAT</v>
      </c>
      <c r="N292" s="58" t="str">
        <f>VLOOKUP($B292,master!$B$2:$S$595,15,0)</f>
        <v>SMP N 2 SANDEN</v>
      </c>
      <c r="O292" s="58" t="str">
        <f>VLOOKUP($B292,master!$B$2:$S$595,4,0)</f>
        <v>11-10-2009</v>
      </c>
    </row>
    <row r="293" spans="1:15" ht="15.75" customHeight="1" x14ac:dyDescent="0.25">
      <c r="A293" s="56" t="s">
        <v>375</v>
      </c>
      <c r="B293" s="88" t="s">
        <v>1566</v>
      </c>
      <c r="C293" s="88" t="s">
        <v>4130</v>
      </c>
      <c r="D293" s="88" t="s">
        <v>1567</v>
      </c>
      <c r="E293" s="45" t="str">
        <f>VLOOKUP(D293,Total!$C$2:$D$439,2,0)</f>
        <v>10 TPM 2</v>
      </c>
      <c r="F293" s="45" t="str">
        <f>VLOOKUP(C293,Total!$B$2:$F$439,5,0)</f>
        <v>AKTIF</v>
      </c>
      <c r="G293" s="46" t="str">
        <f>VLOOKUP($B293,master!$B$2:$S$595,16,0)</f>
        <v>082331493185</v>
      </c>
      <c r="H293" s="46" t="str">
        <f>VLOOKUP($B293,master!$B$2:$S$595,17,0)</f>
        <v>082331493185</v>
      </c>
      <c r="I293" s="46" t="str">
        <f>VLOOKUP($B293,master!$B$2:$S$595,8,0)</f>
        <v>NOGOSARI</v>
      </c>
      <c r="J293" s="46" t="str">
        <f>VLOOKUP($B293,master!$B$2:$S$595,9,0)</f>
        <v>2</v>
      </c>
      <c r="K293" s="46" t="str">
        <f>VLOOKUP($B293,master!$B$2:$S$595,11,0)</f>
        <v>TRIRENGGO</v>
      </c>
      <c r="L293" s="46" t="str">
        <f>VLOOKUP($B293,master!$B$2:$S$595,12,0)</f>
        <v>BANTUL</v>
      </c>
      <c r="M293" s="46" t="str">
        <f>VLOOKUP($B293,master!$B$2:$S$595,6,0)</f>
        <v>JOKO WINDARTO SISWO PUTRO</v>
      </c>
      <c r="N293" s="58" t="str">
        <f>VLOOKUP($B293,master!$B$2:$S$595,15,0)</f>
        <v>SMP MUHAMMADIYAH BANTUL</v>
      </c>
      <c r="O293" s="58" t="str">
        <f>VLOOKUP($B293,master!$B$2:$S$595,4,0)</f>
        <v>26-05-2010</v>
      </c>
    </row>
    <row r="294" spans="1:15" ht="15.75" customHeight="1" x14ac:dyDescent="0.25">
      <c r="A294" s="56" t="s">
        <v>376</v>
      </c>
      <c r="B294" s="88" t="s">
        <v>2605</v>
      </c>
      <c r="C294" s="88" t="s">
        <v>4131</v>
      </c>
      <c r="D294" s="88" t="s">
        <v>2606</v>
      </c>
      <c r="E294" s="45" t="str">
        <f>VLOOKUP(D294,Total!$C$2:$D$439,2,0)</f>
        <v>10 TPM 2</v>
      </c>
      <c r="F294" s="45" t="str">
        <f>VLOOKUP(C294,Total!$B$2:$F$439,5,0)</f>
        <v>AKTIF</v>
      </c>
      <c r="G294" s="46" t="str">
        <f>VLOOKUP($B294,master!$B$2:$S$595,16,0)</f>
        <v>081578411548</v>
      </c>
      <c r="H294" s="46" t="str">
        <f>VLOOKUP($B294,master!$B$2:$S$595,17,0)</f>
        <v>0882003065476</v>
      </c>
      <c r="I294" s="46" t="str">
        <f>VLOOKUP($B294,master!$B$2:$S$595,8,0)</f>
        <v>PATEN</v>
      </c>
      <c r="J294" s="46" t="str">
        <f>VLOOKUP($B294,master!$B$2:$S$595,9,0)</f>
        <v>6</v>
      </c>
      <c r="K294" s="46" t="str">
        <f>VLOOKUP($B294,master!$B$2:$S$595,11,0)</f>
        <v>TIMBULHARJO</v>
      </c>
      <c r="L294" s="46" t="str">
        <f>VLOOKUP($B294,master!$B$2:$S$595,12,0)</f>
        <v>SEWON</v>
      </c>
      <c r="M294" s="46" t="str">
        <f>VLOOKUP($B294,master!$B$2:$S$595,6,0)</f>
        <v>ARIF SUPRIYADI</v>
      </c>
      <c r="N294" s="58" t="str">
        <f>VLOOKUP($B294,master!$B$2:$S$595,15,0)</f>
        <v>MTS N 2 BANTUL</v>
      </c>
      <c r="O294" s="58" t="str">
        <f>VLOOKUP($B294,master!$B$2:$S$595,4,0)</f>
        <v>4-05-2010</v>
      </c>
    </row>
    <row r="295" spans="1:15" ht="15.75" customHeight="1" x14ac:dyDescent="0.25">
      <c r="A295" s="56" t="s">
        <v>377</v>
      </c>
      <c r="B295" s="88" t="s">
        <v>3160</v>
      </c>
      <c r="C295" s="88" t="s">
        <v>4132</v>
      </c>
      <c r="D295" s="88" t="s">
        <v>3161</v>
      </c>
      <c r="E295" s="45" t="str">
        <f>VLOOKUP(D295,Total!$C$2:$D$439,2,0)</f>
        <v>10 TPM 2</v>
      </c>
      <c r="F295" s="45" t="str">
        <f>VLOOKUP(C295,Total!$B$2:$F$439,5,0)</f>
        <v>AKTIF</v>
      </c>
      <c r="G295" s="46" t="str">
        <f>VLOOKUP($B295,master!$B$2:$S$595,16,0)</f>
        <v>085876553238</v>
      </c>
      <c r="H295" s="46" t="str">
        <f>VLOOKUP($B295,master!$B$2:$S$595,17,0)</f>
        <v>085876553238</v>
      </c>
      <c r="I295" s="46" t="str">
        <f>VLOOKUP($B295,master!$B$2:$S$595,8,0)</f>
        <v>LOPATI</v>
      </c>
      <c r="J295" s="46" t="str">
        <f>VLOOKUP($B295,master!$B$2:$S$595,9,0)</f>
        <v>93</v>
      </c>
      <c r="K295" s="46" t="str">
        <f>VLOOKUP($B295,master!$B$2:$S$595,11,0)</f>
        <v>TRIMURTI</v>
      </c>
      <c r="L295" s="46" t="str">
        <f>VLOOKUP($B295,master!$B$2:$S$595,12,0)</f>
        <v>SRANDAKAN</v>
      </c>
      <c r="M295" s="46" t="str">
        <f>VLOOKUP($B295,master!$B$2:$S$595,6,0)</f>
        <v>MEIYANA NOVITA INDRIYANTI</v>
      </c>
      <c r="N295" s="58" t="str">
        <f>VLOOKUP($B295,master!$B$2:$S$595,15,0)</f>
        <v>SMP MUHAMMADIYAH 2 GALUR</v>
      </c>
      <c r="O295" s="58" t="str">
        <f>VLOOKUP($B295,master!$B$2:$S$595,4,0)</f>
        <v>16-05-2009</v>
      </c>
    </row>
    <row r="296" spans="1:15" ht="15.75" customHeight="1" x14ac:dyDescent="0.25">
      <c r="A296" s="56" t="s">
        <v>378</v>
      </c>
      <c r="B296" s="88" t="s">
        <v>2538</v>
      </c>
      <c r="C296" s="88" t="s">
        <v>4133</v>
      </c>
      <c r="D296" s="88" t="s">
        <v>2539</v>
      </c>
      <c r="E296" s="45" t="str">
        <f>VLOOKUP(D296,Total!$C$2:$D$439,2,0)</f>
        <v>10 TPM 2</v>
      </c>
      <c r="F296" s="45" t="str">
        <f>VLOOKUP(C296,Total!$B$2:$F$439,5,0)</f>
        <v>AKTIF</v>
      </c>
      <c r="G296" s="46" t="str">
        <f>VLOOKUP($B296,master!$B$2:$S$595,16,0)</f>
        <v>08562927470</v>
      </c>
      <c r="H296" s="46" t="str">
        <f>VLOOKUP($B296,master!$B$2:$S$595,17,0)</f>
        <v>-</v>
      </c>
      <c r="I296" s="46" t="str">
        <f>VLOOKUP($B296,master!$B$2:$S$595,8,0)</f>
        <v>NOGOSARI</v>
      </c>
      <c r="J296" s="46" t="str">
        <f>VLOOKUP($B296,master!$B$2:$S$595,9,0)</f>
        <v>2</v>
      </c>
      <c r="K296" s="46" t="str">
        <f>VLOOKUP($B296,master!$B$2:$S$595,11,0)</f>
        <v>TRIRENGGO</v>
      </c>
      <c r="L296" s="46" t="str">
        <f>VLOOKUP($B296,master!$B$2:$S$595,12,0)</f>
        <v>BANTUL</v>
      </c>
      <c r="M296" s="46" t="str">
        <f>VLOOKUP($B296,master!$B$2:$S$595,6,0)</f>
        <v>ANTONY</v>
      </c>
      <c r="N296" s="58" t="str">
        <f>VLOOKUP($B296,master!$B$2:$S$595,15,0)</f>
        <v>SMP N 1 BANTUL</v>
      </c>
      <c r="O296" s="58" t="str">
        <f>VLOOKUP($B296,master!$B$2:$S$595,4,0)</f>
        <v>5-03-2009</v>
      </c>
    </row>
    <row r="297" spans="1:15" ht="15.75" customHeight="1" x14ac:dyDescent="0.25">
      <c r="A297" s="56" t="s">
        <v>379</v>
      </c>
      <c r="B297" s="88" t="s">
        <v>1017</v>
      </c>
      <c r="C297" s="88" t="s">
        <v>4134</v>
      </c>
      <c r="D297" s="88" t="s">
        <v>1018</v>
      </c>
      <c r="E297" s="45" t="str">
        <f>VLOOKUP(D297,Total!$C$2:$D$439,2,0)</f>
        <v>10 TPM 2</v>
      </c>
      <c r="F297" s="45" t="str">
        <f>VLOOKUP(C297,Total!$B$2:$F$439,5,0)</f>
        <v>AKTIF</v>
      </c>
      <c r="G297" s="46" t="str">
        <f>VLOOKUP($B297,master!$B$2:$S$595,16,0)</f>
        <v>085800724288</v>
      </c>
      <c r="H297" s="46">
        <f>VLOOKUP($B297,master!$B$2:$S$595,17,0)</f>
        <v>0</v>
      </c>
      <c r="I297" s="46" t="str">
        <f>VLOOKUP($B297,master!$B$2:$S$595,8,0)</f>
        <v>SUMURAN</v>
      </c>
      <c r="J297" s="46" t="str">
        <f>VLOOKUP($B297,master!$B$2:$S$595,9,0)</f>
        <v>1</v>
      </c>
      <c r="K297" s="46" t="str">
        <f>VLOOKUP($B297,master!$B$2:$S$595,11,0)</f>
        <v>PALBAPANG</v>
      </c>
      <c r="L297" s="46" t="str">
        <f>VLOOKUP($B297,master!$B$2:$S$595,12,0)</f>
        <v>BANTUL</v>
      </c>
      <c r="M297" s="46" t="str">
        <f>VLOOKUP($B297,master!$B$2:$S$595,6,0)</f>
        <v>PARJIYONO</v>
      </c>
      <c r="N297" s="58" t="str">
        <f>VLOOKUP($B297,master!$B$2:$S$595,15,0)</f>
        <v>MTs N 4 BANTUL</v>
      </c>
      <c r="O297" s="58" t="str">
        <f>VLOOKUP($B297,master!$B$2:$S$595,4,0)</f>
        <v>8-07-2010</v>
      </c>
    </row>
    <row r="298" spans="1:15" ht="15.75" customHeight="1" x14ac:dyDescent="0.25">
      <c r="A298" s="56" t="s">
        <v>380</v>
      </c>
      <c r="B298" s="88" t="s">
        <v>1446</v>
      </c>
      <c r="C298" s="88" t="s">
        <v>4135</v>
      </c>
      <c r="D298" s="88" t="s">
        <v>1447</v>
      </c>
      <c r="E298" s="45" t="str">
        <f>VLOOKUP(D298,Total!$C$2:$D$439,2,0)</f>
        <v>10 TPM 2</v>
      </c>
      <c r="F298" s="45" t="str">
        <f>VLOOKUP(C298,Total!$B$2:$F$439,5,0)</f>
        <v>AKTIF</v>
      </c>
      <c r="G298" s="46" t="str">
        <f>VLOOKUP($B298,master!$B$2:$S$595,16,0)</f>
        <v>083148590980</v>
      </c>
      <c r="H298" s="46" t="str">
        <f>VLOOKUP($B298,master!$B$2:$S$595,17,0)</f>
        <v>083148590980</v>
      </c>
      <c r="I298" s="46" t="str">
        <f>VLOOKUP($B298,master!$B$2:$S$595,8,0)</f>
        <v>GEDONGAN</v>
      </c>
      <c r="J298" s="46" t="str">
        <f>VLOOKUP($B298,master!$B$2:$S$595,9,0)</f>
        <v>3</v>
      </c>
      <c r="K298" s="46" t="str">
        <f>VLOOKUP($B298,master!$B$2:$S$595,11,0)</f>
        <v>SRIGADING</v>
      </c>
      <c r="L298" s="46" t="str">
        <f>VLOOKUP($B298,master!$B$2:$S$595,12,0)</f>
        <v>SANDEN</v>
      </c>
      <c r="M298" s="46" t="str">
        <f>VLOOKUP($B298,master!$B$2:$S$595,6,0)</f>
        <v>SRIYANTO</v>
      </c>
      <c r="N298" s="58" t="str">
        <f>VLOOKUP($B298,master!$B$2:$S$595,15,0)</f>
        <v>SMP N 2 SANDEN</v>
      </c>
      <c r="O298" s="58" t="str">
        <f>VLOOKUP($B298,master!$B$2:$S$595,4,0)</f>
        <v>7-03-2010</v>
      </c>
    </row>
    <row r="299" spans="1:15" ht="15.75" customHeight="1" x14ac:dyDescent="0.25">
      <c r="A299" s="56" t="s">
        <v>381</v>
      </c>
      <c r="B299" s="88" t="s">
        <v>3792</v>
      </c>
      <c r="C299" s="88" t="s">
        <v>4136</v>
      </c>
      <c r="D299" s="88" t="s">
        <v>3793</v>
      </c>
      <c r="E299" s="45" t="str">
        <f>VLOOKUP(D299,Total!$C$2:$D$439,2,0)</f>
        <v>10 TPM 2</v>
      </c>
      <c r="F299" s="45" t="str">
        <f>VLOOKUP(C299,Total!$B$2:$F$439,5,0)</f>
        <v>AKTIF</v>
      </c>
      <c r="G299" s="46" t="str">
        <f>VLOOKUP($B299,master!$B$2:$S$595,16,0)</f>
        <v>0859160013261</v>
      </c>
      <c r="H299" s="46" t="str">
        <f>VLOOKUP($B299,master!$B$2:$S$595,17,0)</f>
        <v>0859160013261</v>
      </c>
      <c r="I299" s="46" t="str">
        <f>VLOOKUP($B299,master!$B$2:$S$595,8,0)</f>
        <v>SINGOSAREN</v>
      </c>
      <c r="J299" s="46" t="str">
        <f>VLOOKUP($B299,master!$B$2:$S$595,9,0)</f>
        <v>07</v>
      </c>
      <c r="K299" s="46" t="str">
        <f>VLOOKUP($B299,master!$B$2:$S$595,11,0)</f>
        <v>SINGOSAREN</v>
      </c>
      <c r="L299" s="46" t="str">
        <f>VLOOKUP($B299,master!$B$2:$S$595,12,0)</f>
        <v>BANGUNTAPAN</v>
      </c>
      <c r="M299" s="46" t="str">
        <f>VLOOKUP($B299,master!$B$2:$S$595,6,0)</f>
        <v>MILA HARIYATI</v>
      </c>
      <c r="N299" s="58" t="str">
        <f>VLOOKUP($B299,master!$B$2:$S$595,15,0)</f>
        <v>SMP MUHAMMADIYAH BANGUNTAPAN</v>
      </c>
      <c r="O299" s="58" t="str">
        <f>VLOOKUP($B299,master!$B$2:$S$595,4,0)</f>
        <v>18-02-2010</v>
      </c>
    </row>
    <row r="300" spans="1:15" ht="15.75" customHeight="1" x14ac:dyDescent="0.25">
      <c r="A300" s="56" t="s">
        <v>382</v>
      </c>
      <c r="B300" s="88" t="s">
        <v>870</v>
      </c>
      <c r="C300" s="88" t="s">
        <v>4297</v>
      </c>
      <c r="D300" s="88" t="s">
        <v>871</v>
      </c>
      <c r="E300" s="45" t="str">
        <f>VLOOKUP(D300,Total!$C$2:$D$439,2,0)</f>
        <v>10 TSM 1</v>
      </c>
      <c r="F300" s="45" t="str">
        <f>VLOOKUP(C300,Total!$B$2:$F$439,5,0)</f>
        <v>AKTIF</v>
      </c>
      <c r="G300" s="46" t="str">
        <f>VLOOKUP($B300,master!$B$2:$S$595,16,0)</f>
        <v>083104738593</v>
      </c>
      <c r="H300" s="46">
        <f>VLOOKUP($B300,master!$B$2:$S$595,17,0)</f>
        <v>0</v>
      </c>
      <c r="I300" s="46" t="str">
        <f>VLOOKUP($B300,master!$B$2:$S$595,8,0)</f>
        <v>SERAYU</v>
      </c>
      <c r="J300" s="46" t="str">
        <f>VLOOKUP($B300,master!$B$2:$S$595,9,0)</f>
        <v>2</v>
      </c>
      <c r="K300" s="46" t="str">
        <f>VLOOKUP($B300,master!$B$2:$S$595,11,0)</f>
        <v>BANTUL</v>
      </c>
      <c r="L300" s="46" t="str">
        <f>VLOOKUP($B300,master!$B$2:$S$595,12,0)</f>
        <v>BANTUL</v>
      </c>
      <c r="M300" s="46" t="str">
        <f>VLOOKUP($B300,master!$B$2:$S$595,6,0)</f>
        <v>BILAL</v>
      </c>
      <c r="N300" s="58" t="str">
        <f>VLOOKUP($B300,master!$B$2:$S$595,15,0)</f>
        <v>SMP IP AL MUBTADI-IEN</v>
      </c>
      <c r="O300" s="58" t="str">
        <f>VLOOKUP($B300,master!$B$2:$S$595,4,0)</f>
        <v>24-09-2009</v>
      </c>
    </row>
    <row r="301" spans="1:15" ht="15.75" customHeight="1" x14ac:dyDescent="0.25">
      <c r="A301" s="56" t="s">
        <v>383</v>
      </c>
      <c r="B301" s="88" t="s">
        <v>630</v>
      </c>
      <c r="C301" s="88" t="s">
        <v>4298</v>
      </c>
      <c r="D301" s="88" t="s">
        <v>631</v>
      </c>
      <c r="E301" s="45" t="str">
        <f>VLOOKUP(D301,Total!$C$2:$D$439,2,0)</f>
        <v>10 TSM 1</v>
      </c>
      <c r="F301" s="45" t="str">
        <f>VLOOKUP(C301,Total!$B$2:$F$439,5,0)</f>
        <v>AKTIF</v>
      </c>
      <c r="G301" s="46" t="str">
        <f>VLOOKUP($B301,master!$B$2:$S$595,16,0)</f>
        <v>087804842540</v>
      </c>
      <c r="H301" s="46">
        <f>VLOOKUP($B301,master!$B$2:$S$595,17,0)</f>
        <v>0</v>
      </c>
      <c r="I301" s="46" t="str">
        <f>VLOOKUP($B301,master!$B$2:$S$595,8,0)</f>
        <v>PALIHAN</v>
      </c>
      <c r="J301" s="46" t="str">
        <f>VLOOKUP($B301,master!$B$2:$S$595,9,0)</f>
        <v>3</v>
      </c>
      <c r="K301" s="46" t="str">
        <f>VLOOKUP($B301,master!$B$2:$S$595,11,0)</f>
        <v>SIDOMULYO</v>
      </c>
      <c r="L301" s="46" t="str">
        <f>VLOOKUP($B301,master!$B$2:$S$595,12,0)</f>
        <v>BAMBANGLIPURO</v>
      </c>
      <c r="M301" s="46" t="str">
        <f>VLOOKUP($B301,master!$B$2:$S$595,6,0)</f>
        <v>SUGIWIYANA</v>
      </c>
      <c r="N301" s="58" t="str">
        <f>VLOOKUP($B301,master!$B$2:$S$595,15,0)</f>
        <v>SMP N 1 BAMBANGLIPURO</v>
      </c>
      <c r="O301" s="58" t="str">
        <f>VLOOKUP($B301,master!$B$2:$S$595,4,0)</f>
        <v>28-08-2010</v>
      </c>
    </row>
    <row r="302" spans="1:15" ht="15.75" customHeight="1" x14ac:dyDescent="0.25">
      <c r="A302" s="56" t="s">
        <v>384</v>
      </c>
      <c r="B302" s="88" t="s">
        <v>1391</v>
      </c>
      <c r="C302" s="88" t="s">
        <v>4299</v>
      </c>
      <c r="D302" s="88" t="s">
        <v>1392</v>
      </c>
      <c r="E302" s="45" t="str">
        <f>VLOOKUP(D302,Total!$C$2:$D$439,2,0)</f>
        <v>10 TSM 1</v>
      </c>
      <c r="F302" s="45" t="str">
        <f>VLOOKUP(C302,Total!$B$2:$F$439,5,0)</f>
        <v>AKTIF</v>
      </c>
      <c r="G302" s="46" t="str">
        <f>VLOOKUP($B302,master!$B$2:$S$595,16,0)</f>
        <v>0817615638</v>
      </c>
      <c r="H302" s="46" t="str">
        <f>VLOOKUP($B302,master!$B$2:$S$595,17,0)</f>
        <v>0816235938</v>
      </c>
      <c r="I302" s="46" t="str">
        <f>VLOOKUP($B302,master!$B$2:$S$595,8,0)</f>
        <v>BONGSREN</v>
      </c>
      <c r="J302" s="46" t="str">
        <f>VLOOKUP($B302,master!$B$2:$S$595,9,0)</f>
        <v>007</v>
      </c>
      <c r="K302" s="46" t="str">
        <f>VLOOKUP($B302,master!$B$2:$S$595,11,0)</f>
        <v>GILANGHARJO</v>
      </c>
      <c r="L302" s="46" t="str">
        <f>VLOOKUP($B302,master!$B$2:$S$595,12,0)</f>
        <v>PANDAK</v>
      </c>
      <c r="M302" s="46" t="str">
        <f>VLOOKUP($B302,master!$B$2:$S$595,6,0)</f>
        <v>WASIS GIANTO</v>
      </c>
      <c r="N302" s="58" t="str">
        <f>VLOOKUP($B302,master!$B$2:$S$595,15,0)</f>
        <v>SMP MUHAMMADIYAH BANTUL</v>
      </c>
      <c r="O302" s="58" t="str">
        <f>VLOOKUP($B302,master!$B$2:$S$595,4,0)</f>
        <v>24-04-2010</v>
      </c>
    </row>
    <row r="303" spans="1:15" ht="15.75" customHeight="1" x14ac:dyDescent="0.25">
      <c r="A303" s="56" t="s">
        <v>385</v>
      </c>
      <c r="B303" s="89" t="s">
        <v>3325</v>
      </c>
      <c r="C303" s="88" t="s">
        <v>4300</v>
      </c>
      <c r="D303" s="89" t="s">
        <v>3326</v>
      </c>
      <c r="E303" s="45" t="str">
        <f>VLOOKUP(D303,Total!$C$2:$D$439,2,0)</f>
        <v>10 TSM 1</v>
      </c>
      <c r="F303" s="45" t="str">
        <f>VLOOKUP(C303,Total!$B$2:$F$439,5,0)</f>
        <v>AKTIF</v>
      </c>
      <c r="G303" s="46" t="str">
        <f>VLOOKUP($B303,master!$B$2:$S$595,16,0)</f>
        <v>083135375257</v>
      </c>
      <c r="H303" s="46" t="str">
        <f>VLOOKUP($B303,master!$B$2:$S$595,17,0)</f>
        <v>088980910210</v>
      </c>
      <c r="I303" s="46" t="str">
        <f>VLOOKUP($B303,master!$B$2:$S$595,8,0)</f>
        <v>BAWURAN I</v>
      </c>
      <c r="J303" s="46" t="str">
        <f>VLOOKUP($B303,master!$B$2:$S$595,9,0)</f>
        <v>06</v>
      </c>
      <c r="K303" s="46" t="str">
        <f>VLOOKUP($B303,master!$B$2:$S$595,11,0)</f>
        <v>BAWURAN</v>
      </c>
      <c r="L303" s="46" t="str">
        <f>VLOOKUP($B303,master!$B$2:$S$595,12,0)</f>
        <v>PLERET</v>
      </c>
      <c r="M303" s="46" t="str">
        <f>VLOOKUP($B303,master!$B$2:$S$595,6,0)</f>
        <v>LILIK PURWANTO</v>
      </c>
      <c r="N303" s="58" t="str">
        <f>VLOOKUP($B303,master!$B$2:$S$595,15,0)</f>
        <v>SMP MUHAMMADIYAH PLERET</v>
      </c>
      <c r="O303" s="58" t="str">
        <f>VLOOKUP($B303,master!$B$2:$S$595,4,0)</f>
        <v>27-08-2009</v>
      </c>
    </row>
    <row r="304" spans="1:15" ht="15.75" customHeight="1" x14ac:dyDescent="0.25">
      <c r="A304" s="56" t="s">
        <v>386</v>
      </c>
      <c r="B304" s="88" t="s">
        <v>969</v>
      </c>
      <c r="C304" s="88" t="s">
        <v>4301</v>
      </c>
      <c r="D304" s="88" t="s">
        <v>970</v>
      </c>
      <c r="E304" s="45" t="str">
        <f>VLOOKUP(D304,Total!$C$2:$D$439,2,0)</f>
        <v>10 TSM 1</v>
      </c>
      <c r="F304" s="45" t="str">
        <f>VLOOKUP(C304,Total!$B$2:$F$439,5,0)</f>
        <v>AKTIF</v>
      </c>
      <c r="G304" s="46" t="str">
        <f>VLOOKUP($B304,master!$B$2:$S$595,16,0)</f>
        <v>082220545206</v>
      </c>
      <c r="H304" s="46">
        <f>VLOOKUP($B304,master!$B$2:$S$595,17,0)</f>
        <v>0</v>
      </c>
      <c r="I304" s="46" t="str">
        <f>VLOOKUP($B304,master!$B$2:$S$595,8,0)</f>
        <v>PASUTAN</v>
      </c>
      <c r="J304" s="46" t="str">
        <f>VLOOKUP($B304,master!$B$2:$S$595,9,0)</f>
        <v>2</v>
      </c>
      <c r="K304" s="46" t="str">
        <f>VLOOKUP($B304,master!$B$2:$S$595,11,0)</f>
        <v>TRIRENGGO</v>
      </c>
      <c r="L304" s="46" t="str">
        <f>VLOOKUP($B304,master!$B$2:$S$595,12,0)</f>
        <v>BANTUL</v>
      </c>
      <c r="M304" s="46" t="str">
        <f>VLOOKUP($B304,master!$B$2:$S$595,6,0)</f>
        <v>SUNARTA</v>
      </c>
      <c r="N304" s="58" t="str">
        <f>VLOOKUP($B304,master!$B$2:$S$595,15,0)</f>
        <v>SMP N 2 BANTUL</v>
      </c>
      <c r="O304" s="58" t="str">
        <f>VLOOKUP($B304,master!$B$2:$S$595,4,0)</f>
        <v>9-10-2009</v>
      </c>
    </row>
    <row r="305" spans="1:15" ht="15.75" customHeight="1" x14ac:dyDescent="0.25">
      <c r="A305" s="56" t="s">
        <v>387</v>
      </c>
      <c r="B305" s="88" t="s">
        <v>1961</v>
      </c>
      <c r="C305" s="88" t="s">
        <v>4302</v>
      </c>
      <c r="D305" s="88" t="s">
        <v>1962</v>
      </c>
      <c r="E305" s="45" t="str">
        <f>VLOOKUP(D305,Total!$C$2:$D$439,2,0)</f>
        <v>10 TSM 1</v>
      </c>
      <c r="F305" s="45" t="str">
        <f>VLOOKUP(C305,Total!$B$2:$F$439,5,0)</f>
        <v>AKTIF</v>
      </c>
      <c r="G305" s="46" t="str">
        <f>VLOOKUP($B305,master!$B$2:$S$595,16,0)</f>
        <v>083840581910</v>
      </c>
      <c r="H305" s="46" t="str">
        <f>VLOOKUP($B305,master!$B$2:$S$595,17,0)</f>
        <v>089649491057</v>
      </c>
      <c r="I305" s="46" t="str">
        <f>VLOOKUP($B305,master!$B$2:$S$595,8,0)</f>
        <v>GANJURAN</v>
      </c>
      <c r="J305" s="46" t="str">
        <f>VLOOKUP($B305,master!$B$2:$S$595,9,0)</f>
        <v>6</v>
      </c>
      <c r="K305" s="46" t="str">
        <f>VLOOKUP($B305,master!$B$2:$S$595,11,0)</f>
        <v>SRIHARDONO</v>
      </c>
      <c r="L305" s="46" t="str">
        <f>VLOOKUP($B305,master!$B$2:$S$595,12,0)</f>
        <v>PUNDONG</v>
      </c>
      <c r="M305" s="46" t="str">
        <f>VLOOKUP($B305,master!$B$2:$S$595,6,0)</f>
        <v>RINI LESTARI</v>
      </c>
      <c r="N305" s="58" t="str">
        <f>VLOOKUP($B305,master!$B$2:$S$595,15,0)</f>
        <v>SMP N 1 KRETEK</v>
      </c>
      <c r="O305" s="58" t="str">
        <f>VLOOKUP($B305,master!$B$2:$S$595,4,0)</f>
        <v>19-06-2009</v>
      </c>
    </row>
    <row r="306" spans="1:15" ht="15.75" customHeight="1" x14ac:dyDescent="0.25">
      <c r="A306" s="56" t="s">
        <v>388</v>
      </c>
      <c r="B306" s="88" t="s">
        <v>2915</v>
      </c>
      <c r="C306" s="88" t="s">
        <v>4303</v>
      </c>
      <c r="D306" s="88" t="s">
        <v>2916</v>
      </c>
      <c r="E306" s="45" t="str">
        <f>VLOOKUP(D306,Total!$C$2:$D$439,2,0)</f>
        <v>10 TSM 1</v>
      </c>
      <c r="F306" s="45" t="str">
        <f>VLOOKUP(C306,Total!$B$2:$F$439,5,0)</f>
        <v>AKTIF</v>
      </c>
      <c r="G306" s="46" t="str">
        <f>VLOOKUP($B306,master!$B$2:$S$595,16,0)</f>
        <v>085867644711</v>
      </c>
      <c r="H306" s="46" t="str">
        <f>VLOOKUP($B306,master!$B$2:$S$595,17,0)</f>
        <v>-</v>
      </c>
      <c r="I306" s="46" t="str">
        <f>VLOOKUP($B306,master!$B$2:$S$595,8,0)</f>
        <v>KARANGPULE</v>
      </c>
      <c r="J306" s="46" t="str">
        <f>VLOOKUP($B306,master!$B$2:$S$595,9,0)</f>
        <v>2</v>
      </c>
      <c r="K306" s="46" t="str">
        <f>VLOOKUP($B306,master!$B$2:$S$595,11,0)</f>
        <v>TIRTONIRMOLO</v>
      </c>
      <c r="L306" s="46" t="str">
        <f>VLOOKUP($B306,master!$B$2:$S$595,12,0)</f>
        <v>KASIHAN</v>
      </c>
      <c r="M306" s="46" t="str">
        <f>VLOOKUP($B306,master!$B$2:$S$595,6,0)</f>
        <v>SIGIT NUGROHO</v>
      </c>
      <c r="N306" s="58" t="str">
        <f>VLOOKUP($B306,master!$B$2:$S$595,15,0)</f>
        <v>SMP SAINS WAHID HASYIM</v>
      </c>
      <c r="O306" s="58" t="str">
        <f>VLOOKUP($B306,master!$B$2:$S$595,4,0)</f>
        <v>5-04-2009</v>
      </c>
    </row>
    <row r="307" spans="1:15" ht="15.75" customHeight="1" x14ac:dyDescent="0.25">
      <c r="A307" s="56" t="s">
        <v>389</v>
      </c>
      <c r="B307" s="88" t="s">
        <v>1867</v>
      </c>
      <c r="C307" s="88" t="s">
        <v>4304</v>
      </c>
      <c r="D307" s="88" t="s">
        <v>4517</v>
      </c>
      <c r="E307" s="45" t="str">
        <f>VLOOKUP(D307,Total!$C$2:$D$439,2,0)</f>
        <v>10 TSM 1</v>
      </c>
      <c r="F307" s="45" t="str">
        <f>VLOOKUP(C307,Total!$B$2:$F$439,5,0)</f>
        <v>AKTIF</v>
      </c>
      <c r="G307" s="46" t="str">
        <f>VLOOKUP($B307,master!$B$2:$S$595,16,0)</f>
        <v>08122764188</v>
      </c>
      <c r="H307" s="46" t="str">
        <f>VLOOKUP($B307,master!$B$2:$S$595,17,0)</f>
        <v>O8122764188</v>
      </c>
      <c r="I307" s="46" t="str">
        <f>VLOOKUP($B307,master!$B$2:$S$595,8,0)</f>
        <v>CEPIT</v>
      </c>
      <c r="J307" s="46" t="str">
        <f>VLOOKUP($B307,master!$B$2:$S$595,9,0)</f>
        <v>5</v>
      </c>
      <c r="K307" s="46" t="str">
        <f>VLOOKUP($B307,master!$B$2:$S$595,11,0)</f>
        <v>PENDOWOHARJO</v>
      </c>
      <c r="L307" s="46" t="str">
        <f>VLOOKUP($B307,master!$B$2:$S$595,12,0)</f>
        <v>SEWON</v>
      </c>
      <c r="M307" s="46" t="str">
        <f>VLOOKUP($B307,master!$B$2:$S$595,6,0)</f>
        <v>Hajar Nur Fitriani</v>
      </c>
      <c r="N307" s="58" t="str">
        <f>VLOOKUP($B307,master!$B$2:$S$595,15,0)</f>
        <v>SMP MUHAMMADIYAH 3 YOGYAKARTA</v>
      </c>
      <c r="O307" s="58" t="str">
        <f>VLOOKUP($B307,master!$B$2:$S$595,4,0)</f>
        <v>11-11-2009</v>
      </c>
    </row>
    <row r="308" spans="1:15" ht="15.75" customHeight="1" x14ac:dyDescent="0.25">
      <c r="A308" s="56" t="s">
        <v>390</v>
      </c>
      <c r="B308" s="88" t="s">
        <v>1873</v>
      </c>
      <c r="C308" s="88" t="s">
        <v>4305</v>
      </c>
      <c r="D308" s="88" t="s">
        <v>1874</v>
      </c>
      <c r="E308" s="45" t="str">
        <f>VLOOKUP(D308,Total!$C$2:$D$439,2,0)</f>
        <v>10 TSM 1</v>
      </c>
      <c r="F308" s="45" t="str">
        <f>VLOOKUP(C308,Total!$B$2:$F$439,5,0)</f>
        <v>KELUAR</v>
      </c>
      <c r="G308" s="46" t="str">
        <f>VLOOKUP($B308,master!$B$2:$S$595,16,0)</f>
        <v>085723334567</v>
      </c>
      <c r="H308" s="46" t="str">
        <f>VLOOKUP($B308,master!$B$2:$S$595,17,0)</f>
        <v>085877140671</v>
      </c>
      <c r="I308" s="46" t="str">
        <f>VLOOKUP($B308,master!$B$2:$S$595,8,0)</f>
        <v>MANDING</v>
      </c>
      <c r="J308" s="46" t="str">
        <f>VLOOKUP($B308,master!$B$2:$S$595,9,0)</f>
        <v>3</v>
      </c>
      <c r="K308" s="46" t="str">
        <f>VLOOKUP($B308,master!$B$2:$S$595,11,0)</f>
        <v>TRIRENGGO</v>
      </c>
      <c r="L308" s="46" t="str">
        <f>VLOOKUP($B308,master!$B$2:$S$595,12,0)</f>
        <v>BANTUL</v>
      </c>
      <c r="M308" s="46" t="str">
        <f>VLOOKUP($B308,master!$B$2:$S$595,6,0)</f>
        <v>SUJIYONO</v>
      </c>
      <c r="N308" s="58" t="str">
        <f>VLOOKUP($B308,master!$B$2:$S$595,15,0)</f>
        <v>PKBM GERBANG MANDIRI</v>
      </c>
      <c r="O308" s="58" t="str">
        <f>VLOOKUP($B308,master!$B$2:$S$595,4,0)</f>
        <v>25-06-2009</v>
      </c>
    </row>
    <row r="309" spans="1:15" ht="15.75" customHeight="1" x14ac:dyDescent="0.25">
      <c r="A309" s="56" t="s">
        <v>391</v>
      </c>
      <c r="B309" s="88" t="s">
        <v>3097</v>
      </c>
      <c r="C309" s="88" t="s">
        <v>4306</v>
      </c>
      <c r="D309" s="88" t="s">
        <v>3098</v>
      </c>
      <c r="E309" s="45" t="str">
        <f>VLOOKUP(D309,Total!$C$2:$D$439,2,0)</f>
        <v>10 TSM 1</v>
      </c>
      <c r="F309" s="45" t="str">
        <f>VLOOKUP(C309,Total!$B$2:$F$439,5,0)</f>
        <v>AKTIF</v>
      </c>
      <c r="G309" s="46" t="str">
        <f>VLOOKUP($B309,master!$B$2:$S$595,16,0)</f>
        <v>089674353286</v>
      </c>
      <c r="H309" s="46" t="str">
        <f>VLOOKUP($B309,master!$B$2:$S$595,17,0)</f>
        <v>0895621549410</v>
      </c>
      <c r="I309" s="46" t="str">
        <f>VLOOKUP($B309,master!$B$2:$S$595,8,0)</f>
        <v>DADAPAN LOR</v>
      </c>
      <c r="J309" s="46" t="str">
        <f>VLOOKUP($B309,master!$B$2:$S$595,9,0)</f>
        <v>02</v>
      </c>
      <c r="K309" s="46" t="str">
        <f>VLOOKUP($B309,master!$B$2:$S$595,11,0)</f>
        <v>TIMBULHARJO</v>
      </c>
      <c r="L309" s="46" t="str">
        <f>VLOOKUP($B309,master!$B$2:$S$595,12,0)</f>
        <v>SEWON</v>
      </c>
      <c r="M309" s="46" t="str">
        <f>VLOOKUP($B309,master!$B$2:$S$595,6,0)</f>
        <v>Saringat</v>
      </c>
      <c r="N309" s="58" t="str">
        <f>VLOOKUP($B309,master!$B$2:$S$595,15,0)</f>
        <v>SMP SYUBBANUL WATHON BANDONGAN</v>
      </c>
      <c r="O309" s="58" t="str">
        <f>VLOOKUP($B309,master!$B$2:$S$595,4,0)</f>
        <v>20-09-2009</v>
      </c>
    </row>
    <row r="310" spans="1:15" ht="15.75" customHeight="1" x14ac:dyDescent="0.25">
      <c r="A310" s="56" t="s">
        <v>392</v>
      </c>
      <c r="B310" s="88" t="s">
        <v>2219</v>
      </c>
      <c r="C310" s="88" t="s">
        <v>4307</v>
      </c>
      <c r="D310" s="88" t="s">
        <v>2220</v>
      </c>
      <c r="E310" s="45" t="str">
        <f>VLOOKUP(D310,Total!$C$2:$D$439,2,0)</f>
        <v>10 TSM 1</v>
      </c>
      <c r="F310" s="45" t="str">
        <f>VLOOKUP(C310,Total!$B$2:$F$439,5,0)</f>
        <v>AKTIF</v>
      </c>
      <c r="G310" s="46" t="str">
        <f>VLOOKUP($B310,master!$B$2:$S$595,16,0)</f>
        <v>082224321071</v>
      </c>
      <c r="H310" s="46" t="str">
        <f>VLOOKUP($B310,master!$B$2:$S$595,17,0)</f>
        <v>0895328650584</v>
      </c>
      <c r="I310" s="46" t="str">
        <f>VLOOKUP($B310,master!$B$2:$S$595,8,0)</f>
        <v>TRUKAN</v>
      </c>
      <c r="J310" s="46" t="str">
        <f>VLOOKUP($B310,master!$B$2:$S$595,9,0)</f>
        <v>2</v>
      </c>
      <c r="K310" s="46" t="str">
        <f>VLOOKUP($B310,master!$B$2:$S$595,11,0)</f>
        <v>SEGOROYOSO</v>
      </c>
      <c r="L310" s="46" t="str">
        <f>VLOOKUP($B310,master!$B$2:$S$595,12,0)</f>
        <v>PLERET</v>
      </c>
      <c r="M310" s="46" t="str">
        <f>VLOOKUP($B310,master!$B$2:$S$595,6,0)</f>
        <v>RIBET ASIH</v>
      </c>
      <c r="N310" s="58" t="str">
        <f>VLOOKUP($B310,master!$B$2:$S$595,15,0)</f>
        <v>SMP MUHAMMADIYAH PLERET</v>
      </c>
      <c r="O310" s="58" t="str">
        <f>VLOOKUP($B310,master!$B$2:$S$595,4,0)</f>
        <v>18-10-2009</v>
      </c>
    </row>
    <row r="311" spans="1:15" ht="15.75" customHeight="1" x14ac:dyDescent="0.25">
      <c r="A311" s="56" t="s">
        <v>393</v>
      </c>
      <c r="B311" s="88" t="s">
        <v>1916</v>
      </c>
      <c r="C311" s="88" t="s">
        <v>4308</v>
      </c>
      <c r="D311" s="88" t="s">
        <v>1917</v>
      </c>
      <c r="E311" s="45" t="str">
        <f>VLOOKUP(D311,Total!$C$2:$D$439,2,0)</f>
        <v>10 TSM 1</v>
      </c>
      <c r="F311" s="45" t="str">
        <f>VLOOKUP(C311,Total!$B$2:$F$439,5,0)</f>
        <v>AKTIF</v>
      </c>
      <c r="G311" s="46" t="str">
        <f>VLOOKUP($B311,master!$B$2:$S$595,16,0)</f>
        <v>0895806686728</v>
      </c>
      <c r="H311" s="46" t="str">
        <f>VLOOKUP($B311,master!$B$2:$S$595,17,0)</f>
        <v>0895322072765</v>
      </c>
      <c r="I311" s="46" t="str">
        <f>VLOOKUP($B311,master!$B$2:$S$595,8,0)</f>
        <v>KEDUNG</v>
      </c>
      <c r="J311" s="46" t="str">
        <f>VLOOKUP($B311,master!$B$2:$S$595,9,0)</f>
        <v>1</v>
      </c>
      <c r="K311" s="46" t="str">
        <f>VLOOKUP($B311,master!$B$2:$S$595,11,0)</f>
        <v>GUWOSARI</v>
      </c>
      <c r="L311" s="46" t="str">
        <f>VLOOKUP($B311,master!$B$2:$S$595,12,0)</f>
        <v>PAJANGAN</v>
      </c>
      <c r="M311" s="46" t="str">
        <f>VLOOKUP($B311,master!$B$2:$S$595,6,0)</f>
        <v>SURAJI</v>
      </c>
      <c r="N311" s="58" t="str">
        <f>VLOOKUP($B311,master!$B$2:$S$595,15,0)</f>
        <v>SMP N 3 PAJANGAN</v>
      </c>
      <c r="O311" s="58" t="str">
        <f>VLOOKUP($B311,master!$B$2:$S$595,4,0)</f>
        <v>4-03-2009</v>
      </c>
    </row>
    <row r="312" spans="1:15" ht="15.75" customHeight="1" x14ac:dyDescent="0.25">
      <c r="A312" s="56" t="s">
        <v>394</v>
      </c>
      <c r="B312" s="88" t="s">
        <v>2565</v>
      </c>
      <c r="C312" s="88" t="s">
        <v>4309</v>
      </c>
      <c r="D312" s="88" t="s">
        <v>2566</v>
      </c>
      <c r="E312" s="45" t="str">
        <f>VLOOKUP(D312,Total!$C$2:$D$439,2,0)</f>
        <v>10 TSM 1</v>
      </c>
      <c r="F312" s="45" t="str">
        <f>VLOOKUP(C312,Total!$B$2:$F$439,5,0)</f>
        <v>AKTIF</v>
      </c>
      <c r="G312" s="46" t="str">
        <f>VLOOKUP($B312,master!$B$2:$S$595,16,0)</f>
        <v>0882007515109</v>
      </c>
      <c r="H312" s="46" t="str">
        <f>VLOOKUP($B312,master!$B$2:$S$595,17,0)</f>
        <v>085786141348</v>
      </c>
      <c r="I312" s="46" t="str">
        <f>VLOOKUP($B312,master!$B$2:$S$595,8,0)</f>
        <v>PELEM SEWU</v>
      </c>
      <c r="J312" s="46" t="str">
        <f>VLOOKUP($B312,master!$B$2:$S$595,9,0)</f>
        <v>2</v>
      </c>
      <c r="K312" s="46" t="str">
        <f>VLOOKUP($B312,master!$B$2:$S$595,11,0)</f>
        <v>PANGGUNGHARJO</v>
      </c>
      <c r="L312" s="46" t="str">
        <f>VLOOKUP($B312,master!$B$2:$S$595,12,0)</f>
        <v>SEWON</v>
      </c>
      <c r="M312" s="46" t="str">
        <f>VLOOKUP($B312,master!$B$2:$S$595,6,0)</f>
        <v>WAGIMAN</v>
      </c>
      <c r="N312" s="58" t="str">
        <f>VLOOKUP($B312,master!$B$2:$S$595,15,0)</f>
        <v>SMP MUHAMMADIYAH SEWON</v>
      </c>
      <c r="O312" s="58" t="str">
        <f>VLOOKUP($B312,master!$B$2:$S$595,4,0)</f>
        <v>1-07-2009</v>
      </c>
    </row>
    <row r="313" spans="1:15" ht="15.75" customHeight="1" x14ac:dyDescent="0.25">
      <c r="A313" s="56" t="s">
        <v>395</v>
      </c>
      <c r="B313" s="88" t="s">
        <v>1139</v>
      </c>
      <c r="C313" s="88" t="s">
        <v>4310</v>
      </c>
      <c r="D313" s="88" t="s">
        <v>1140</v>
      </c>
      <c r="E313" s="45" t="str">
        <f>VLOOKUP(D313,Total!$C$2:$D$439,2,0)</f>
        <v>10 TSM 1</v>
      </c>
      <c r="F313" s="45" t="str">
        <f>VLOOKUP(C313,Total!$B$2:$F$439,5,0)</f>
        <v>AKTIF</v>
      </c>
      <c r="G313" s="46" t="str">
        <f>VLOOKUP($B313,master!$B$2:$S$595,16,0)</f>
        <v>085727300148</v>
      </c>
      <c r="H313" s="46" t="str">
        <f>VLOOKUP($B313,master!$B$2:$S$595,17,0)</f>
        <v>085643820675</v>
      </c>
      <c r="I313" s="46" t="str">
        <f>VLOOKUP($B313,master!$B$2:$S$595,8,0)</f>
        <v>KADISORO</v>
      </c>
      <c r="J313" s="46" t="str">
        <f>VLOOKUP($B313,master!$B$2:$S$595,9,0)</f>
        <v>04</v>
      </c>
      <c r="K313" s="46" t="str">
        <f>VLOOKUP($B313,master!$B$2:$S$595,11,0)</f>
        <v>GILANGHARJO</v>
      </c>
      <c r="L313" s="46" t="str">
        <f>VLOOKUP($B313,master!$B$2:$S$595,12,0)</f>
        <v>PANDAK</v>
      </c>
      <c r="M313" s="46" t="str">
        <f>VLOOKUP($B313,master!$B$2:$S$595,6,0)</f>
        <v>MISRI</v>
      </c>
      <c r="N313" s="58" t="str">
        <f>VLOOKUP($B313,master!$B$2:$S$595,15,0)</f>
        <v>SMP N 3 PANDAK</v>
      </c>
      <c r="O313" s="58" t="str">
        <f>VLOOKUP($B313,master!$B$2:$S$595,4,0)</f>
        <v>30-06-2009</v>
      </c>
    </row>
    <row r="314" spans="1:15" ht="15.75" customHeight="1" x14ac:dyDescent="0.25">
      <c r="A314" s="56" t="s">
        <v>396</v>
      </c>
      <c r="B314" s="88" t="s">
        <v>1329</v>
      </c>
      <c r="C314" s="88" t="s">
        <v>4311</v>
      </c>
      <c r="D314" s="88" t="s">
        <v>1330</v>
      </c>
      <c r="E314" s="45" t="str">
        <f>VLOOKUP(D314,Total!$C$2:$D$439,2,0)</f>
        <v>10 TSM 1</v>
      </c>
      <c r="F314" s="45" t="str">
        <f>VLOOKUP(C314,Total!$B$2:$F$439,5,0)</f>
        <v>AKTIF</v>
      </c>
      <c r="G314" s="46" t="str">
        <f>VLOOKUP($B314,master!$B$2:$S$595,16,0)</f>
        <v>081259674658</v>
      </c>
      <c r="H314" s="46" t="str">
        <f>VLOOKUP($B314,master!$B$2:$S$595,17,0)</f>
        <v>0882003284441</v>
      </c>
      <c r="I314" s="46" t="str">
        <f>VLOOKUP($B314,master!$B$2:$S$595,8,0)</f>
        <v>GABUG</v>
      </c>
      <c r="J314" s="46" t="str">
        <f>VLOOKUP($B314,master!$B$2:$S$595,9,0)</f>
        <v>1</v>
      </c>
      <c r="K314" s="46" t="str">
        <f>VLOOKUP($B314,master!$B$2:$S$595,11,0)</f>
        <v>GIRICAHYO</v>
      </c>
      <c r="L314" s="46" t="str">
        <f>VLOOKUP($B314,master!$B$2:$S$595,12,0)</f>
        <v>PURWOSARI</v>
      </c>
      <c r="M314" s="46" t="str">
        <f>VLOOKUP($B314,master!$B$2:$S$595,6,0)</f>
        <v>DINI SUSANTI</v>
      </c>
      <c r="N314" s="58" t="str">
        <f>VLOOKUP($B314,master!$B$2:$S$595,15,0)</f>
        <v>SMP N 2 PURWOSARI</v>
      </c>
      <c r="O314" s="58" t="str">
        <f>VLOOKUP($B314,master!$B$2:$S$595,4,0)</f>
        <v>26-11-2008</v>
      </c>
    </row>
    <row r="315" spans="1:15" ht="15.75" customHeight="1" x14ac:dyDescent="0.25">
      <c r="A315" s="56" t="s">
        <v>397</v>
      </c>
      <c r="B315" s="88" t="s">
        <v>2687</v>
      </c>
      <c r="C315" s="88" t="s">
        <v>4312</v>
      </c>
      <c r="D315" s="88" t="s">
        <v>2688</v>
      </c>
      <c r="E315" s="45" t="str">
        <f>VLOOKUP(D315,Total!$C$2:$D$439,2,0)</f>
        <v>10 TSM 1</v>
      </c>
      <c r="F315" s="45" t="str">
        <f>VLOOKUP(C315,Total!$B$2:$F$439,5,0)</f>
        <v>AKTIF</v>
      </c>
      <c r="G315" s="46" t="str">
        <f>VLOOKUP($B315,master!$B$2:$S$595,16,0)</f>
        <v>088232581270</v>
      </c>
      <c r="H315" s="46" t="str">
        <f>VLOOKUP($B315,master!$B$2:$S$595,17,0)</f>
        <v>08812730945</v>
      </c>
      <c r="I315" s="46" t="str">
        <f>VLOOKUP($B315,master!$B$2:$S$595,8,0)</f>
        <v>PELEMSEWU</v>
      </c>
      <c r="J315" s="46" t="str">
        <f>VLOOKUP($B315,master!$B$2:$S$595,9,0)</f>
        <v>003</v>
      </c>
      <c r="K315" s="46" t="str">
        <f>VLOOKUP($B315,master!$B$2:$S$595,11,0)</f>
        <v>PANGGUNGHARJO</v>
      </c>
      <c r="L315" s="46" t="str">
        <f>VLOOKUP($B315,master!$B$2:$S$595,12,0)</f>
        <v>SEWON</v>
      </c>
      <c r="M315" s="46" t="str">
        <f>VLOOKUP($B315,master!$B$2:$S$595,6,0)</f>
        <v>KUAT RIYANTO</v>
      </c>
      <c r="N315" s="58" t="str">
        <f>VLOOKUP($B315,master!$B$2:$S$595,15,0)</f>
        <v>MTS N 1 BANTUL</v>
      </c>
      <c r="O315" s="58" t="str">
        <f>VLOOKUP($B315,master!$B$2:$S$595,4,0)</f>
        <v>9-06-2009</v>
      </c>
    </row>
    <row r="316" spans="1:15" ht="15.75" customHeight="1" x14ac:dyDescent="0.25">
      <c r="A316" s="56" t="s">
        <v>398</v>
      </c>
      <c r="B316" s="88" t="s">
        <v>2328</v>
      </c>
      <c r="C316" s="88" t="s">
        <v>4313</v>
      </c>
      <c r="D316" s="88" t="s">
        <v>2329</v>
      </c>
      <c r="E316" s="45" t="str">
        <f>VLOOKUP(D316,Total!$C$2:$D$439,2,0)</f>
        <v>10 TSM 1</v>
      </c>
      <c r="F316" s="45" t="str">
        <f>VLOOKUP(C316,Total!$B$2:$F$439,5,0)</f>
        <v>AKTIF</v>
      </c>
      <c r="G316" s="46" t="str">
        <f>VLOOKUP($B316,master!$B$2:$S$595,16,0)</f>
        <v>081325272674</v>
      </c>
      <c r="H316" s="46" t="str">
        <f>VLOOKUP($B316,master!$B$2:$S$595,17,0)</f>
        <v>087785335873</v>
      </c>
      <c r="I316" s="46" t="str">
        <f>VLOOKUP($B316,master!$B$2:$S$595,8,0)</f>
        <v>BALONG</v>
      </c>
      <c r="J316" s="46" t="str">
        <f>VLOOKUP($B316,master!$B$2:$S$595,9,0)</f>
        <v>4</v>
      </c>
      <c r="K316" s="46" t="str">
        <f>VLOOKUP($B316,master!$B$2:$S$595,11,0)</f>
        <v>TIMBULHARJO</v>
      </c>
      <c r="L316" s="46" t="str">
        <f>VLOOKUP($B316,master!$B$2:$S$595,12,0)</f>
        <v>SEWON</v>
      </c>
      <c r="M316" s="46" t="str">
        <f>VLOOKUP($B316,master!$B$2:$S$595,6,0)</f>
        <v>LASIMAN</v>
      </c>
      <c r="N316" s="58" t="str">
        <f>VLOOKUP($B316,master!$B$2:$S$595,15,0)</f>
        <v>SMP N 2 JETIS</v>
      </c>
      <c r="O316" s="58" t="str">
        <f>VLOOKUP($B316,master!$B$2:$S$595,4,0)</f>
        <v>13-08-2009</v>
      </c>
    </row>
    <row r="317" spans="1:15" ht="15.75" customHeight="1" x14ac:dyDescent="0.25">
      <c r="A317" s="56" t="s">
        <v>399</v>
      </c>
      <c r="B317" s="88" t="s">
        <v>1132</v>
      </c>
      <c r="C317" s="88" t="s">
        <v>4314</v>
      </c>
      <c r="D317" s="88" t="s">
        <v>1133</v>
      </c>
      <c r="E317" s="45" t="str">
        <f>VLOOKUP(D317,Total!$C$2:$D$439,2,0)</f>
        <v>10 TSM 1</v>
      </c>
      <c r="F317" s="45" t="str">
        <f>VLOOKUP(C317,Total!$B$2:$F$439,5,0)</f>
        <v>AKTIF</v>
      </c>
      <c r="G317" s="46" t="str">
        <f>VLOOKUP($B317,master!$B$2:$S$595,16,0)</f>
        <v>083104513625</v>
      </c>
      <c r="H317" s="46" t="str">
        <f>VLOOKUP($B317,master!$B$2:$S$595,17,0)</f>
        <v>085868581030</v>
      </c>
      <c r="I317" s="46" t="str">
        <f>VLOOKUP($B317,master!$B$2:$S$595,8,0)</f>
        <v>KADISORO</v>
      </c>
      <c r="J317" s="46" t="str">
        <f>VLOOKUP($B317,master!$B$2:$S$595,9,0)</f>
        <v>04</v>
      </c>
      <c r="K317" s="46" t="str">
        <f>VLOOKUP($B317,master!$B$2:$S$595,11,0)</f>
        <v>GILANGHARJO</v>
      </c>
      <c r="L317" s="46" t="str">
        <f>VLOOKUP($B317,master!$B$2:$S$595,12,0)</f>
        <v>PANDAK</v>
      </c>
      <c r="M317" s="46" t="str">
        <f>VLOOKUP($B317,master!$B$2:$S$595,6,0)</f>
        <v>Ary Setyowulan</v>
      </c>
      <c r="N317" s="58" t="str">
        <f>VLOOKUP($B317,master!$B$2:$S$595,15,0)</f>
        <v>SMP N 1 PANDAK</v>
      </c>
      <c r="O317" s="58" t="str">
        <f>VLOOKUP($B317,master!$B$2:$S$595,4,0)</f>
        <v>13-04-2009</v>
      </c>
    </row>
    <row r="318" spans="1:15" ht="15.75" customHeight="1" x14ac:dyDescent="0.25">
      <c r="A318" s="56" t="s">
        <v>400</v>
      </c>
      <c r="B318" s="88" t="s">
        <v>960</v>
      </c>
      <c r="C318" s="88" t="s">
        <v>4315</v>
      </c>
      <c r="D318" s="88" t="s">
        <v>961</v>
      </c>
      <c r="E318" s="45" t="str">
        <f>VLOOKUP(D318,Total!$C$2:$D$439,2,0)</f>
        <v>10 TSM 1</v>
      </c>
      <c r="F318" s="45" t="str">
        <f>VLOOKUP(C318,Total!$B$2:$F$439,5,0)</f>
        <v>AKTIF</v>
      </c>
      <c r="G318" s="46" t="str">
        <f>VLOOKUP($B318,master!$B$2:$S$595,16,0)</f>
        <v>0882005445523</v>
      </c>
      <c r="H318" s="46">
        <f>VLOOKUP($B318,master!$B$2:$S$595,17,0)</f>
        <v>0</v>
      </c>
      <c r="I318" s="46" t="str">
        <f>VLOOKUP($B318,master!$B$2:$S$595,8,0)</f>
        <v>SEMAIL</v>
      </c>
      <c r="J318" s="46" t="str">
        <f>VLOOKUP($B318,master!$B$2:$S$595,9,0)</f>
        <v>1</v>
      </c>
      <c r="K318" s="46" t="str">
        <f>VLOOKUP($B318,master!$B$2:$S$595,11,0)</f>
        <v>BANGUNHARJO</v>
      </c>
      <c r="L318" s="46" t="str">
        <f>VLOOKUP($B318,master!$B$2:$S$595,12,0)</f>
        <v>SEWON</v>
      </c>
      <c r="M318" s="46" t="str">
        <f>VLOOKUP($B318,master!$B$2:$S$595,6,0)</f>
        <v>WAWAN PRAMUDI</v>
      </c>
      <c r="N318" s="58" t="str">
        <f>VLOOKUP($B318,master!$B$2:$S$595,15,0)</f>
        <v>SMP MUHAMMADIYAH 9 YOGYAKARTA</v>
      </c>
      <c r="O318" s="58" t="str">
        <f>VLOOKUP($B318,master!$B$2:$S$595,4,0)</f>
        <v>20-06-2009</v>
      </c>
    </row>
    <row r="319" spans="1:15" ht="15.75" customHeight="1" x14ac:dyDescent="0.25">
      <c r="A319" s="56" t="s">
        <v>401</v>
      </c>
      <c r="B319" s="88" t="s">
        <v>2804</v>
      </c>
      <c r="C319" s="88" t="s">
        <v>4316</v>
      </c>
      <c r="D319" s="88" t="s">
        <v>2805</v>
      </c>
      <c r="E319" s="45" t="str">
        <f>VLOOKUP(D319,Total!$C$2:$D$439,2,0)</f>
        <v>10 TSM 1</v>
      </c>
      <c r="F319" s="45" t="str">
        <f>VLOOKUP(C319,Total!$B$2:$F$439,5,0)</f>
        <v>AKTIF</v>
      </c>
      <c r="G319" s="46" t="str">
        <f>VLOOKUP($B319,master!$B$2:$S$595,16,0)</f>
        <v>089620922926</v>
      </c>
      <c r="H319" s="46" t="str">
        <f>VLOOKUP($B319,master!$B$2:$S$595,17,0)</f>
        <v>089612730896</v>
      </c>
      <c r="I319" s="46" t="str">
        <f>VLOOKUP($B319,master!$B$2:$S$595,8,0)</f>
        <v>NGASEM</v>
      </c>
      <c r="J319" s="46" t="str">
        <f>VLOOKUP($B319,master!$B$2:$S$595,9,0)</f>
        <v>01</v>
      </c>
      <c r="K319" s="46" t="str">
        <f>VLOOKUP($B319,master!$B$2:$S$595,11,0)</f>
        <v>TIMBULHARJO</v>
      </c>
      <c r="L319" s="46" t="str">
        <f>VLOOKUP($B319,master!$B$2:$S$595,12,0)</f>
        <v>SEWON</v>
      </c>
      <c r="M319" s="46" t="str">
        <f>VLOOKUP($B319,master!$B$2:$S$595,6,0)</f>
        <v>Slamet sepbiyanto</v>
      </c>
      <c r="N319" s="58" t="str">
        <f>VLOOKUP($B319,master!$B$2:$S$595,15,0)</f>
        <v>SMP N 2 SEWON</v>
      </c>
      <c r="O319" s="58" t="str">
        <f>VLOOKUP($B319,master!$B$2:$S$595,4,0)</f>
        <v>23-02-2009</v>
      </c>
    </row>
    <row r="320" spans="1:15" ht="15.75" customHeight="1" x14ac:dyDescent="0.25">
      <c r="A320" s="56" t="s">
        <v>402</v>
      </c>
      <c r="B320" s="88" t="s">
        <v>1058</v>
      </c>
      <c r="C320" s="88" t="s">
        <v>4317</v>
      </c>
      <c r="D320" s="88" t="s">
        <v>1059</v>
      </c>
      <c r="E320" s="45" t="str">
        <f>VLOOKUP(D320,Total!$C$2:$D$439,2,0)</f>
        <v>10 TSM 1</v>
      </c>
      <c r="F320" s="45" t="str">
        <f>VLOOKUP(C320,Total!$B$2:$F$439,5,0)</f>
        <v>AKTIF</v>
      </c>
      <c r="G320" s="46" t="str">
        <f>VLOOKUP($B320,master!$B$2:$S$595,16,0)</f>
        <v>085927484716</v>
      </c>
      <c r="H320" s="46">
        <f>VLOOKUP($B320,master!$B$2:$S$595,17,0)</f>
        <v>0</v>
      </c>
      <c r="I320" s="46" t="str">
        <f>VLOOKUP($B320,master!$B$2:$S$595,8,0)</f>
        <v>GRUJUGAN</v>
      </c>
      <c r="J320" s="46" t="str">
        <f>VLOOKUP($B320,master!$B$2:$S$595,9,0)</f>
        <v>7</v>
      </c>
      <c r="K320" s="46" t="str">
        <f>VLOOKUP($B320,master!$B$2:$S$595,11,0)</f>
        <v>BANTUL</v>
      </c>
      <c r="L320" s="46" t="str">
        <f>VLOOKUP($B320,master!$B$2:$S$595,12,0)</f>
        <v>BANTUL</v>
      </c>
      <c r="M320" s="46" t="str">
        <f>VLOOKUP($B320,master!$B$2:$S$595,6,0)</f>
        <v>SARJIYO</v>
      </c>
      <c r="N320" s="58" t="str">
        <f>VLOOKUP($B320,master!$B$2:$S$595,15,0)</f>
        <v>SMP N 2 BANTUL</v>
      </c>
      <c r="O320" s="58" t="str">
        <f>VLOOKUP($B320,master!$B$2:$S$595,4,0)</f>
        <v>5-05-2009</v>
      </c>
    </row>
    <row r="321" spans="1:15" ht="15.75" customHeight="1" x14ac:dyDescent="0.25">
      <c r="A321" s="56" t="s">
        <v>403</v>
      </c>
      <c r="B321" s="88" t="s">
        <v>3220</v>
      </c>
      <c r="C321" s="88" t="s">
        <v>4318</v>
      </c>
      <c r="D321" s="88" t="s">
        <v>3221</v>
      </c>
      <c r="E321" s="45" t="str">
        <f>VLOOKUP(D321,Total!$C$2:$D$439,2,0)</f>
        <v>10 TSM 1</v>
      </c>
      <c r="F321" s="45" t="str">
        <f>VLOOKUP(C321,Total!$B$2:$F$439,5,0)</f>
        <v>AKTIF</v>
      </c>
      <c r="G321" s="46" t="str">
        <f>VLOOKUP($B321,master!$B$2:$S$595,16,0)</f>
        <v>0895403380099</v>
      </c>
      <c r="H321" s="46" t="str">
        <f>VLOOKUP($B321,master!$B$2:$S$595,17,0)</f>
        <v>0895403380002</v>
      </c>
      <c r="I321" s="46" t="str">
        <f>VLOOKUP($B321,master!$B$2:$S$595,8,0)</f>
        <v>PADOKAN LOR</v>
      </c>
      <c r="J321" s="46" t="str">
        <f>VLOOKUP($B321,master!$B$2:$S$595,9,0)</f>
        <v>02</v>
      </c>
      <c r="K321" s="46" t="str">
        <f>VLOOKUP($B321,master!$B$2:$S$595,11,0)</f>
        <v>TIRTONIRMOLO</v>
      </c>
      <c r="L321" s="46" t="str">
        <f>VLOOKUP($B321,master!$B$2:$S$595,12,0)</f>
        <v>KASIHAN</v>
      </c>
      <c r="M321" s="46" t="str">
        <f>VLOOKUP($B321,master!$B$2:$S$595,6,0)</f>
        <v>Surono</v>
      </c>
      <c r="N321" s="58" t="str">
        <f>VLOOKUP($B321,master!$B$2:$S$595,15,0)</f>
        <v>SMP N 2 KASIHAN</v>
      </c>
      <c r="O321" s="58" t="str">
        <f>VLOOKUP($B321,master!$B$2:$S$595,4,0)</f>
        <v>4-03-2009</v>
      </c>
    </row>
    <row r="322" spans="1:15" ht="15.75" customHeight="1" x14ac:dyDescent="0.25">
      <c r="A322" s="56" t="s">
        <v>404</v>
      </c>
      <c r="B322" s="88" t="s">
        <v>3499</v>
      </c>
      <c r="C322" s="88" t="s">
        <v>4319</v>
      </c>
      <c r="D322" s="88" t="s">
        <v>3500</v>
      </c>
      <c r="E322" s="45" t="str">
        <f>VLOOKUP(D322,Total!$C$2:$D$439,2,0)</f>
        <v>10 TSM 1</v>
      </c>
      <c r="F322" s="45" t="str">
        <f>VLOOKUP(C322,Total!$B$2:$F$439,5,0)</f>
        <v>AKTIF</v>
      </c>
      <c r="G322" s="46" t="str">
        <f>VLOOKUP($B322,master!$B$2:$S$595,16,0)</f>
        <v>089612647216</v>
      </c>
      <c r="H322" s="46" t="str">
        <f>VLOOKUP($B322,master!$B$2:$S$595,17,0)</f>
        <v>089612647216</v>
      </c>
      <c r="I322" s="46" t="str">
        <f>VLOOKUP($B322,master!$B$2:$S$595,8,0)</f>
        <v>KALIBAYEM</v>
      </c>
      <c r="J322" s="46" t="str">
        <f>VLOOKUP($B322,master!$B$2:$S$595,9,0)</f>
        <v>08</v>
      </c>
      <c r="K322" s="46" t="str">
        <f>VLOOKUP($B322,master!$B$2:$S$595,11,0)</f>
        <v>NGESTIHARJO</v>
      </c>
      <c r="L322" s="46" t="str">
        <f>VLOOKUP($B322,master!$B$2:$S$595,12,0)</f>
        <v>KASIHAN</v>
      </c>
      <c r="M322" s="46" t="str">
        <f>VLOOKUP($B322,master!$B$2:$S$595,6,0)</f>
        <v>Ari ruswanta</v>
      </c>
      <c r="N322" s="58" t="str">
        <f>VLOOKUP($B322,master!$B$2:$S$595,15,0)</f>
        <v>SMP N 2 SANDEN</v>
      </c>
      <c r="O322" s="58" t="str">
        <f>VLOOKUP($B322,master!$B$2:$S$595,4,0)</f>
        <v>6-12-2009</v>
      </c>
    </row>
    <row r="323" spans="1:15" ht="15.75" customHeight="1" x14ac:dyDescent="0.25">
      <c r="A323" s="56" t="s">
        <v>405</v>
      </c>
      <c r="B323" s="88" t="s">
        <v>3689</v>
      </c>
      <c r="C323" s="88" t="s">
        <v>4320</v>
      </c>
      <c r="D323" s="88" t="s">
        <v>3690</v>
      </c>
      <c r="E323" s="45" t="str">
        <f>VLOOKUP(D323,Total!$C$2:$D$439,2,0)</f>
        <v>10 TSM 1</v>
      </c>
      <c r="F323" s="45" t="str">
        <f>VLOOKUP(C323,Total!$B$2:$F$439,5,0)</f>
        <v>AKTIF</v>
      </c>
      <c r="G323" s="46" t="str">
        <f>VLOOKUP($B323,master!$B$2:$S$595,16,0)</f>
        <v>085836246838</v>
      </c>
      <c r="H323" s="46" t="str">
        <f>VLOOKUP($B323,master!$B$2:$S$595,17,0)</f>
        <v>085836246838</v>
      </c>
      <c r="I323" s="46" t="str">
        <f>VLOOKUP($B323,master!$B$2:$S$595,8,0)</f>
        <v>GEDONGAN</v>
      </c>
      <c r="J323" s="46" t="str">
        <f>VLOOKUP($B323,master!$B$2:$S$595,9,0)</f>
        <v>02</v>
      </c>
      <c r="K323" s="46" t="str">
        <f>VLOOKUP($B323,master!$B$2:$S$595,11,0)</f>
        <v>TRIRENGGO</v>
      </c>
      <c r="L323" s="46" t="str">
        <f>VLOOKUP($B323,master!$B$2:$S$595,12,0)</f>
        <v>BANTUL</v>
      </c>
      <c r="M323" s="46" t="str">
        <f>VLOOKUP($B323,master!$B$2:$S$595,6,0)</f>
        <v>Sarjono</v>
      </c>
      <c r="N323" s="58" t="str">
        <f>VLOOKUP($B323,master!$B$2:$S$595,15,0)</f>
        <v>Pondok Pesantren An Nashar Batam</v>
      </c>
      <c r="O323" s="58" t="str">
        <f>VLOOKUP($B323,master!$B$2:$S$595,4,0)</f>
        <v>23-04-2008</v>
      </c>
    </row>
    <row r="324" spans="1:15" ht="15.75" customHeight="1" x14ac:dyDescent="0.25">
      <c r="A324" s="56" t="s">
        <v>406</v>
      </c>
      <c r="B324" s="88" t="s">
        <v>2663</v>
      </c>
      <c r="C324" s="88" t="s">
        <v>4321</v>
      </c>
      <c r="D324" s="88" t="s">
        <v>2664</v>
      </c>
      <c r="E324" s="45" t="str">
        <f>VLOOKUP(D324,Total!$C$2:$D$439,2,0)</f>
        <v>10 TSM 1</v>
      </c>
      <c r="F324" s="45" t="str">
        <f>VLOOKUP(C324,Total!$B$2:$F$439,5,0)</f>
        <v>AKTIF</v>
      </c>
      <c r="G324" s="46" t="str">
        <f>VLOOKUP($B324,master!$B$2:$S$595,16,0)</f>
        <v>088220283925</v>
      </c>
      <c r="H324" s="46" t="str">
        <f>VLOOKUP($B324,master!$B$2:$S$595,17,0)</f>
        <v>083824393276</v>
      </c>
      <c r="I324" s="46" t="str">
        <f>VLOOKUP($B324,master!$B$2:$S$595,8,0)</f>
        <v>TARUDAN WETAN</v>
      </c>
      <c r="J324" s="46" t="str">
        <f>VLOOKUP($B324,master!$B$2:$S$595,9,0)</f>
        <v>04</v>
      </c>
      <c r="K324" s="46" t="str">
        <f>VLOOKUP($B324,master!$B$2:$S$595,11,0)</f>
        <v>BANGUNHARJO</v>
      </c>
      <c r="L324" s="46" t="str">
        <f>VLOOKUP($B324,master!$B$2:$S$595,12,0)</f>
        <v>SEWON</v>
      </c>
      <c r="M324" s="46" t="str">
        <f>VLOOKUP($B324,master!$B$2:$S$595,6,0)</f>
        <v>FELINA ASKRAENI</v>
      </c>
      <c r="N324" s="58" t="str">
        <f>VLOOKUP($B324,master!$B$2:$S$595,15,0)</f>
        <v>SMP MUHAMMADIYAH 7 YOGYAKARTA</v>
      </c>
      <c r="O324" s="58" t="str">
        <f>VLOOKUP($B324,master!$B$2:$S$595,4,0)</f>
        <v>5-01-2010</v>
      </c>
    </row>
    <row r="325" spans="1:15" ht="15.75" customHeight="1" x14ac:dyDescent="0.25">
      <c r="A325" s="56" t="s">
        <v>407</v>
      </c>
      <c r="B325" s="88" t="s">
        <v>1975</v>
      </c>
      <c r="C325" s="88" t="s">
        <v>4322</v>
      </c>
      <c r="D325" s="88" t="s">
        <v>1976</v>
      </c>
      <c r="E325" s="45" t="str">
        <f>VLOOKUP(D325,Total!$C$2:$D$439,2,0)</f>
        <v>10 TSM 1</v>
      </c>
      <c r="F325" s="45" t="str">
        <f>VLOOKUP(C325,Total!$B$2:$F$439,5,0)</f>
        <v>AKTIF</v>
      </c>
      <c r="G325" s="46" t="str">
        <f>VLOOKUP($B325,master!$B$2:$S$595,16,0)</f>
        <v>082180663310</v>
      </c>
      <c r="H325" s="46" t="str">
        <f>VLOOKUP($B325,master!$B$2:$S$595,17,0)</f>
        <v>085783667283</v>
      </c>
      <c r="I325" s="46" t="str">
        <f>VLOOKUP($B325,master!$B$2:$S$595,8,0)</f>
        <v>DAYU</v>
      </c>
      <c r="J325" s="46" t="str">
        <f>VLOOKUP($B325,master!$B$2:$S$595,9,0)</f>
        <v>4</v>
      </c>
      <c r="K325" s="46" t="str">
        <f>VLOOKUP($B325,master!$B$2:$S$595,11,0)</f>
        <v>GADINGSARI</v>
      </c>
      <c r="L325" s="46" t="str">
        <f>VLOOKUP($B325,master!$B$2:$S$595,12,0)</f>
        <v>SANDEN</v>
      </c>
      <c r="M325" s="46" t="str">
        <f>VLOOKUP($B325,master!$B$2:$S$595,6,0)</f>
        <v>SUWARNO</v>
      </c>
      <c r="N325" s="58" t="str">
        <f>VLOOKUP($B325,master!$B$2:$S$595,15,0)</f>
        <v>SMP N 2 SUMBEREJO</v>
      </c>
      <c r="O325" s="58" t="str">
        <f>VLOOKUP($B325,master!$B$2:$S$595,4,0)</f>
        <v>27-08-2009</v>
      </c>
    </row>
    <row r="326" spans="1:15" ht="15.75" customHeight="1" x14ac:dyDescent="0.25">
      <c r="A326" s="56" t="s">
        <v>408</v>
      </c>
      <c r="B326" s="88" t="s">
        <v>3226</v>
      </c>
      <c r="C326" s="88" t="s">
        <v>4323</v>
      </c>
      <c r="D326" s="88" t="s">
        <v>3227</v>
      </c>
      <c r="E326" s="45" t="str">
        <f>VLOOKUP(D326,Total!$C$2:$D$439,2,0)</f>
        <v>10 TSM 1</v>
      </c>
      <c r="F326" s="45" t="str">
        <f>VLOOKUP(C326,Total!$B$2:$F$439,5,0)</f>
        <v>AKTIF</v>
      </c>
      <c r="G326" s="46" t="str">
        <f>VLOOKUP($B326,master!$B$2:$S$595,16,0)</f>
        <v>081327262455</v>
      </c>
      <c r="H326" s="46" t="str">
        <f>VLOOKUP($B326,master!$B$2:$S$595,17,0)</f>
        <v>082228209304</v>
      </c>
      <c r="I326" s="46" t="str">
        <f>VLOOKUP($B326,master!$B$2:$S$595,8,0)</f>
        <v>LANTENG 1</v>
      </c>
      <c r="J326" s="46" t="str">
        <f>VLOOKUP($B326,master!$B$2:$S$595,9,0)</f>
        <v>02</v>
      </c>
      <c r="K326" s="46" t="str">
        <f>VLOOKUP($B326,master!$B$2:$S$595,11,0)</f>
        <v>SELOPAMIORO</v>
      </c>
      <c r="L326" s="46" t="str">
        <f>VLOOKUP($B326,master!$B$2:$S$595,12,0)</f>
        <v>IMOGIRI</v>
      </c>
      <c r="M326" s="46" t="str">
        <f>VLOOKUP($B326,master!$B$2:$S$595,6,0)</f>
        <v>SUKERMAN</v>
      </c>
      <c r="N326" s="58" t="str">
        <f>VLOOKUP($B326,master!$B$2:$S$595,15,0)</f>
        <v>SMP N 3 IMOGIRI</v>
      </c>
      <c r="O326" s="58" t="str">
        <f>VLOOKUP($B326,master!$B$2:$S$595,4,0)</f>
        <v>11-05-2009</v>
      </c>
    </row>
    <row r="327" spans="1:15" ht="15.75" customHeight="1" x14ac:dyDescent="0.25">
      <c r="A327" s="56" t="s">
        <v>409</v>
      </c>
      <c r="B327" s="88" t="s">
        <v>3519</v>
      </c>
      <c r="C327" s="88" t="s">
        <v>4324</v>
      </c>
      <c r="D327" s="88" t="s">
        <v>3520</v>
      </c>
      <c r="E327" s="45" t="str">
        <f>VLOOKUP(D327,Total!$C$2:$D$439,2,0)</f>
        <v>10 TSM 1</v>
      </c>
      <c r="F327" s="45" t="str">
        <f>VLOOKUP(C327,Total!$B$2:$F$439,5,0)</f>
        <v>AKTIF</v>
      </c>
      <c r="G327" s="46" t="str">
        <f>VLOOKUP($B327,master!$B$2:$S$595,16,0)</f>
        <v>083844223210</v>
      </c>
      <c r="H327" s="46" t="str">
        <f>VLOOKUP($B327,master!$B$2:$S$595,17,0)</f>
        <v>0882003764477</v>
      </c>
      <c r="I327" s="46" t="str">
        <f>VLOOKUP($B327,master!$B$2:$S$595,8,0)</f>
        <v>TIRTO</v>
      </c>
      <c r="J327" s="46" t="str">
        <f>VLOOKUP($B327,master!$B$2:$S$595,9,0)</f>
        <v>04</v>
      </c>
      <c r="K327" s="46" t="str">
        <f>VLOOKUP($B327,master!$B$2:$S$595,11,0)</f>
        <v>BANGUNJIWO</v>
      </c>
      <c r="L327" s="46" t="str">
        <f>VLOOKUP($B327,master!$B$2:$S$595,12,0)</f>
        <v>KASIHAN</v>
      </c>
      <c r="M327" s="46" t="str">
        <f>VLOOKUP($B327,master!$B$2:$S$595,6,0)</f>
        <v>LUPIANA</v>
      </c>
      <c r="N327" s="58" t="str">
        <f>VLOOKUP($B327,master!$B$2:$S$595,15,0)</f>
        <v>SMP MUHAMMADIYAH BANTUL</v>
      </c>
      <c r="O327" s="58" t="str">
        <f>VLOOKUP($B327,master!$B$2:$S$595,4,0)</f>
        <v>23-06-2009</v>
      </c>
    </row>
    <row r="328" spans="1:15" ht="15.75" customHeight="1" x14ac:dyDescent="0.25">
      <c r="A328" s="56" t="s">
        <v>410</v>
      </c>
      <c r="B328" s="88" t="s">
        <v>1030</v>
      </c>
      <c r="C328" s="88" t="s">
        <v>4325</v>
      </c>
      <c r="D328" s="88" t="s">
        <v>1031</v>
      </c>
      <c r="E328" s="45" t="str">
        <f>VLOOKUP(D328,Total!$C$2:$D$439,2,0)</f>
        <v>10 TSM 1</v>
      </c>
      <c r="F328" s="45" t="str">
        <f>VLOOKUP(C328,Total!$B$2:$F$439,5,0)</f>
        <v>AKTIF</v>
      </c>
      <c r="G328" s="46" t="str">
        <f>VLOOKUP($B328,master!$B$2:$S$595,16,0)</f>
        <v>087822109510</v>
      </c>
      <c r="H328" s="46">
        <f>VLOOKUP($B328,master!$B$2:$S$595,17,0)</f>
        <v>0</v>
      </c>
      <c r="I328" s="46" t="str">
        <f>VLOOKUP($B328,master!$B$2:$S$595,8,0)</f>
        <v>BODO WALUH</v>
      </c>
      <c r="J328" s="46" t="str">
        <f>VLOOKUP($B328,master!$B$2:$S$595,9,0)</f>
        <v>6</v>
      </c>
      <c r="K328" s="46" t="str">
        <f>VLOOKUP($B328,master!$B$2:$S$595,11,0)</f>
        <v>SRIHARDONO</v>
      </c>
      <c r="L328" s="46" t="str">
        <f>VLOOKUP($B328,master!$B$2:$S$595,12,0)</f>
        <v>PUNDONG</v>
      </c>
      <c r="M328" s="46" t="str">
        <f>VLOOKUP($B328,master!$B$2:$S$595,6,0)</f>
        <v>RUSWINARTA</v>
      </c>
      <c r="N328" s="58" t="str">
        <f>VLOOKUP($B328,master!$B$2:$S$595,15,0)</f>
        <v>SMP N 1 PUNDONG</v>
      </c>
      <c r="O328" s="58" t="str">
        <f>VLOOKUP($B328,master!$B$2:$S$595,4,0)</f>
        <v>1-09-2009</v>
      </c>
    </row>
    <row r="329" spans="1:15" ht="15.75" customHeight="1" x14ac:dyDescent="0.25">
      <c r="A329" s="56" t="s">
        <v>411</v>
      </c>
      <c r="B329" s="89" t="s">
        <v>2121</v>
      </c>
      <c r="C329" s="88" t="s">
        <v>4326</v>
      </c>
      <c r="D329" s="89" t="s">
        <v>2122</v>
      </c>
      <c r="E329" s="45" t="str">
        <f>VLOOKUP(D329,Total!$C$2:$D$439,2,0)</f>
        <v>10 TSM 1</v>
      </c>
      <c r="F329" s="45" t="str">
        <f>VLOOKUP(C329,Total!$B$2:$F$439,5,0)</f>
        <v>AKTIF</v>
      </c>
      <c r="G329" s="46" t="str">
        <f>VLOOKUP($B329,master!$B$2:$S$595,16,0)</f>
        <v>08985552924</v>
      </c>
      <c r="H329" s="46" t="str">
        <f>VLOOKUP($B329,master!$B$2:$S$595,17,0)</f>
        <v>08895335710</v>
      </c>
      <c r="I329" s="46" t="str">
        <f>VLOOKUP($B329,master!$B$2:$S$595,8,0)</f>
        <v>SAYANGAN</v>
      </c>
      <c r="J329" s="46" t="str">
        <f>VLOOKUP($B329,master!$B$2:$S$595,9,0)</f>
        <v>4</v>
      </c>
      <c r="K329" s="46" t="str">
        <f>VLOOKUP($B329,master!$B$2:$S$595,11,0)</f>
        <v>JAGALAN</v>
      </c>
      <c r="L329" s="46" t="str">
        <f>VLOOKUP($B329,master!$B$2:$S$595,12,0)</f>
        <v>BANGUNTAPAN</v>
      </c>
      <c r="M329" s="46" t="str">
        <f>VLOOKUP($B329,master!$B$2:$S$595,6,0)</f>
        <v>Wartini</v>
      </c>
      <c r="N329" s="58" t="str">
        <f>VLOOKUP($B329,master!$B$2:$S$595,15,0)</f>
        <v>SMP N 2 KARANGMOJO</v>
      </c>
      <c r="O329" s="58" t="str">
        <f>VLOOKUP($B329,master!$B$2:$S$595,4,0)</f>
        <v>1-10-2009</v>
      </c>
    </row>
    <row r="330" spans="1:15" ht="15.75" customHeight="1" x14ac:dyDescent="0.25">
      <c r="A330" s="56" t="s">
        <v>412</v>
      </c>
      <c r="B330" s="88" t="s">
        <v>2709</v>
      </c>
      <c r="C330" s="88" t="s">
        <v>4327</v>
      </c>
      <c r="D330" s="88" t="s">
        <v>2710</v>
      </c>
      <c r="E330" s="45" t="str">
        <f>VLOOKUP(D330,Total!$C$2:$D$439,2,0)</f>
        <v>10 TSM 1</v>
      </c>
      <c r="F330" s="45" t="str">
        <f>VLOOKUP(C330,Total!$B$2:$F$439,5,0)</f>
        <v>AKTIF</v>
      </c>
      <c r="G330" s="46" t="str">
        <f>VLOOKUP($B330,master!$B$2:$S$595,16,0)</f>
        <v>089650654080</v>
      </c>
      <c r="H330" s="46" t="str">
        <f>VLOOKUP($B330,master!$B$2:$S$595,17,0)</f>
        <v>089650658080</v>
      </c>
      <c r="I330" s="46" t="str">
        <f>VLOOKUP($B330,master!$B$2:$S$595,8,0)</f>
        <v>KALINONGKO</v>
      </c>
      <c r="J330" s="46" t="str">
        <f>VLOOKUP($B330,master!$B$2:$S$595,9,0)</f>
        <v>04</v>
      </c>
      <c r="K330" s="46" t="str">
        <f>VLOOKUP($B330,master!$B$2:$S$595,11,0)</f>
        <v>BANGUNJIWO</v>
      </c>
      <c r="L330" s="46" t="str">
        <f>VLOOKUP($B330,master!$B$2:$S$595,12,0)</f>
        <v>KASIHAN</v>
      </c>
      <c r="M330" s="46" t="str">
        <f>VLOOKUP($B330,master!$B$2:$S$595,6,0)</f>
        <v>TARI NOR ASTUTI</v>
      </c>
      <c r="N330" s="58" t="str">
        <f>VLOOKUP($B330,master!$B$2:$S$595,15,0)</f>
        <v>SMP MUHAMMADIYAH KASIHAN</v>
      </c>
      <c r="O330" s="58" t="str">
        <f>VLOOKUP($B330,master!$B$2:$S$595,4,0)</f>
        <v>28-06-2009</v>
      </c>
    </row>
    <row r="331" spans="1:15" ht="15.75" customHeight="1" x14ac:dyDescent="0.25">
      <c r="A331" s="56" t="s">
        <v>413</v>
      </c>
      <c r="B331" s="89" t="s">
        <v>2752</v>
      </c>
      <c r="C331" s="88" t="s">
        <v>4328</v>
      </c>
      <c r="D331" s="89" t="s">
        <v>2753</v>
      </c>
      <c r="E331" s="45" t="str">
        <f>VLOOKUP(D331,Total!$C$2:$D$439,2,0)</f>
        <v>10 TSM 1</v>
      </c>
      <c r="F331" s="45" t="str">
        <f>VLOOKUP(C331,Total!$B$2:$F$439,5,0)</f>
        <v>AKTIF</v>
      </c>
      <c r="G331" s="46" t="str">
        <f>VLOOKUP($B331,master!$B$2:$S$595,16,0)</f>
        <v>0895366134542</v>
      </c>
      <c r="H331" s="46" t="str">
        <f>VLOOKUP($B331,master!$B$2:$S$595,17,0)</f>
        <v>082342643968</v>
      </c>
      <c r="I331" s="46" t="str">
        <f>VLOOKUP($B331,master!$B$2:$S$595,8,0)</f>
        <v>PLURUGAN</v>
      </c>
      <c r="J331" s="46" t="str">
        <f>VLOOKUP($B331,master!$B$2:$S$595,9,0)</f>
        <v>10</v>
      </c>
      <c r="K331" s="46" t="str">
        <f>VLOOKUP($B331,master!$B$2:$S$595,11,0)</f>
        <v>TIRTONIRMOLO</v>
      </c>
      <c r="L331" s="46" t="str">
        <f>VLOOKUP($B331,master!$B$2:$S$595,12,0)</f>
        <v>KASIHAN</v>
      </c>
      <c r="M331" s="46" t="str">
        <f>VLOOKUP($B331,master!$B$2:$S$595,6,0)</f>
        <v>IMBANG YUANA</v>
      </c>
      <c r="N331" s="58" t="str">
        <f>VLOOKUP($B331,master!$B$2:$S$595,15,0)</f>
        <v>SMP MATARAM KASIHAN</v>
      </c>
      <c r="O331" s="58" t="str">
        <f>VLOOKUP($B331,master!$B$2:$S$595,4,0)</f>
        <v>22-01-2010</v>
      </c>
    </row>
    <row r="332" spans="1:15" ht="15.75" customHeight="1" x14ac:dyDescent="0.25">
      <c r="A332" s="56" t="s">
        <v>414</v>
      </c>
      <c r="B332" s="89" t="s">
        <v>3089</v>
      </c>
      <c r="C332" s="88" t="s">
        <v>4329</v>
      </c>
      <c r="D332" s="89" t="s">
        <v>3090</v>
      </c>
      <c r="E332" s="45" t="str">
        <f>VLOOKUP(D332,Total!$C$2:$D$439,2,0)</f>
        <v>10 TSM 1</v>
      </c>
      <c r="F332" s="45" t="str">
        <f>VLOOKUP(C332,Total!$B$2:$F$439,5,0)</f>
        <v>AKTIF</v>
      </c>
      <c r="G332" s="46" t="str">
        <f>VLOOKUP($B332,master!$B$2:$S$595,16,0)</f>
        <v>085331179046</v>
      </c>
      <c r="H332" s="46" t="str">
        <f>VLOOKUP($B332,master!$B$2:$S$595,17,0)</f>
        <v>085230233273</v>
      </c>
      <c r="I332" s="46" t="str">
        <f>VLOOKUP($B332,master!$B$2:$S$595,8,0)</f>
        <v>KEMBANG PUTIHAN</v>
      </c>
      <c r="J332" s="46" t="str">
        <f>VLOOKUP($B332,master!$B$2:$S$595,9,0)</f>
        <v>05</v>
      </c>
      <c r="K332" s="46" t="str">
        <f>VLOOKUP($B332,master!$B$2:$S$595,11,0)</f>
        <v>GUWOSARI</v>
      </c>
      <c r="L332" s="46" t="str">
        <f>VLOOKUP($B332,master!$B$2:$S$595,12,0)</f>
        <v>PAJANGAN</v>
      </c>
      <c r="M332" s="46" t="str">
        <f>VLOOKUP($B332,master!$B$2:$S$595,6,0)</f>
        <v>Yusuf purwanta</v>
      </c>
      <c r="N332" s="58" t="str">
        <f>VLOOKUP($B332,master!$B$2:$S$595,15,0)</f>
        <v>SMP N 3 REJOSO</v>
      </c>
      <c r="O332" s="58" t="str">
        <f>VLOOKUP($B332,master!$B$2:$S$595,4,0)</f>
        <v>19-07-2009</v>
      </c>
    </row>
    <row r="333" spans="1:15" ht="15.75" customHeight="1" x14ac:dyDescent="0.25">
      <c r="A333" s="56" t="s">
        <v>415</v>
      </c>
      <c r="B333" s="88" t="s">
        <v>1577</v>
      </c>
      <c r="C333" s="88" t="s">
        <v>4330</v>
      </c>
      <c r="D333" s="88" t="s">
        <v>1578</v>
      </c>
      <c r="E333" s="45" t="str">
        <f>VLOOKUP(D333,Total!$C$2:$D$439,2,0)</f>
        <v>10 TSM 1</v>
      </c>
      <c r="F333" s="45" t="str">
        <f>VLOOKUP(C333,Total!$B$2:$F$439,5,0)</f>
        <v>AKTIF</v>
      </c>
      <c r="G333" s="46" t="str">
        <f>VLOOKUP($B333,master!$B$2:$S$595,16,0)</f>
        <v>089671720766</v>
      </c>
      <c r="H333" s="46" t="str">
        <f>VLOOKUP($B333,master!$B$2:$S$595,17,0)</f>
        <v>089671720766</v>
      </c>
      <c r="I333" s="46" t="str">
        <f>VLOOKUP($B333,master!$B$2:$S$595,8,0)</f>
        <v>JAGAN</v>
      </c>
      <c r="J333" s="46" t="str">
        <f>VLOOKUP($B333,master!$B$2:$S$595,9,0)</f>
        <v>3</v>
      </c>
      <c r="K333" s="46" t="str">
        <f>VLOOKUP($B333,master!$B$2:$S$595,11,0)</f>
        <v>BANGUNJIWO</v>
      </c>
      <c r="L333" s="46" t="str">
        <f>VLOOKUP($B333,master!$B$2:$S$595,12,0)</f>
        <v>KASIHAN</v>
      </c>
      <c r="M333" s="46" t="str">
        <f>VLOOKUP($B333,master!$B$2:$S$595,6,0)</f>
        <v>AMIN SODIKIN</v>
      </c>
      <c r="N333" s="58" t="str">
        <f>VLOOKUP($B333,master!$B$2:$S$595,15,0)</f>
        <v>SMP N 4 SEWON</v>
      </c>
      <c r="O333" s="58" t="str">
        <f>VLOOKUP($B333,master!$B$2:$S$595,4,0)</f>
        <v>10-10-2009</v>
      </c>
    </row>
    <row r="334" spans="1:15" ht="15.75" customHeight="1" x14ac:dyDescent="0.25">
      <c r="A334" s="56" t="s">
        <v>416</v>
      </c>
      <c r="B334" s="88" t="s">
        <v>2231</v>
      </c>
      <c r="C334" s="88" t="s">
        <v>4331</v>
      </c>
      <c r="D334" s="88" t="s">
        <v>2232</v>
      </c>
      <c r="E334" s="45" t="str">
        <f>VLOOKUP(D334,Total!$C$2:$D$439,2,0)</f>
        <v>10 TSM 2</v>
      </c>
      <c r="F334" s="45" t="str">
        <f>VLOOKUP(C334,Total!$B$2:$F$439,5,0)</f>
        <v>AKTIF</v>
      </c>
      <c r="G334" s="46" t="str">
        <f>VLOOKUP($B334,master!$B$2:$S$595,16,0)</f>
        <v>081239901099</v>
      </c>
      <c r="H334" s="46" t="str">
        <f>VLOOKUP($B334,master!$B$2:$S$595,17,0)</f>
        <v>08895055511</v>
      </c>
      <c r="I334" s="46" t="str">
        <f>VLOOKUP($B334,master!$B$2:$S$595,8,0)</f>
        <v>NGLARANG</v>
      </c>
      <c r="J334" s="46" t="str">
        <f>VLOOKUP($B334,master!$B$2:$S$595,9,0)</f>
        <v>3</v>
      </c>
      <c r="K334" s="46" t="str">
        <f>VLOOKUP($B334,master!$B$2:$S$595,11,0)</f>
        <v>TRIHARJO</v>
      </c>
      <c r="L334" s="46" t="str">
        <f>VLOOKUP($B334,master!$B$2:$S$595,12,0)</f>
        <v>PANDAK</v>
      </c>
      <c r="M334" s="46" t="str">
        <f>VLOOKUP($B334,master!$B$2:$S$595,6,0)</f>
        <v>SARJIYO</v>
      </c>
      <c r="N334" s="58" t="str">
        <f>VLOOKUP($B334,master!$B$2:$S$595,15,0)</f>
        <v>SMP N 4 PANDAK</v>
      </c>
      <c r="O334" s="58" t="str">
        <f>VLOOKUP($B334,master!$B$2:$S$595,4,0)</f>
        <v>29-04-2008</v>
      </c>
    </row>
    <row r="335" spans="1:15" ht="15.75" customHeight="1" x14ac:dyDescent="0.25">
      <c r="A335" s="56" t="s">
        <v>417</v>
      </c>
      <c r="B335" s="88" t="s">
        <v>954</v>
      </c>
      <c r="C335" s="88" t="s">
        <v>4332</v>
      </c>
      <c r="D335" s="88" t="s">
        <v>955</v>
      </c>
      <c r="E335" s="45" t="str">
        <f>VLOOKUP(D335,Total!$C$2:$D$439,2,0)</f>
        <v>10 TSM 2</v>
      </c>
      <c r="F335" s="45" t="str">
        <f>VLOOKUP(C335,Total!$B$2:$F$439,5,0)</f>
        <v>AKTIF</v>
      </c>
      <c r="G335" s="46" t="str">
        <f>VLOOKUP($B335,master!$B$2:$S$595,16,0)</f>
        <v>0895359379580</v>
      </c>
      <c r="H335" s="46">
        <f>VLOOKUP($B335,master!$B$2:$S$595,17,0)</f>
        <v>0</v>
      </c>
      <c r="I335" s="46" t="str">
        <f>VLOOKUP($B335,master!$B$2:$S$595,8,0)</f>
        <v>GEDONGAN</v>
      </c>
      <c r="J335" s="46" t="str">
        <f>VLOOKUP($B335,master!$B$2:$S$595,9,0)</f>
        <v>6</v>
      </c>
      <c r="K335" s="46" t="str">
        <f>VLOOKUP($B335,master!$B$2:$S$595,11,0)</f>
        <v>BANGUNJIWO</v>
      </c>
      <c r="L335" s="46" t="str">
        <f>VLOOKUP($B335,master!$B$2:$S$595,12,0)</f>
        <v>KASIHAN</v>
      </c>
      <c r="M335" s="46" t="str">
        <f>VLOOKUP($B335,master!$B$2:$S$595,6,0)</f>
        <v>HARWADI</v>
      </c>
      <c r="N335" s="58" t="str">
        <f>VLOOKUP($B335,master!$B$2:$S$595,15,0)</f>
        <v>SMP MUHAMMADIYAH SEWON</v>
      </c>
      <c r="O335" s="58" t="str">
        <f>VLOOKUP($B335,master!$B$2:$S$595,4,0)</f>
        <v>1-11-2009</v>
      </c>
    </row>
    <row r="336" spans="1:15" ht="15.75" customHeight="1" x14ac:dyDescent="0.25">
      <c r="A336" s="56" t="s">
        <v>418</v>
      </c>
      <c r="B336" s="88" t="s">
        <v>3055</v>
      </c>
      <c r="C336" s="88" t="s">
        <v>4333</v>
      </c>
      <c r="D336" s="88" t="s">
        <v>3056</v>
      </c>
      <c r="E336" s="45" t="str">
        <f>VLOOKUP(D336,Total!$C$2:$D$439,2,0)</f>
        <v>10 TSM 2</v>
      </c>
      <c r="F336" s="45" t="str">
        <f>VLOOKUP(C336,Total!$B$2:$F$439,5,0)</f>
        <v>AKTIF</v>
      </c>
      <c r="G336" s="46" t="str">
        <f>VLOOKUP($B336,master!$B$2:$S$595,16,0)</f>
        <v>081227922367</v>
      </c>
      <c r="H336" s="46" t="str">
        <f>VLOOKUP($B336,master!$B$2:$S$595,17,0)</f>
        <v>0895328868368</v>
      </c>
      <c r="I336" s="46" t="str">
        <f>VLOOKUP($B336,master!$B$2:$S$595,8,0)</f>
        <v>GONJEN</v>
      </c>
      <c r="J336" s="46" t="str">
        <f>VLOOKUP($B336,master!$B$2:$S$595,9,0)</f>
        <v>03</v>
      </c>
      <c r="K336" s="46" t="str">
        <f>VLOOKUP($B336,master!$B$2:$S$595,11,0)</f>
        <v>TAMANTIRTO</v>
      </c>
      <c r="L336" s="46" t="str">
        <f>VLOOKUP($B336,master!$B$2:$S$595,12,0)</f>
        <v>KASIHAN</v>
      </c>
      <c r="M336" s="46" t="str">
        <f>VLOOKUP($B336,master!$B$2:$S$595,6,0)</f>
        <v>SUDIRNO</v>
      </c>
      <c r="N336" s="58" t="str">
        <f>VLOOKUP($B336,master!$B$2:$S$595,15,0)</f>
        <v>SMP MUHAMMADIYAH 3 YOGYAKARTA</v>
      </c>
      <c r="O336" s="58" t="str">
        <f>VLOOKUP($B336,master!$B$2:$S$595,4,0)</f>
        <v>13-01-2009</v>
      </c>
    </row>
    <row r="337" spans="1:15" ht="15.75" customHeight="1" x14ac:dyDescent="0.25">
      <c r="A337" s="56" t="s">
        <v>419</v>
      </c>
      <c r="B337" s="88" t="s">
        <v>3622</v>
      </c>
      <c r="C337" s="88" t="s">
        <v>4334</v>
      </c>
      <c r="D337" s="88" t="s">
        <v>3623</v>
      </c>
      <c r="E337" s="45" t="str">
        <f>VLOOKUP(D337,Total!$C$2:$D$439,2,0)</f>
        <v>10 TSM 2</v>
      </c>
      <c r="F337" s="45" t="str">
        <f>VLOOKUP(C337,Total!$B$2:$F$439,5,0)</f>
        <v>AKTIF</v>
      </c>
      <c r="G337" s="46" t="str">
        <f>VLOOKUP($B337,master!$B$2:$S$595,16,0)</f>
        <v>099648742860</v>
      </c>
      <c r="H337" s="46" t="str">
        <f>VLOOKUP($B337,master!$B$2:$S$595,17,0)</f>
        <v>089673396574</v>
      </c>
      <c r="I337" s="46" t="str">
        <f>VLOOKUP($B337,master!$B$2:$S$595,8,0)</f>
        <v>KABROKAN WETAN</v>
      </c>
      <c r="J337" s="46" t="str">
        <f>VLOOKUP($B337,master!$B$2:$S$595,9,0)</f>
        <v>03</v>
      </c>
      <c r="K337" s="46" t="str">
        <f>VLOOKUP($B337,master!$B$2:$S$595,11,0)</f>
        <v>SENDANGSARI</v>
      </c>
      <c r="L337" s="46" t="str">
        <f>VLOOKUP($B337,master!$B$2:$S$595,12,0)</f>
        <v>PAJANGAN</v>
      </c>
      <c r="M337" s="46" t="str">
        <f>VLOOKUP($B337,master!$B$2:$S$595,6,0)</f>
        <v>AMINAH</v>
      </c>
      <c r="N337" s="58" t="str">
        <f>VLOOKUP($B337,master!$B$2:$S$595,15,0)</f>
        <v>SMP N 3 PAJANGAN</v>
      </c>
      <c r="O337" s="58" t="str">
        <f>VLOOKUP($B337,master!$B$2:$S$595,4,0)</f>
        <v>1-11-2009</v>
      </c>
    </row>
    <row r="338" spans="1:15" ht="15.75" customHeight="1" x14ac:dyDescent="0.25">
      <c r="A338" s="56" t="s">
        <v>420</v>
      </c>
      <c r="B338" s="88" t="s">
        <v>3445</v>
      </c>
      <c r="C338" s="88" t="s">
        <v>4335</v>
      </c>
      <c r="D338" s="88" t="s">
        <v>3446</v>
      </c>
      <c r="E338" s="45" t="str">
        <f>VLOOKUP(D338,Total!$C$2:$D$439,2,0)</f>
        <v>10 TSM 2</v>
      </c>
      <c r="F338" s="45" t="str">
        <f>VLOOKUP(C338,Total!$B$2:$F$439,5,0)</f>
        <v>AKTIF</v>
      </c>
      <c r="G338" s="46" t="str">
        <f>VLOOKUP($B338,master!$B$2:$S$595,16,0)</f>
        <v>082137447911</v>
      </c>
      <c r="H338" s="46" t="str">
        <f>VLOOKUP($B338,master!$B$2:$S$595,17,0)</f>
        <v>085326588882</v>
      </c>
      <c r="I338" s="46" t="str">
        <f>VLOOKUP($B338,master!$B$2:$S$595,8,0)</f>
        <v>JETIS</v>
      </c>
      <c r="J338" s="46" t="str">
        <f>VLOOKUP($B338,master!$B$2:$S$595,9,0)</f>
        <v>001</v>
      </c>
      <c r="K338" s="46" t="str">
        <f>VLOOKUP($B338,master!$B$2:$S$595,11,0)</f>
        <v>SELOPAMORO</v>
      </c>
      <c r="L338" s="46" t="str">
        <f>VLOOKUP($B338,master!$B$2:$S$595,12,0)</f>
        <v>IMOGIRI</v>
      </c>
      <c r="M338" s="46" t="str">
        <f>VLOOKUP($B338,master!$B$2:$S$595,6,0)</f>
        <v>EKO SUSANTO</v>
      </c>
      <c r="N338" s="58" t="str">
        <f>VLOOKUP($B338,master!$B$2:$S$595,15,0)</f>
        <v>SMP N 2 PUNDONG</v>
      </c>
      <c r="O338" s="58" t="str">
        <f>VLOOKUP($B338,master!$B$2:$S$595,4,0)</f>
        <v>24-04-2010</v>
      </c>
    </row>
    <row r="339" spans="1:15" ht="15.75" customHeight="1" x14ac:dyDescent="0.25">
      <c r="A339" s="56" t="s">
        <v>421</v>
      </c>
      <c r="B339" s="88" t="s">
        <v>3558</v>
      </c>
      <c r="C339" s="88" t="s">
        <v>4336</v>
      </c>
      <c r="D339" s="88" t="s">
        <v>3559</v>
      </c>
      <c r="E339" s="45" t="str">
        <f>VLOOKUP(D339,Total!$C$2:$D$439,2,0)</f>
        <v>10 TSM 2</v>
      </c>
      <c r="F339" s="45" t="str">
        <f>VLOOKUP(C339,Total!$B$2:$F$439,5,0)</f>
        <v>AKTIF</v>
      </c>
      <c r="G339" s="46" t="str">
        <f>VLOOKUP($B339,master!$B$2:$S$595,16,0)</f>
        <v>081915451785</v>
      </c>
      <c r="H339" s="46" t="str">
        <f>VLOOKUP($B339,master!$B$2:$S$595,17,0)</f>
        <v>089529404716</v>
      </c>
      <c r="I339" s="46" t="str">
        <f>VLOOKUP($B339,master!$B$2:$S$595,8,0)</f>
        <v>SINGOSAREN III</v>
      </c>
      <c r="J339" s="46" t="str">
        <f>VLOOKUP($B339,master!$B$2:$S$595,9,0)</f>
        <v>004</v>
      </c>
      <c r="K339" s="46" t="str">
        <f>VLOOKUP($B339,master!$B$2:$S$595,11,0)</f>
        <v>SINGOSAREN</v>
      </c>
      <c r="L339" s="46" t="str">
        <f>VLOOKUP($B339,master!$B$2:$S$595,12,0)</f>
        <v>BANGUNTAPAN</v>
      </c>
      <c r="M339" s="46" t="str">
        <f>VLOOKUP($B339,master!$B$2:$S$595,6,0)</f>
        <v>ASIH WAHONO</v>
      </c>
      <c r="N339" s="58" t="str">
        <f>VLOOKUP($B339,master!$B$2:$S$595,15,0)</f>
        <v>SMP N 4 BANGUNTAPAN</v>
      </c>
      <c r="O339" s="58" t="str">
        <f>VLOOKUP($B339,master!$B$2:$S$595,4,0)</f>
        <v>28-11-2009</v>
      </c>
    </row>
    <row r="340" spans="1:15" ht="15.75" customHeight="1" x14ac:dyDescent="0.25">
      <c r="A340" s="56" t="s">
        <v>422</v>
      </c>
      <c r="B340" s="88" t="s">
        <v>2111</v>
      </c>
      <c r="C340" s="88" t="s">
        <v>4337</v>
      </c>
      <c r="D340" s="88" t="s">
        <v>2112</v>
      </c>
      <c r="E340" s="45" t="str">
        <f>VLOOKUP(D340,Total!$C$2:$D$439,2,0)</f>
        <v>10 TSM 2</v>
      </c>
      <c r="F340" s="45" t="str">
        <f>VLOOKUP(C340,Total!$B$2:$F$439,5,0)</f>
        <v>AKTIF</v>
      </c>
      <c r="G340" s="46" t="str">
        <f>VLOOKUP($B340,master!$B$2:$S$595,16,0)</f>
        <v>0895403454400</v>
      </c>
      <c r="H340" s="46" t="str">
        <f>VLOOKUP($B340,master!$B$2:$S$595,17,0)</f>
        <v>0895403144123</v>
      </c>
      <c r="I340" s="46" t="str">
        <f>VLOOKUP($B340,master!$B$2:$S$595,8,0)</f>
        <v>PADOKAN LOR</v>
      </c>
      <c r="J340" s="46" t="str">
        <f>VLOOKUP($B340,master!$B$2:$S$595,9,0)</f>
        <v>03</v>
      </c>
      <c r="K340" s="46" t="str">
        <f>VLOOKUP($B340,master!$B$2:$S$595,11,0)</f>
        <v>TIRTONIRMOLO</v>
      </c>
      <c r="L340" s="46" t="str">
        <f>VLOOKUP($B340,master!$B$2:$S$595,12,0)</f>
        <v>KASIHAN</v>
      </c>
      <c r="M340" s="46" t="str">
        <f>VLOOKUP($B340,master!$B$2:$S$595,6,0)</f>
        <v>Heru Sutanto</v>
      </c>
      <c r="N340" s="58" t="str">
        <f>VLOOKUP($B340,master!$B$2:$S$595,15,0)</f>
        <v>SMP MATARAM KASIHAN</v>
      </c>
      <c r="O340" s="58" t="str">
        <f>VLOOKUP($B340,master!$B$2:$S$595,4,0)</f>
        <v>16-08-2009</v>
      </c>
    </row>
    <row r="341" spans="1:15" ht="15.75" customHeight="1" x14ac:dyDescent="0.25">
      <c r="A341" s="56" t="s">
        <v>423</v>
      </c>
      <c r="B341" s="88" t="s">
        <v>1492</v>
      </c>
      <c r="C341" s="88" t="s">
        <v>4338</v>
      </c>
      <c r="D341" s="88" t="s">
        <v>1493</v>
      </c>
      <c r="E341" s="45" t="str">
        <f>VLOOKUP(D341,Total!$C$2:$D$439,2,0)</f>
        <v>10 TSM 2</v>
      </c>
      <c r="F341" s="45" t="str">
        <f>VLOOKUP(C341,Total!$B$2:$F$439,5,0)</f>
        <v>AKTIF</v>
      </c>
      <c r="G341" s="46" t="str">
        <f>VLOOKUP($B341,master!$B$2:$S$595,16,0)</f>
        <v>087889314044</v>
      </c>
      <c r="H341" s="46" t="str">
        <f>VLOOKUP($B341,master!$B$2:$S$595,17,0)</f>
        <v>088902968320</v>
      </c>
      <c r="I341" s="46" t="str">
        <f>VLOOKUP($B341,master!$B$2:$S$595,8,0)</f>
        <v>JALAKAN</v>
      </c>
      <c r="J341" s="46" t="str">
        <f>VLOOKUP($B341,master!$B$2:$S$595,9,0)</f>
        <v>5</v>
      </c>
      <c r="K341" s="46" t="str">
        <f>VLOOKUP($B341,master!$B$2:$S$595,11,0)</f>
        <v>TRIHARJO</v>
      </c>
      <c r="L341" s="46" t="str">
        <f>VLOOKUP($B341,master!$B$2:$S$595,12,0)</f>
        <v>PANDAK</v>
      </c>
      <c r="M341" s="46" t="str">
        <f>VLOOKUP($B341,master!$B$2:$S$595,6,0)</f>
        <v>TUGIMIN</v>
      </c>
      <c r="N341" s="58" t="str">
        <f>VLOOKUP($B341,master!$B$2:$S$595,15,0)</f>
        <v>SMP N 4 PANDAK</v>
      </c>
      <c r="O341" s="58" t="str">
        <f>VLOOKUP($B341,master!$B$2:$S$595,4,0)</f>
        <v>28-11-2009</v>
      </c>
    </row>
    <row r="342" spans="1:15" ht="15.75" customHeight="1" x14ac:dyDescent="0.25">
      <c r="A342" s="56" t="s">
        <v>424</v>
      </c>
      <c r="B342" s="88" t="s">
        <v>2419</v>
      </c>
      <c r="C342" s="88" t="s">
        <v>4339</v>
      </c>
      <c r="D342" s="88" t="s">
        <v>2420</v>
      </c>
      <c r="E342" s="45" t="str">
        <f>VLOOKUP(D342,Total!$C$2:$D$439,2,0)</f>
        <v>10 TSM 2</v>
      </c>
      <c r="F342" s="45" t="str">
        <f>VLOOKUP(C342,Total!$B$2:$F$439,5,0)</f>
        <v>AKTIF</v>
      </c>
      <c r="G342" s="46" t="str">
        <f>VLOOKUP($B342,master!$B$2:$S$595,16,0)</f>
        <v>082314472793</v>
      </c>
      <c r="H342" s="46" t="str">
        <f>VLOOKUP($B342,master!$B$2:$S$595,17,0)</f>
        <v>085727439113</v>
      </c>
      <c r="I342" s="46" t="str">
        <f>VLOOKUP($B342,master!$B$2:$S$595,8,0)</f>
        <v>BANYUDONO</v>
      </c>
      <c r="J342" s="46" t="str">
        <f>VLOOKUP($B342,master!$B$2:$S$595,9,0)</f>
        <v>3</v>
      </c>
      <c r="K342" s="46" t="str">
        <f>VLOOKUP($B342,master!$B$2:$S$595,11,0)</f>
        <v>CANDEN</v>
      </c>
      <c r="L342" s="46" t="str">
        <f>VLOOKUP($B342,master!$B$2:$S$595,12,0)</f>
        <v>JETIS</v>
      </c>
      <c r="M342" s="46" t="str">
        <f>VLOOKUP($B342,master!$B$2:$S$595,6,0)</f>
        <v>SARJILAH</v>
      </c>
      <c r="N342" s="58" t="str">
        <f>VLOOKUP($B342,master!$B$2:$S$595,15,0)</f>
        <v>SMP N 2 JETIS</v>
      </c>
      <c r="O342" s="58" t="str">
        <f>VLOOKUP($B342,master!$B$2:$S$595,4,0)</f>
        <v>23-01-2010</v>
      </c>
    </row>
    <row r="343" spans="1:15" ht="15.75" customHeight="1" x14ac:dyDescent="0.25">
      <c r="A343" s="56" t="s">
        <v>425</v>
      </c>
      <c r="B343" s="88" t="s">
        <v>2549</v>
      </c>
      <c r="C343" s="88" t="s">
        <v>4340</v>
      </c>
      <c r="D343" s="88" t="s">
        <v>2550</v>
      </c>
      <c r="E343" s="45" t="str">
        <f>VLOOKUP(D343,Total!$C$2:$D$439,2,0)</f>
        <v>10 TSM 2</v>
      </c>
      <c r="F343" s="45" t="str">
        <f>VLOOKUP(C343,Total!$B$2:$F$439,5,0)</f>
        <v>AKTIF</v>
      </c>
      <c r="G343" s="46" t="str">
        <f>VLOOKUP($B343,master!$B$2:$S$595,16,0)</f>
        <v>08973156020</v>
      </c>
      <c r="H343" s="46" t="str">
        <f>VLOOKUP($B343,master!$B$2:$S$595,17,0)</f>
        <v>08973156010</v>
      </c>
      <c r="I343" s="46" t="str">
        <f>VLOOKUP($B343,master!$B$2:$S$595,8,0)</f>
        <v>DALEMAN</v>
      </c>
      <c r="J343" s="46" t="str">
        <f>VLOOKUP($B343,master!$B$2:$S$595,9,0)</f>
        <v>3</v>
      </c>
      <c r="K343" s="46" t="str">
        <f>VLOOKUP($B343,master!$B$2:$S$595,11,0)</f>
        <v>GILANGHARJO</v>
      </c>
      <c r="L343" s="46" t="str">
        <f>VLOOKUP($B343,master!$B$2:$S$595,12,0)</f>
        <v>PANDAK</v>
      </c>
      <c r="M343" s="46" t="str">
        <f>VLOOKUP($B343,master!$B$2:$S$595,6,0)</f>
        <v>BASUKI</v>
      </c>
      <c r="N343" s="58" t="str">
        <f>VLOOKUP($B343,master!$B$2:$S$595,15,0)</f>
        <v>SMP N 4 PANDAK</v>
      </c>
      <c r="O343" s="58" t="str">
        <f>VLOOKUP($B343,master!$B$2:$S$595,4,0)</f>
        <v>14-12-2009</v>
      </c>
    </row>
    <row r="344" spans="1:15" ht="15.75" customHeight="1" x14ac:dyDescent="0.25">
      <c r="A344" s="56" t="s">
        <v>426</v>
      </c>
      <c r="B344" s="88" t="s">
        <v>2771</v>
      </c>
      <c r="C344" s="88" t="s">
        <v>4341</v>
      </c>
      <c r="D344" s="88" t="s">
        <v>2772</v>
      </c>
      <c r="E344" s="45" t="str">
        <f>VLOOKUP(D344,Total!$C$2:$D$439,2,0)</f>
        <v>10 TSM 2</v>
      </c>
      <c r="F344" s="45" t="str">
        <f>VLOOKUP(C344,Total!$B$2:$F$439,5,0)</f>
        <v>AKTIF</v>
      </c>
      <c r="G344" s="46" t="str">
        <f>VLOOKUP($B344,master!$B$2:$S$595,16,0)</f>
        <v>0882007959724</v>
      </c>
      <c r="H344" s="46" t="str">
        <f>VLOOKUP($B344,master!$B$2:$S$595,17,0)</f>
        <v>08003180460</v>
      </c>
      <c r="I344" s="46" t="str">
        <f>VLOOKUP($B344,master!$B$2:$S$595,8,0)</f>
        <v>BLALI</v>
      </c>
      <c r="J344" s="46" t="str">
        <f>VLOOKUP($B344,master!$B$2:$S$595,9,0)</f>
        <v>5</v>
      </c>
      <c r="K344" s="46" t="str">
        <f>VLOOKUP($B344,master!$B$2:$S$595,11,0)</f>
        <v>SELOHARJO</v>
      </c>
      <c r="L344" s="46" t="str">
        <f>VLOOKUP($B344,master!$B$2:$S$595,12,0)</f>
        <v>PUNDONG</v>
      </c>
      <c r="M344" s="46" t="str">
        <f>VLOOKUP($B344,master!$B$2:$S$595,6,0)</f>
        <v>SURANTO</v>
      </c>
      <c r="N344" s="58" t="str">
        <f>VLOOKUP($B344,master!$B$2:$S$595,15,0)</f>
        <v>MTS N 5 BANTUL</v>
      </c>
      <c r="O344" s="58" t="str">
        <f>VLOOKUP($B344,master!$B$2:$S$595,4,0)</f>
        <v>2-02-2010</v>
      </c>
    </row>
    <row r="345" spans="1:15" ht="15.75" customHeight="1" x14ac:dyDescent="0.25">
      <c r="A345" s="56" t="s">
        <v>427</v>
      </c>
      <c r="B345" s="88" t="s">
        <v>615</v>
      </c>
      <c r="C345" s="88" t="s">
        <v>4342</v>
      </c>
      <c r="D345" s="88" t="s">
        <v>616</v>
      </c>
      <c r="E345" s="45" t="str">
        <f>VLOOKUP(D345,Total!$C$2:$D$439,2,0)</f>
        <v>10 TSM 2</v>
      </c>
      <c r="F345" s="45" t="str">
        <f>VLOOKUP(C345,Total!$B$2:$F$439,5,0)</f>
        <v>AKTIF</v>
      </c>
      <c r="G345" s="46" t="str">
        <f>VLOOKUP($B345,master!$B$2:$S$595,16,0)</f>
        <v>083113003554</v>
      </c>
      <c r="H345" s="46">
        <f>VLOOKUP($B345,master!$B$2:$S$595,17,0)</f>
        <v>0</v>
      </c>
      <c r="I345" s="46" t="str">
        <f>VLOOKUP($B345,master!$B$2:$S$595,8,0)</f>
        <v>KEPUH</v>
      </c>
      <c r="J345" s="46" t="str">
        <f>VLOOKUP($B345,master!$B$2:$S$595,9,0)</f>
        <v>3</v>
      </c>
      <c r="K345" s="46" t="str">
        <f>VLOOKUP($B345,master!$B$2:$S$595,11,0)</f>
        <v>MULYODADI</v>
      </c>
      <c r="L345" s="46" t="str">
        <f>VLOOKUP($B345,master!$B$2:$S$595,12,0)</f>
        <v>BAMBANGLIPURO</v>
      </c>
      <c r="M345" s="46" t="str">
        <f>VLOOKUP($B345,master!$B$2:$S$595,6,0)</f>
        <v>RUDIYANTO</v>
      </c>
      <c r="N345" s="58" t="str">
        <f>VLOOKUP($B345,master!$B$2:$S$595,15,0)</f>
        <v>SMP MUHAMMADIYAH 1 BAMBANGLIPURO</v>
      </c>
      <c r="O345" s="58" t="str">
        <f>VLOOKUP($B345,master!$B$2:$S$595,4,0)</f>
        <v>7-03-2010</v>
      </c>
    </row>
    <row r="346" spans="1:15" ht="15.75" customHeight="1" x14ac:dyDescent="0.25">
      <c r="A346" s="56" t="s">
        <v>428</v>
      </c>
      <c r="B346" s="88" t="s">
        <v>2227</v>
      </c>
      <c r="C346" s="88" t="s">
        <v>4343</v>
      </c>
      <c r="D346" s="88" t="s">
        <v>2228</v>
      </c>
      <c r="E346" s="45" t="str">
        <f>VLOOKUP(D346,Total!$C$2:$D$439,2,0)</f>
        <v>10 TSM 2</v>
      </c>
      <c r="F346" s="45" t="str">
        <f>VLOOKUP(C346,Total!$B$2:$F$439,5,0)</f>
        <v>AKTIF</v>
      </c>
      <c r="G346" s="46" t="str">
        <f>VLOOKUP($B346,master!$B$2:$S$595,16,0)</f>
        <v>085643335977 / 085866553414</v>
      </c>
      <c r="H346" s="46" t="str">
        <f>VLOOKUP($B346,master!$B$2:$S$595,17,0)</f>
        <v>-</v>
      </c>
      <c r="I346" s="46" t="str">
        <f>VLOOKUP($B346,master!$B$2:$S$595,8,0)</f>
        <v>KARANGGAYAM</v>
      </c>
      <c r="J346" s="46" t="str">
        <f>VLOOKUP($B346,master!$B$2:$S$595,9,0)</f>
        <v>4</v>
      </c>
      <c r="K346" s="46" t="str">
        <f>VLOOKUP($B346,master!$B$2:$S$595,11,0)</f>
        <v>SEGOROYOSO</v>
      </c>
      <c r="L346" s="46" t="str">
        <f>VLOOKUP($B346,master!$B$2:$S$595,12,0)</f>
        <v>PLERET</v>
      </c>
      <c r="M346" s="46" t="str">
        <f>VLOOKUP($B346,master!$B$2:$S$595,6,0)</f>
        <v>WINARTO/HARTANTI</v>
      </c>
      <c r="N346" s="58" t="str">
        <f>VLOOKUP($B346,master!$B$2:$S$595,15,0)</f>
        <v>SMP MA'ARIF IMOGIRI</v>
      </c>
      <c r="O346" s="58" t="str">
        <f>VLOOKUP($B346,master!$B$2:$S$595,4,0)</f>
        <v>17-09-2009</v>
      </c>
    </row>
    <row r="347" spans="1:15" ht="15.75" customHeight="1" x14ac:dyDescent="0.25">
      <c r="A347" s="56" t="s">
        <v>429</v>
      </c>
      <c r="B347" s="88" t="s">
        <v>3922</v>
      </c>
      <c r="C347" s="88" t="s">
        <v>4344</v>
      </c>
      <c r="D347" s="88" t="s">
        <v>3923</v>
      </c>
      <c r="E347" s="45" t="str">
        <f>VLOOKUP(D347,Total!$C$2:$D$439,2,0)</f>
        <v>10 TSM 2</v>
      </c>
      <c r="F347" s="45" t="str">
        <f>VLOOKUP(C347,Total!$B$2:$F$439,5,0)</f>
        <v>AKTIF</v>
      </c>
      <c r="G347" s="46" t="str">
        <f>VLOOKUP($B347,master!$B$2:$S$595,16,0)</f>
        <v>0882007559352</v>
      </c>
      <c r="H347" s="46" t="str">
        <f>VLOOKUP($B347,master!$B$2:$S$595,17,0)</f>
        <v>0882007559352</v>
      </c>
      <c r="I347" s="46" t="str">
        <f>VLOOKUP($B347,master!$B$2:$S$595,8,0)</f>
        <v>TANJUNG</v>
      </c>
      <c r="J347" s="46" t="str">
        <f>VLOOKUP($B347,master!$B$2:$S$595,9,0)</f>
        <v>1</v>
      </c>
      <c r="K347" s="46" t="str">
        <f>VLOOKUP($B347,master!$B$2:$S$595,11,0)</f>
        <v>BANGUNHARJO</v>
      </c>
      <c r="L347" s="46" t="str">
        <f>VLOOKUP($B347,master!$B$2:$S$595,12,0)</f>
        <v>SEWON</v>
      </c>
      <c r="M347" s="46" t="str">
        <f>VLOOKUP($B347,master!$B$2:$S$595,6,0)</f>
        <v>SUMARDIYONO</v>
      </c>
      <c r="N347" s="58" t="str">
        <f>VLOOKUP($B347,master!$B$2:$S$595,15,0)</f>
        <v>SMP N 2 SEWON</v>
      </c>
      <c r="O347" s="58" t="str">
        <f>VLOOKUP($B347,master!$B$2:$S$595,4,0)</f>
        <v>26-09-2008</v>
      </c>
    </row>
    <row r="348" spans="1:15" ht="15.75" customHeight="1" x14ac:dyDescent="0.25">
      <c r="A348" s="56" t="s">
        <v>430</v>
      </c>
      <c r="B348" s="88" t="s">
        <v>3194</v>
      </c>
      <c r="C348" s="88" t="s">
        <v>4345</v>
      </c>
      <c r="D348" s="88" t="s">
        <v>3195</v>
      </c>
      <c r="E348" s="45" t="str">
        <f>VLOOKUP(D348,Total!$C$2:$D$439,2,0)</f>
        <v>10 TSM 2</v>
      </c>
      <c r="F348" s="45" t="str">
        <f>VLOOKUP(C348,Total!$B$2:$F$439,5,0)</f>
        <v>AKTIF</v>
      </c>
      <c r="G348" s="46" t="str">
        <f>VLOOKUP($B348,master!$B$2:$S$595,16,0)</f>
        <v>0895352983389</v>
      </c>
      <c r="H348" s="46" t="str">
        <f>VLOOKUP($B348,master!$B$2:$S$595,17,0)</f>
        <v>0895352983389</v>
      </c>
      <c r="I348" s="46" t="str">
        <f>VLOOKUP($B348,master!$B$2:$S$595,8,0)</f>
        <v>SANGKAL</v>
      </c>
      <c r="J348" s="46" t="str">
        <f>VLOOKUP($B348,master!$B$2:$S$595,9,0)</f>
        <v>02</v>
      </c>
      <c r="K348" s="46" t="str">
        <f>VLOOKUP($B348,master!$B$2:$S$595,11,0)</f>
        <v>BANGUNHARJO</v>
      </c>
      <c r="L348" s="46" t="str">
        <f>VLOOKUP($B348,master!$B$2:$S$595,12,0)</f>
        <v>SEWON</v>
      </c>
      <c r="M348" s="46" t="str">
        <f>VLOOKUP($B348,master!$B$2:$S$595,6,0)</f>
        <v>HOS RIZAL GINDO</v>
      </c>
      <c r="N348" s="58" t="str">
        <f>VLOOKUP($B348,master!$B$2:$S$595,15,0)</f>
        <v>MTS NURUL UMMAH</v>
      </c>
      <c r="O348" s="58" t="str">
        <f>VLOOKUP($B348,master!$B$2:$S$595,4,0)</f>
        <v>5-08-2008</v>
      </c>
    </row>
    <row r="349" spans="1:15" ht="15.75" customHeight="1" x14ac:dyDescent="0.25">
      <c r="A349" s="56" t="s">
        <v>431</v>
      </c>
      <c r="B349" s="88" t="s">
        <v>1726</v>
      </c>
      <c r="C349" s="88" t="s">
        <v>4346</v>
      </c>
      <c r="D349" s="88" t="s">
        <v>1727</v>
      </c>
      <c r="E349" s="45" t="str">
        <f>VLOOKUP(D349,Total!$C$2:$D$439,2,0)</f>
        <v>10 TSM 2</v>
      </c>
      <c r="F349" s="45" t="str">
        <f>VLOOKUP(C349,Total!$B$2:$F$439,5,0)</f>
        <v>AKTIF</v>
      </c>
      <c r="G349" s="46" t="str">
        <f>VLOOKUP($B349,master!$B$2:$S$595,16,0)</f>
        <v>085930142282</v>
      </c>
      <c r="H349" s="46" t="str">
        <f>VLOOKUP($B349,master!$B$2:$S$595,17,0)</f>
        <v>083145370620</v>
      </c>
      <c r="I349" s="46" t="str">
        <f>VLOOKUP($B349,master!$B$2:$S$595,8,0)</f>
        <v>TARUBAN</v>
      </c>
      <c r="J349" s="46" t="str">
        <f>VLOOKUP($B349,master!$B$2:$S$595,9,0)</f>
        <v>5</v>
      </c>
      <c r="K349" s="46" t="str">
        <f>VLOOKUP($B349,master!$B$2:$S$595,11,0)</f>
        <v>PALBAPANG</v>
      </c>
      <c r="L349" s="46" t="str">
        <f>VLOOKUP($B349,master!$B$2:$S$595,12,0)</f>
        <v>BANTUL</v>
      </c>
      <c r="M349" s="46" t="str">
        <f>VLOOKUP($B349,master!$B$2:$S$595,6,0)</f>
        <v>JUMAKIR</v>
      </c>
      <c r="N349" s="58" t="str">
        <f>VLOOKUP($B349,master!$B$2:$S$595,15,0)</f>
        <v>SMP N 3 BANTUL</v>
      </c>
      <c r="O349" s="58" t="str">
        <f>VLOOKUP($B349,master!$B$2:$S$595,4,0)</f>
        <v>14-09-2009</v>
      </c>
    </row>
    <row r="350" spans="1:15" ht="15.75" customHeight="1" x14ac:dyDescent="0.25">
      <c r="A350" s="56" t="s">
        <v>432</v>
      </c>
      <c r="B350" s="88" t="s">
        <v>1946</v>
      </c>
      <c r="C350" s="88" t="s">
        <v>4347</v>
      </c>
      <c r="D350" s="88" t="s">
        <v>1947</v>
      </c>
      <c r="E350" s="45" t="str">
        <f>VLOOKUP(D350,Total!$C$2:$D$439,2,0)</f>
        <v>10 TSM 2</v>
      </c>
      <c r="F350" s="45" t="str">
        <f>VLOOKUP(C350,Total!$B$2:$F$439,5,0)</f>
        <v>AKTIF</v>
      </c>
      <c r="G350" s="46" t="str">
        <f>VLOOKUP($B350,master!$B$2:$S$595,16,0)</f>
        <v>085938512336</v>
      </c>
      <c r="H350" s="46" t="str">
        <f>VLOOKUP($B350,master!$B$2:$S$595,17,0)</f>
        <v>0882003872380</v>
      </c>
      <c r="I350" s="46" t="str">
        <f>VLOOKUP($B350,master!$B$2:$S$595,8,0)</f>
        <v>SENDEN DK. KAUMAN</v>
      </c>
      <c r="J350" s="46" t="str">
        <f>VLOOKUP($B350,master!$B$2:$S$595,9,0)</f>
        <v>1</v>
      </c>
      <c r="K350" s="46" t="str">
        <f>VLOOKUP($B350,master!$B$2:$S$595,11,0)</f>
        <v>PLERET</v>
      </c>
      <c r="L350" s="46" t="str">
        <f>VLOOKUP($B350,master!$B$2:$S$595,12,0)</f>
        <v>PLERET</v>
      </c>
      <c r="M350" s="46" t="str">
        <f>VLOOKUP($B350,master!$B$2:$S$595,6,0)</f>
        <v>SURYANI</v>
      </c>
      <c r="N350" s="58" t="str">
        <f>VLOOKUP($B350,master!$B$2:$S$595,15,0)</f>
        <v>SMP N 2 PLERET</v>
      </c>
      <c r="O350" s="58" t="str">
        <f>VLOOKUP($B350,master!$B$2:$S$595,4,0)</f>
        <v>1-02-2010</v>
      </c>
    </row>
    <row r="351" spans="1:15" ht="15.75" customHeight="1" x14ac:dyDescent="0.25">
      <c r="A351" s="56" t="s">
        <v>433</v>
      </c>
      <c r="B351" s="88" t="s">
        <v>1152</v>
      </c>
      <c r="C351" s="88" t="s">
        <v>4348</v>
      </c>
      <c r="D351" s="88" t="s">
        <v>1153</v>
      </c>
      <c r="E351" s="45" t="str">
        <f>VLOOKUP(D351,Total!$C$2:$D$439,2,0)</f>
        <v>10 TSM 2</v>
      </c>
      <c r="F351" s="45" t="str">
        <f>VLOOKUP(C351,Total!$B$2:$F$439,5,0)</f>
        <v>AKTIF</v>
      </c>
      <c r="G351" s="46" t="str">
        <f>VLOOKUP($B351,master!$B$2:$S$595,16,0)</f>
        <v>0895422404700</v>
      </c>
      <c r="H351" s="46" t="str">
        <f>VLOOKUP($B351,master!$B$2:$S$595,17,0)</f>
        <v>089506581673</v>
      </c>
      <c r="I351" s="46" t="str">
        <f>VLOOKUP($B351,master!$B$2:$S$595,8,0)</f>
        <v>GUMUK</v>
      </c>
      <c r="J351" s="46" t="str">
        <f>VLOOKUP($B351,master!$B$2:$S$595,9,0)</f>
        <v>1</v>
      </c>
      <c r="K351" s="46" t="str">
        <f>VLOOKUP($B351,master!$B$2:$S$595,11,0)</f>
        <v>RINGINHARJO</v>
      </c>
      <c r="L351" s="46" t="str">
        <f>VLOOKUP($B351,master!$B$2:$S$595,12,0)</f>
        <v>BANTUL</v>
      </c>
      <c r="M351" s="46" t="str">
        <f>VLOOKUP($B351,master!$B$2:$S$595,6,0)</f>
        <v>RISTIYANTI</v>
      </c>
      <c r="N351" s="58" t="str">
        <f>VLOOKUP($B351,master!$B$2:$S$595,15,0)</f>
        <v>SMP MUHAMMADIYAH BANTUL</v>
      </c>
      <c r="O351" s="58" t="str">
        <f>VLOOKUP($B351,master!$B$2:$S$595,4,0)</f>
        <v>16-12-2009</v>
      </c>
    </row>
    <row r="352" spans="1:15" ht="15.75" customHeight="1" x14ac:dyDescent="0.25">
      <c r="A352" s="56" t="s">
        <v>434</v>
      </c>
      <c r="B352" s="88" t="s">
        <v>3188</v>
      </c>
      <c r="C352" s="88" t="s">
        <v>4349</v>
      </c>
      <c r="D352" s="88" t="s">
        <v>3189</v>
      </c>
      <c r="E352" s="45" t="str">
        <f>VLOOKUP(D352,Total!$C$2:$D$439,2,0)</f>
        <v>10 TSM 2</v>
      </c>
      <c r="F352" s="45" t="str">
        <f>VLOOKUP(C352,Total!$B$2:$F$439,5,0)</f>
        <v>AKTIF</v>
      </c>
      <c r="G352" s="46" t="str">
        <f>VLOOKUP($B352,master!$B$2:$S$595,16,0)</f>
        <v>089619228640</v>
      </c>
      <c r="H352" s="46" t="str">
        <f>VLOOKUP($B352,master!$B$2:$S$595,17,0)</f>
        <v>089528730916</v>
      </c>
      <c r="I352" s="46" t="str">
        <f>VLOOKUP($B352,master!$B$2:$S$595,8,0)</f>
        <v>SUDIMORO</v>
      </c>
      <c r="J352" s="46" t="str">
        <f>VLOOKUP($B352,master!$B$2:$S$595,9,0)</f>
        <v>RT 1</v>
      </c>
      <c r="K352" s="46" t="str">
        <f>VLOOKUP($B352,master!$B$2:$S$595,11,0)</f>
        <v>TIMBULHARJO</v>
      </c>
      <c r="L352" s="46" t="str">
        <f>VLOOKUP($B352,master!$B$2:$S$595,12,0)</f>
        <v>SEWON</v>
      </c>
      <c r="M352" s="46" t="str">
        <f>VLOOKUP($B352,master!$B$2:$S$595,6,0)</f>
        <v>ANI</v>
      </c>
      <c r="N352" s="58" t="str">
        <f>VLOOKUP($B352,master!$B$2:$S$595,15,0)</f>
        <v>SMP MUHAMMADIYAH PLERET</v>
      </c>
      <c r="O352" s="58" t="str">
        <f>VLOOKUP($B352,master!$B$2:$S$595,4,0)</f>
        <v>6-05-2009</v>
      </c>
    </row>
    <row r="353" spans="1:15" ht="15.75" customHeight="1" x14ac:dyDescent="0.25">
      <c r="A353" s="56" t="s">
        <v>435</v>
      </c>
      <c r="B353" s="88" t="s">
        <v>1161</v>
      </c>
      <c r="C353" s="88" t="s">
        <v>4350</v>
      </c>
      <c r="D353" s="88" t="s">
        <v>1162</v>
      </c>
      <c r="E353" s="45" t="str">
        <f>VLOOKUP(D353,Total!$C$2:$D$439,2,0)</f>
        <v>10 TSM 2</v>
      </c>
      <c r="F353" s="45" t="str">
        <f>VLOOKUP(C353,Total!$B$2:$F$439,5,0)</f>
        <v>AKTIF</v>
      </c>
      <c r="G353" s="46" t="str">
        <f>VLOOKUP($B353,master!$B$2:$S$595,16,0)</f>
        <v>089526014422</v>
      </c>
      <c r="H353" s="46" t="str">
        <f>VLOOKUP($B353,master!$B$2:$S$595,17,0)</f>
        <v>0895327601798</v>
      </c>
      <c r="I353" s="46" t="str">
        <f>VLOOKUP($B353,master!$B$2:$S$595,8,0)</f>
        <v>DAGEN GUMUK</v>
      </c>
      <c r="J353" s="46" t="str">
        <f>VLOOKUP($B353,master!$B$2:$S$595,9,0)</f>
        <v>04</v>
      </c>
      <c r="K353" s="46" t="str">
        <f>VLOOKUP($B353,master!$B$2:$S$595,11,0)</f>
        <v>RINGINHARJO</v>
      </c>
      <c r="L353" s="46" t="str">
        <f>VLOOKUP($B353,master!$B$2:$S$595,12,0)</f>
        <v>BANTUL</v>
      </c>
      <c r="M353" s="46" t="str">
        <f>VLOOKUP($B353,master!$B$2:$S$595,6,0)</f>
        <v>WIDAYATI</v>
      </c>
      <c r="N353" s="58" t="str">
        <f>VLOOKUP($B353,master!$B$2:$S$595,15,0)</f>
        <v>SMP N 3 BANTUL</v>
      </c>
      <c r="O353" s="58" t="str">
        <f>VLOOKUP($B353,master!$B$2:$S$595,4,0)</f>
        <v>26-03-2009</v>
      </c>
    </row>
    <row r="354" spans="1:15" ht="15.75" customHeight="1" x14ac:dyDescent="0.25">
      <c r="A354" s="56" t="s">
        <v>436</v>
      </c>
      <c r="B354" s="88" t="s">
        <v>3174</v>
      </c>
      <c r="C354" s="88" t="s">
        <v>4351</v>
      </c>
      <c r="D354" s="88" t="s">
        <v>3175</v>
      </c>
      <c r="E354" s="45" t="str">
        <f>VLOOKUP(D354,Total!$C$2:$D$439,2,0)</f>
        <v>10 TSM 2</v>
      </c>
      <c r="F354" s="45" t="str">
        <f>VLOOKUP(C354,Total!$B$2:$F$439,5,0)</f>
        <v>AKTIF</v>
      </c>
      <c r="G354" s="46" t="str">
        <f>VLOOKUP($B354,master!$B$2:$S$595,16,0)</f>
        <v>081322259593</v>
      </c>
      <c r="H354" s="46" t="str">
        <f>VLOOKUP($B354,master!$B$2:$S$595,17,0)</f>
        <v>089699566519</v>
      </c>
      <c r="I354" s="46" t="str">
        <f>VLOOKUP($B354,master!$B$2:$S$595,8,0)</f>
        <v>GUNUNG KELIR</v>
      </c>
      <c r="J354" s="46" t="str">
        <f>VLOOKUP($B354,master!$B$2:$S$595,9,0)</f>
        <v>10</v>
      </c>
      <c r="K354" s="46" t="str">
        <f>VLOOKUP($B354,master!$B$2:$S$595,11,0)</f>
        <v>PLERET</v>
      </c>
      <c r="L354" s="46" t="str">
        <f>VLOOKUP($B354,master!$B$2:$S$595,12,0)</f>
        <v>PLERET</v>
      </c>
      <c r="M354" s="46" t="str">
        <f>VLOOKUP($B354,master!$B$2:$S$595,6,0)</f>
        <v>SUHARYANTO</v>
      </c>
      <c r="N354" s="58" t="str">
        <f>VLOOKUP($B354,master!$B$2:$S$595,15,0)</f>
        <v>SMP MUHAMMADIYAH PLERET</v>
      </c>
      <c r="O354" s="58" t="str">
        <f>VLOOKUP($B354,master!$B$2:$S$595,4,0)</f>
        <v>2-12-2009</v>
      </c>
    </row>
    <row r="355" spans="1:15" ht="15.75" customHeight="1" x14ac:dyDescent="0.25">
      <c r="A355" s="56" t="s">
        <v>437</v>
      </c>
      <c r="B355" s="88" t="s">
        <v>1525</v>
      </c>
      <c r="C355" s="88" t="s">
        <v>4352</v>
      </c>
      <c r="D355" s="88" t="s">
        <v>1526</v>
      </c>
      <c r="E355" s="45" t="str">
        <f>VLOOKUP(D355,Total!$C$2:$D$439,2,0)</f>
        <v>10 TSM 2</v>
      </c>
      <c r="F355" s="45" t="str">
        <f>VLOOKUP(C355,Total!$B$2:$F$439,5,0)</f>
        <v>AKTIF</v>
      </c>
      <c r="G355" s="46" t="str">
        <f>VLOOKUP($B355,master!$B$2:$S$595,16,0)</f>
        <v>083840526677</v>
      </c>
      <c r="H355" s="46" t="str">
        <f>VLOOKUP($B355,master!$B$2:$S$595,17,0)</f>
        <v>089504689203</v>
      </c>
      <c r="I355" s="46" t="str">
        <f>VLOOKUP($B355,master!$B$2:$S$595,8,0)</f>
        <v>CODE</v>
      </c>
      <c r="J355" s="46" t="str">
        <f>VLOOKUP($B355,master!$B$2:$S$595,9,0)</f>
        <v>3</v>
      </c>
      <c r="K355" s="46" t="str">
        <f>VLOOKUP($B355,master!$B$2:$S$595,11,0)</f>
        <v>TRIRENGGO</v>
      </c>
      <c r="L355" s="46" t="str">
        <f>VLOOKUP($B355,master!$B$2:$S$595,12,0)</f>
        <v>BANTUL</v>
      </c>
      <c r="M355" s="46" t="str">
        <f>VLOOKUP($B355,master!$B$2:$S$595,6,0)</f>
        <v>RISWANTO</v>
      </c>
      <c r="N355" s="58" t="str">
        <f>VLOOKUP($B355,master!$B$2:$S$595,15,0)</f>
        <v>SMP N 3 BANTUL</v>
      </c>
      <c r="O355" s="58" t="str">
        <f>VLOOKUP($B355,master!$B$2:$S$595,4,0)</f>
        <v>16-04-2009</v>
      </c>
    </row>
    <row r="356" spans="1:15" ht="15.75" customHeight="1" x14ac:dyDescent="0.25">
      <c r="A356" s="56" t="s">
        <v>438</v>
      </c>
      <c r="B356" s="88" t="s">
        <v>2797</v>
      </c>
      <c r="C356" s="88" t="s">
        <v>4353</v>
      </c>
      <c r="D356" s="88" t="s">
        <v>2798</v>
      </c>
      <c r="E356" s="45" t="str">
        <f>VLOOKUP(D356,Total!$C$2:$D$439,2,0)</f>
        <v>10 TSM 2</v>
      </c>
      <c r="F356" s="45" t="str">
        <f>VLOOKUP(C356,Total!$B$2:$F$439,5,0)</f>
        <v>AKTIF</v>
      </c>
      <c r="G356" s="46" t="str">
        <f>VLOOKUP($B356,master!$B$2:$S$595,16,0)</f>
        <v>089651465666</v>
      </c>
      <c r="H356" s="46" t="str">
        <f>VLOOKUP($B356,master!$B$2:$S$595,17,0)</f>
        <v>089507185752</v>
      </c>
      <c r="I356" s="46" t="str">
        <f>VLOOKUP($B356,master!$B$2:$S$595,8,0)</f>
        <v>KEMBARAN</v>
      </c>
      <c r="J356" s="46" t="str">
        <f>VLOOKUP($B356,master!$B$2:$S$595,9,0)</f>
        <v>7</v>
      </c>
      <c r="K356" s="46" t="str">
        <f>VLOOKUP($B356,master!$B$2:$S$595,11,0)</f>
        <v>TAMANTIRTO</v>
      </c>
      <c r="L356" s="46" t="str">
        <f>VLOOKUP($B356,master!$B$2:$S$595,12,0)</f>
        <v>KASIHAN</v>
      </c>
      <c r="M356" s="46" t="str">
        <f>VLOOKUP($B356,master!$B$2:$S$595,6,0)</f>
        <v>SRI SUKARNI</v>
      </c>
      <c r="N356" s="58" t="str">
        <f>VLOOKUP($B356,master!$B$2:$S$595,15,0)</f>
        <v>SMP MUHAMMADIYAH KASIHAN</v>
      </c>
      <c r="O356" s="58" t="str">
        <f>VLOOKUP($B356,master!$B$2:$S$595,4,0)</f>
        <v>6-04-2009</v>
      </c>
    </row>
    <row r="357" spans="1:15" ht="15.75" customHeight="1" x14ac:dyDescent="0.25">
      <c r="A357" s="56" t="s">
        <v>439</v>
      </c>
      <c r="B357" s="88" t="s">
        <v>1415</v>
      </c>
      <c r="C357" s="88" t="s">
        <v>4354</v>
      </c>
      <c r="D357" s="88" t="s">
        <v>1416</v>
      </c>
      <c r="E357" s="45" t="str">
        <f>VLOOKUP(D357,Total!$C$2:$D$439,2,0)</f>
        <v>10 TSM 2</v>
      </c>
      <c r="F357" s="45" t="str">
        <f>VLOOKUP(C357,Total!$B$2:$F$439,5,0)</f>
        <v>AKTIF</v>
      </c>
      <c r="G357" s="46" t="str">
        <f>VLOOKUP($B357,master!$B$2:$S$595,16,0)</f>
        <v>088216099876</v>
      </c>
      <c r="H357" s="46" t="str">
        <f>VLOOKUP($B357,master!$B$2:$S$595,17,0)</f>
        <v>088216099876</v>
      </c>
      <c r="I357" s="46" t="str">
        <f>VLOOKUP($B357,master!$B$2:$S$595,8,0)</f>
        <v>KARANGGEDE</v>
      </c>
      <c r="J357" s="46" t="str">
        <f>VLOOKUP($B357,master!$B$2:$S$595,9,0)</f>
        <v>02</v>
      </c>
      <c r="K357" s="46" t="str">
        <f>VLOOKUP($B357,master!$B$2:$S$595,11,0)</f>
        <v>GILANGHARJO</v>
      </c>
      <c r="L357" s="46" t="str">
        <f>VLOOKUP($B357,master!$B$2:$S$595,12,0)</f>
        <v>PANDAK</v>
      </c>
      <c r="M357" s="46" t="str">
        <f>VLOOKUP($B357,master!$B$2:$S$595,6,0)</f>
        <v>ISWANTO</v>
      </c>
      <c r="N357" s="58" t="str">
        <f>VLOOKUP($B357,master!$B$2:$S$595,15,0)</f>
        <v>SMP N 4 PANDAK</v>
      </c>
      <c r="O357" s="58" t="str">
        <f>VLOOKUP($B357,master!$B$2:$S$595,4,0)</f>
        <v>22-12-2009</v>
      </c>
    </row>
    <row r="358" spans="1:15" ht="15.75" customHeight="1" x14ac:dyDescent="0.25">
      <c r="A358" s="56" t="s">
        <v>440</v>
      </c>
      <c r="B358" s="88" t="s">
        <v>1798</v>
      </c>
      <c r="C358" s="88" t="s">
        <v>4355</v>
      </c>
      <c r="D358" s="88" t="s">
        <v>1799</v>
      </c>
      <c r="E358" s="45" t="str">
        <f>VLOOKUP(D358,Total!$C$2:$D$439,2,0)</f>
        <v>10 TSM 2</v>
      </c>
      <c r="F358" s="45" t="str">
        <f>VLOOKUP(C358,Total!$B$2:$F$439,5,0)</f>
        <v>AKTIF</v>
      </c>
      <c r="G358" s="46" t="str">
        <f>VLOOKUP($B358,master!$B$2:$S$595,16,0)</f>
        <v>08813811337</v>
      </c>
      <c r="H358" s="46" t="str">
        <f>VLOOKUP($B358,master!$B$2:$S$595,17,0)</f>
        <v>089506885044</v>
      </c>
      <c r="I358" s="46" t="str">
        <f>VLOOKUP($B358,master!$B$2:$S$595,8,0)</f>
        <v>PELEMSEWU</v>
      </c>
      <c r="J358" s="46" t="str">
        <f>VLOOKUP($B358,master!$B$2:$S$595,9,0)</f>
        <v>4</v>
      </c>
      <c r="K358" s="46" t="str">
        <f>VLOOKUP($B358,master!$B$2:$S$595,11,0)</f>
        <v>PANGGUNGHARJO</v>
      </c>
      <c r="L358" s="46" t="str">
        <f>VLOOKUP($B358,master!$B$2:$S$595,12,0)</f>
        <v>SEWON</v>
      </c>
      <c r="M358" s="46" t="str">
        <f>VLOOKUP($B358,master!$B$2:$S$595,6,0)</f>
        <v>NUR KOMARIAH</v>
      </c>
      <c r="N358" s="58" t="str">
        <f>VLOOKUP($B358,master!$B$2:$S$595,15,0)</f>
        <v>SMP MATARAM KASIHAN</v>
      </c>
      <c r="O358" s="58" t="str">
        <f>VLOOKUP($B358,master!$B$2:$S$595,4,0)</f>
        <v>7-12-2009</v>
      </c>
    </row>
    <row r="359" spans="1:15" ht="15.75" customHeight="1" x14ac:dyDescent="0.25">
      <c r="A359" s="56" t="s">
        <v>441</v>
      </c>
      <c r="B359" s="88" t="s">
        <v>908</v>
      </c>
      <c r="C359" s="88" t="s">
        <v>4356</v>
      </c>
      <c r="D359" s="88" t="s">
        <v>909</v>
      </c>
      <c r="E359" s="45" t="str">
        <f>VLOOKUP(D359,Total!$C$2:$D$439,2,0)</f>
        <v>10 TSM 2</v>
      </c>
      <c r="F359" s="45" t="str">
        <f>VLOOKUP(C359,Total!$B$2:$F$439,5,0)</f>
        <v>AKTIF</v>
      </c>
      <c r="G359" s="46" t="str">
        <f>VLOOKUP($B359,master!$B$2:$S$595,16,0)</f>
        <v>0895402627339</v>
      </c>
      <c r="H359" s="46">
        <f>VLOOKUP($B359,master!$B$2:$S$595,17,0)</f>
        <v>0</v>
      </c>
      <c r="I359" s="46" t="str">
        <f>VLOOKUP($B359,master!$B$2:$S$595,8,0)</f>
        <v>KEMBANGGEDE</v>
      </c>
      <c r="J359" s="46" t="str">
        <f>VLOOKUP($B359,master!$B$2:$S$595,9,0)</f>
        <v>1</v>
      </c>
      <c r="K359" s="46" t="str">
        <f>VLOOKUP($B359,master!$B$2:$S$595,11,0)</f>
        <v>GUWOSARI</v>
      </c>
      <c r="L359" s="46" t="str">
        <f>VLOOKUP($B359,master!$B$2:$S$595,12,0)</f>
        <v>PAJANGAN</v>
      </c>
      <c r="M359" s="46" t="str">
        <f>VLOOKUP($B359,master!$B$2:$S$595,6,0)</f>
        <v>SUPRIYANTO</v>
      </c>
      <c r="N359" s="58" t="str">
        <f>VLOOKUP($B359,master!$B$2:$S$595,15,0)</f>
        <v>SMP N 1 PAJANGAN</v>
      </c>
      <c r="O359" s="58" t="str">
        <f>VLOOKUP($B359,master!$B$2:$S$595,4,0)</f>
        <v>11-10-2009</v>
      </c>
    </row>
    <row r="360" spans="1:15" ht="15.75" customHeight="1" x14ac:dyDescent="0.25">
      <c r="A360" s="56" t="s">
        <v>442</v>
      </c>
      <c r="B360" s="88" t="s">
        <v>1469</v>
      </c>
      <c r="C360" s="88" t="s">
        <v>4357</v>
      </c>
      <c r="D360" s="88" t="s">
        <v>1470</v>
      </c>
      <c r="E360" s="45" t="str">
        <f>VLOOKUP(D360,Total!$C$2:$D$439,2,0)</f>
        <v>10 TSM 2</v>
      </c>
      <c r="F360" s="45" t="str">
        <f>VLOOKUP(C360,Total!$B$2:$F$439,5,0)</f>
        <v>AKTIF</v>
      </c>
      <c r="G360" s="46" t="str">
        <f>VLOOKUP($B360,master!$B$2:$S$595,16,0)</f>
        <v>085766932322 / 085382742287</v>
      </c>
      <c r="H360" s="46" t="str">
        <f>VLOOKUP($B360,master!$B$2:$S$595,17,0)</f>
        <v>085768036618</v>
      </c>
      <c r="I360" s="46" t="str">
        <f>VLOOKUP($B360,master!$B$2:$S$595,8,0)</f>
        <v>Bantul Timur</v>
      </c>
      <c r="J360" s="46" t="str">
        <f>VLOOKUP($B360,master!$B$2:$S$595,9,0)</f>
        <v>5</v>
      </c>
      <c r="K360" s="46" t="str">
        <f>VLOOKUP($B360,master!$B$2:$S$595,11,0)</f>
        <v>TRIRENGGO</v>
      </c>
      <c r="L360" s="46" t="str">
        <f>VLOOKUP($B360,master!$B$2:$S$595,12,0)</f>
        <v>BANTUL</v>
      </c>
      <c r="M360" s="46" t="str">
        <f>VLOOKUP($B360,master!$B$2:$S$595,6,0)</f>
        <v>PURWANTO</v>
      </c>
      <c r="N360" s="58" t="str">
        <f>VLOOKUP($B360,master!$B$2:$S$595,15,0)</f>
        <v>SMP SABILILLAH MARGA BARU</v>
      </c>
      <c r="O360" s="58" t="str">
        <f>VLOOKUP($B360,master!$B$2:$S$595,4,0)</f>
        <v>26-04-2010</v>
      </c>
    </row>
    <row r="361" spans="1:15" ht="15.75" customHeight="1" x14ac:dyDescent="0.25">
      <c r="A361" s="56" t="s">
        <v>443</v>
      </c>
      <c r="B361" s="88" t="s">
        <v>1036</v>
      </c>
      <c r="C361" s="88" t="s">
        <v>4358</v>
      </c>
      <c r="D361" s="88" t="s">
        <v>1037</v>
      </c>
      <c r="E361" s="45" t="str">
        <f>VLOOKUP(D361,Total!$C$2:$D$439,2,0)</f>
        <v>10 TSM 2</v>
      </c>
      <c r="F361" s="45" t="str">
        <f>VLOOKUP(C361,Total!$B$2:$F$439,5,0)</f>
        <v>AKTIF</v>
      </c>
      <c r="G361" s="46" t="str">
        <f>VLOOKUP($B361,master!$B$2:$S$595,16,0)</f>
        <v>089504158383</v>
      </c>
      <c r="H361" s="46">
        <f>VLOOKUP($B361,master!$B$2:$S$595,17,0)</f>
        <v>0</v>
      </c>
      <c r="I361" s="46" t="str">
        <f>VLOOKUP($B361,master!$B$2:$S$595,8,0)</f>
        <v>SORONANGGAN</v>
      </c>
      <c r="J361" s="46" t="str">
        <f>VLOOKUP($B361,master!$B$2:$S$595,9,0)</f>
        <v>3</v>
      </c>
      <c r="K361" s="46" t="str">
        <f>VLOOKUP($B361,master!$B$2:$S$595,11,0)</f>
        <v>PANJANGREJO</v>
      </c>
      <c r="L361" s="46" t="str">
        <f>VLOOKUP($B361,master!$B$2:$S$595,12,0)</f>
        <v>PUNDONG</v>
      </c>
      <c r="M361" s="46" t="str">
        <f>VLOOKUP($B361,master!$B$2:$S$595,6,0)</f>
        <v>AGUS SETIAWAN</v>
      </c>
      <c r="N361" s="58" t="str">
        <f>VLOOKUP($B361,master!$B$2:$S$595,15,0)</f>
        <v>SMP N 1 PUNDONG</v>
      </c>
      <c r="O361" s="58" t="str">
        <f>VLOOKUP($B361,master!$B$2:$S$595,4,0)</f>
        <v>16-02-2009</v>
      </c>
    </row>
    <row r="362" spans="1:15" ht="15.75" customHeight="1" x14ac:dyDescent="0.25">
      <c r="A362" s="56" t="s">
        <v>444</v>
      </c>
      <c r="B362" s="88" t="s">
        <v>2518</v>
      </c>
      <c r="C362" s="88" t="s">
        <v>4359</v>
      </c>
      <c r="D362" s="88" t="s">
        <v>2519</v>
      </c>
      <c r="E362" s="45" t="str">
        <f>VLOOKUP(D362,Total!$C$2:$D$439,2,0)</f>
        <v>10 TSM 2</v>
      </c>
      <c r="F362" s="45" t="str">
        <f>VLOOKUP(C362,Total!$B$2:$F$439,5,0)</f>
        <v>AKTIF</v>
      </c>
      <c r="G362" s="46" t="str">
        <f>VLOOKUP($B362,master!$B$2:$S$595,16,0)</f>
        <v>085702514408</v>
      </c>
      <c r="H362" s="46" t="str">
        <f>VLOOKUP($B362,master!$B$2:$S$595,17,0)</f>
        <v>-</v>
      </c>
      <c r="I362" s="46" t="str">
        <f>VLOOKUP($B362,master!$B$2:$S$595,8,0)</f>
        <v>BOBOK</v>
      </c>
      <c r="J362" s="46" t="str">
        <f>VLOOKUP($B362,master!$B$2:$S$595,9,0)</f>
        <v>85</v>
      </c>
      <c r="K362" s="46" t="str">
        <f>VLOOKUP($B362,master!$B$2:$S$595,11,0)</f>
        <v>PATALAN</v>
      </c>
      <c r="L362" s="46" t="str">
        <f>VLOOKUP($B362,master!$B$2:$S$595,12,0)</f>
        <v>JETIS</v>
      </c>
      <c r="M362" s="46" t="str">
        <f>VLOOKUP($B362,master!$B$2:$S$595,6,0)</f>
        <v>SUKAMTO</v>
      </c>
      <c r="N362" s="58" t="str">
        <f>VLOOKUP($B362,master!$B$2:$S$595,15,0)</f>
        <v>SMP N 2 JETIS</v>
      </c>
      <c r="O362" s="58" t="str">
        <f>VLOOKUP($B362,master!$B$2:$S$595,4,0)</f>
        <v>13-09-2009</v>
      </c>
    </row>
    <row r="363" spans="1:15" ht="15.75" customHeight="1" x14ac:dyDescent="0.25">
      <c r="A363" s="56" t="s">
        <v>445</v>
      </c>
      <c r="B363" s="88" t="s">
        <v>3640</v>
      </c>
      <c r="C363" s="88" t="s">
        <v>4360</v>
      </c>
      <c r="D363" s="88" t="s">
        <v>3641</v>
      </c>
      <c r="E363" s="45" t="str">
        <f>VLOOKUP(D363,Total!$C$2:$D$439,2,0)</f>
        <v>10 TSM 2</v>
      </c>
      <c r="F363" s="45" t="str">
        <f>VLOOKUP(C363,Total!$B$2:$F$439,5,0)</f>
        <v>AKTIF</v>
      </c>
      <c r="G363" s="46" t="str">
        <f>VLOOKUP($B363,master!$B$2:$S$595,16,0)</f>
        <v>083870902363</v>
      </c>
      <c r="H363" s="46" t="str">
        <f>VLOOKUP($B363,master!$B$2:$S$595,17,0)</f>
        <v>083131677296</v>
      </c>
      <c r="I363" s="46" t="str">
        <f>VLOOKUP($B363,master!$B$2:$S$595,8,0)</f>
        <v>KEDATON</v>
      </c>
      <c r="J363" s="46" t="str">
        <f>VLOOKUP($B363,master!$B$2:$S$595,9,0)</f>
        <v>07</v>
      </c>
      <c r="K363" s="46" t="str">
        <f>VLOOKUP($B363,master!$B$2:$S$595,11,0)</f>
        <v>PLERET</v>
      </c>
      <c r="L363" s="46" t="str">
        <f>VLOOKUP($B363,master!$B$2:$S$595,12,0)</f>
        <v>PLERET</v>
      </c>
      <c r="M363" s="46" t="str">
        <f>VLOOKUP($B363,master!$B$2:$S$595,6,0)</f>
        <v>FERI KURNIAWAN</v>
      </c>
      <c r="N363" s="58" t="str">
        <f>VLOOKUP($B363,master!$B$2:$S$595,15,0)</f>
        <v>SMP N 2 PLERET</v>
      </c>
      <c r="O363" s="58" t="str">
        <f>VLOOKUP($B363,master!$B$2:$S$595,4,0)</f>
        <v>17-04-2009</v>
      </c>
    </row>
    <row r="364" spans="1:15" ht="15.75" customHeight="1" x14ac:dyDescent="0.25">
      <c r="A364" s="56" t="s">
        <v>446</v>
      </c>
      <c r="B364" s="88" t="s">
        <v>2438</v>
      </c>
      <c r="C364" s="88" t="s">
        <v>4361</v>
      </c>
      <c r="D364" s="88" t="s">
        <v>2439</v>
      </c>
      <c r="E364" s="45" t="str">
        <f>VLOOKUP(D364,Total!$C$2:$D$439,2,0)</f>
        <v>10 TSM 2</v>
      </c>
      <c r="F364" s="45" t="str">
        <f>VLOOKUP(C364,Total!$B$2:$F$439,5,0)</f>
        <v>AKTIF</v>
      </c>
      <c r="G364" s="46" t="str">
        <f>VLOOKUP($B364,master!$B$2:$S$595,16,0)</f>
        <v>083145682480</v>
      </c>
      <c r="H364" s="46" t="str">
        <f>VLOOKUP($B364,master!$B$2:$S$595,17,0)</f>
        <v>083842579521</v>
      </c>
      <c r="I364" s="46" t="str">
        <f>VLOOKUP($B364,master!$B$2:$S$595,8,0)</f>
        <v>PRIYAN</v>
      </c>
      <c r="J364" s="46" t="str">
        <f>VLOOKUP($B364,master!$B$2:$S$595,9,0)</f>
        <v>001</v>
      </c>
      <c r="K364" s="46" t="str">
        <f>VLOOKUP($B364,master!$B$2:$S$595,11,0)</f>
        <v>TRIRENGGO</v>
      </c>
      <c r="L364" s="46" t="str">
        <f>VLOOKUP($B364,master!$B$2:$S$595,12,0)</f>
        <v>BANTUL</v>
      </c>
      <c r="M364" s="46" t="str">
        <f>VLOOKUP($B364,master!$B$2:$S$595,6,0)</f>
        <v>Sarbini / Happy Nuruma Sulamit</v>
      </c>
      <c r="N364" s="58" t="str">
        <f>VLOOKUP($B364,master!$B$2:$S$595,15,0)</f>
        <v>SMP N 1 BANTUL</v>
      </c>
      <c r="O364" s="58" t="str">
        <f>VLOOKUP($B364,master!$B$2:$S$595,4,0)</f>
        <v>13-06-2010</v>
      </c>
    </row>
    <row r="365" spans="1:15" ht="15.75" customHeight="1" x14ac:dyDescent="0.25">
      <c r="A365" s="56" t="s">
        <v>447</v>
      </c>
      <c r="B365" s="88" t="s">
        <v>2047</v>
      </c>
      <c r="C365" s="88" t="s">
        <v>4362</v>
      </c>
      <c r="D365" s="88" t="s">
        <v>2048</v>
      </c>
      <c r="E365" s="45" t="str">
        <f>VLOOKUP(D365,Total!$C$2:$D$439,2,0)</f>
        <v>10 TSM 2</v>
      </c>
      <c r="F365" s="45" t="str">
        <f>VLOOKUP(C365,Total!$B$2:$F$439,5,0)</f>
        <v>AKTIF</v>
      </c>
      <c r="G365" s="46" t="str">
        <f>VLOOKUP($B365,master!$B$2:$S$595,16,0)</f>
        <v>081229440907</v>
      </c>
      <c r="H365" s="46" t="str">
        <f>VLOOKUP($B365,master!$B$2:$S$595,17,0)</f>
        <v>0895421827300</v>
      </c>
      <c r="I365" s="46" t="str">
        <f>VLOOKUP($B365,master!$B$2:$S$595,8,0)</f>
        <v>SOROPATEN</v>
      </c>
      <c r="J365" s="46" t="str">
        <f>VLOOKUP($B365,master!$B$2:$S$595,9,0)</f>
        <v>05</v>
      </c>
      <c r="K365" s="46" t="str">
        <f>VLOOKUP($B365,master!$B$2:$S$595,11,0)</f>
        <v>RINGINHARJO</v>
      </c>
      <c r="L365" s="46" t="str">
        <f>VLOOKUP($B365,master!$B$2:$S$595,12,0)</f>
        <v>BANTUL</v>
      </c>
      <c r="M365" s="46" t="str">
        <f>VLOOKUP($B365,master!$B$2:$S$595,6,0)</f>
        <v>Paryanti</v>
      </c>
      <c r="N365" s="58" t="str">
        <f>VLOOKUP($B365,master!$B$2:$S$595,15,0)</f>
        <v>SMP N 3 BANTUL</v>
      </c>
      <c r="O365" s="58" t="str">
        <f>VLOOKUP($B365,master!$B$2:$S$595,4,0)</f>
        <v>21-01-2009</v>
      </c>
    </row>
    <row r="366" spans="1:15" ht="15.75" customHeight="1" x14ac:dyDescent="0.25">
      <c r="A366" s="56" t="s">
        <v>448</v>
      </c>
      <c r="B366" s="88" t="s">
        <v>1731</v>
      </c>
      <c r="C366" s="88" t="s">
        <v>4363</v>
      </c>
      <c r="D366" s="88" t="s">
        <v>1732</v>
      </c>
      <c r="E366" s="45" t="str">
        <f>VLOOKUP(D366,Total!$C$2:$D$439,2,0)</f>
        <v>10 TSM 3</v>
      </c>
      <c r="F366" s="45" t="str">
        <f>VLOOKUP(C366,Total!$B$2:$F$439,5,0)</f>
        <v>AKTIF</v>
      </c>
      <c r="G366" s="46" t="str">
        <f>VLOOKUP($B366,master!$B$2:$S$595,16,0)</f>
        <v>0818261950</v>
      </c>
      <c r="H366" s="46" t="str">
        <f>VLOOKUP($B366,master!$B$2:$S$595,17,0)</f>
        <v>089527547796</v>
      </c>
      <c r="I366" s="46" t="str">
        <f>VLOOKUP($B366,master!$B$2:$S$595,8,0)</f>
        <v>PASUTAN</v>
      </c>
      <c r="J366" s="46" t="str">
        <f>VLOOKUP($B366,master!$B$2:$S$595,9,0)</f>
        <v>03</v>
      </c>
      <c r="K366" s="46" t="str">
        <f>VLOOKUP($B366,master!$B$2:$S$595,11,0)</f>
        <v>TRIRENGGO</v>
      </c>
      <c r="L366" s="46" t="str">
        <f>VLOOKUP($B366,master!$B$2:$S$595,12,0)</f>
        <v>BANTUL</v>
      </c>
      <c r="M366" s="46" t="str">
        <f>VLOOKUP($B366,master!$B$2:$S$595,6,0)</f>
        <v>Andri wahyudi</v>
      </c>
      <c r="N366" s="58" t="str">
        <f>VLOOKUP($B366,master!$B$2:$S$595,15,0)</f>
        <v>SMP N 3 BANTUL</v>
      </c>
      <c r="O366" s="58" t="str">
        <f>VLOOKUP($B366,master!$B$2:$S$595,4,0)</f>
        <v>15-11-2009</v>
      </c>
    </row>
    <row r="367" spans="1:15" ht="15.75" customHeight="1" x14ac:dyDescent="0.25">
      <c r="A367" s="56" t="s">
        <v>449</v>
      </c>
      <c r="B367" s="88" t="s">
        <v>2777</v>
      </c>
      <c r="C367" s="88" t="s">
        <v>4364</v>
      </c>
      <c r="D367" s="88" t="s">
        <v>2778</v>
      </c>
      <c r="E367" s="45" t="str">
        <f>VLOOKUP(D367,Total!$C$2:$D$439,2,0)</f>
        <v>10 TSM 3</v>
      </c>
      <c r="F367" s="45" t="str">
        <f>VLOOKUP(C367,Total!$B$2:$F$439,5,0)</f>
        <v>AKTIF</v>
      </c>
      <c r="G367" s="46" t="str">
        <f>VLOOKUP($B367,master!$B$2:$S$595,16,0)</f>
        <v>089508389477</v>
      </c>
      <c r="H367" s="46" t="str">
        <f>VLOOKUP($B367,master!$B$2:$S$595,17,0)</f>
        <v>0831911646078</v>
      </c>
      <c r="I367" s="46" t="str">
        <f>VLOOKUP($B367,master!$B$2:$S$595,8,0)</f>
        <v>JOMBORAN</v>
      </c>
      <c r="J367" s="46" t="str">
        <f>VLOOKUP($B367,master!$B$2:$S$595,9,0)</f>
        <v>02</v>
      </c>
      <c r="K367" s="46" t="str">
        <f>VLOOKUP($B367,master!$B$2:$S$595,11,0)</f>
        <v>GILANGHARJO</v>
      </c>
      <c r="L367" s="46" t="str">
        <f>VLOOKUP($B367,master!$B$2:$S$595,12,0)</f>
        <v>PANDAK</v>
      </c>
      <c r="M367" s="46" t="str">
        <f>VLOOKUP($B367,master!$B$2:$S$595,6,0)</f>
        <v>SITI KHOMARIYAH</v>
      </c>
      <c r="N367" s="58" t="str">
        <f>VLOOKUP($B367,master!$B$2:$S$595,15,0)</f>
        <v>SMP MUHAMMADIYAH BANTUL</v>
      </c>
      <c r="O367" s="58" t="str">
        <f>VLOOKUP($B367,master!$B$2:$S$595,4,0)</f>
        <v>22-02-2009</v>
      </c>
    </row>
    <row r="368" spans="1:15" ht="15.75" customHeight="1" x14ac:dyDescent="0.25">
      <c r="A368" s="56" t="s">
        <v>450</v>
      </c>
      <c r="B368" s="88" t="s">
        <v>937</v>
      </c>
      <c r="C368" s="88" t="s">
        <v>4365</v>
      </c>
      <c r="D368" s="88" t="s">
        <v>938</v>
      </c>
      <c r="E368" s="45" t="str">
        <f>VLOOKUP(D368,Total!$C$2:$D$439,2,0)</f>
        <v>10 TSM 3</v>
      </c>
      <c r="F368" s="45" t="str">
        <f>VLOOKUP(C368,Total!$B$2:$F$439,5,0)</f>
        <v>AKTIF</v>
      </c>
      <c r="G368" s="46" t="str">
        <f>VLOOKUP($B368,master!$B$2:$S$595,16,0)</f>
        <v>08975923676</v>
      </c>
      <c r="H368" s="46">
        <f>VLOOKUP($B368,master!$B$2:$S$595,17,0)</f>
        <v>0</v>
      </c>
      <c r="I368" s="46" t="str">
        <f>VLOOKUP($B368,master!$B$2:$S$595,8,0)</f>
        <v>NOGOSARI, KREKAH</v>
      </c>
      <c r="J368" s="46" t="str">
        <f>VLOOKUP($B368,master!$B$2:$S$595,9,0)</f>
        <v>7</v>
      </c>
      <c r="K368" s="46" t="str">
        <f>VLOOKUP($B368,master!$B$2:$S$595,11,0)</f>
        <v>GILANGHARJO</v>
      </c>
      <c r="L368" s="46" t="str">
        <f>VLOOKUP($B368,master!$B$2:$S$595,12,0)</f>
        <v>PANDAK</v>
      </c>
      <c r="M368" s="46" t="str">
        <f>VLOOKUP($B368,master!$B$2:$S$595,6,0)</f>
        <v>TARNO</v>
      </c>
      <c r="N368" s="58" t="str">
        <f>VLOOKUP($B368,master!$B$2:$S$595,15,0)</f>
        <v>SMP MUHAMMADIYAH 1 BAMBANGLIPURO</v>
      </c>
      <c r="O368" s="58" t="str">
        <f>VLOOKUP($B368,master!$B$2:$S$595,4,0)</f>
        <v>11-04-2009</v>
      </c>
    </row>
    <row r="369" spans="1:15" ht="15.75" customHeight="1" x14ac:dyDescent="0.25">
      <c r="A369" s="56" t="s">
        <v>451</v>
      </c>
      <c r="B369" s="88" t="s">
        <v>3424</v>
      </c>
      <c r="C369" s="88" t="s">
        <v>4366</v>
      </c>
      <c r="D369" s="88" t="s">
        <v>3425</v>
      </c>
      <c r="E369" s="45" t="str">
        <f>VLOOKUP(D369,Total!$C$2:$D$439,2,0)</f>
        <v>10 TSM 3</v>
      </c>
      <c r="F369" s="45" t="str">
        <f>VLOOKUP(C369,Total!$B$2:$F$439,5,0)</f>
        <v>AKTIF</v>
      </c>
      <c r="G369" s="46" t="str">
        <f>VLOOKUP($B369,master!$B$2:$S$595,16,0)</f>
        <v>082134927594</v>
      </c>
      <c r="H369" s="46" t="str">
        <f>VLOOKUP($B369,master!$B$2:$S$595,17,0)</f>
        <v>082134927594</v>
      </c>
      <c r="I369" s="46" t="str">
        <f>VLOOKUP($B369,master!$B$2:$S$595,8,0)</f>
        <v>KWALANGAN</v>
      </c>
      <c r="J369" s="46" t="str">
        <f>VLOOKUP($B369,master!$B$2:$S$595,9,0)</f>
        <v>2</v>
      </c>
      <c r="K369" s="46" t="str">
        <f>VLOOKUP($B369,master!$B$2:$S$595,11,0)</f>
        <v>WIJIREJO</v>
      </c>
      <c r="L369" s="46" t="str">
        <f>VLOOKUP($B369,master!$B$2:$S$595,12,0)</f>
        <v>PANDAK</v>
      </c>
      <c r="M369" s="46" t="str">
        <f>VLOOKUP($B369,master!$B$2:$S$595,6,0)</f>
        <v>SUGIYANA</v>
      </c>
      <c r="N369" s="58" t="str">
        <f>VLOOKUP($B369,master!$B$2:$S$595,15,0)</f>
        <v>SMP N 4 PANDAK</v>
      </c>
      <c r="O369" s="58" t="str">
        <f>VLOOKUP($B369,master!$B$2:$S$595,4,0)</f>
        <v>8-11-2009</v>
      </c>
    </row>
    <row r="370" spans="1:15" ht="15.75" customHeight="1" x14ac:dyDescent="0.25">
      <c r="A370" s="56" t="s">
        <v>452</v>
      </c>
      <c r="B370" s="88" t="s">
        <v>3130</v>
      </c>
      <c r="C370" s="88" t="s">
        <v>4367</v>
      </c>
      <c r="D370" s="88" t="s">
        <v>3131</v>
      </c>
      <c r="E370" s="45" t="str">
        <f>VLOOKUP(D370,Total!$C$2:$D$439,2,0)</f>
        <v>10 TSM 3</v>
      </c>
      <c r="F370" s="45" t="str">
        <f>VLOOKUP(C370,Total!$B$2:$F$439,5,0)</f>
        <v>AKTIF</v>
      </c>
      <c r="G370" s="46" t="str">
        <f>VLOOKUP($B370,master!$B$2:$S$595,16,0)</f>
        <v>088221527721</v>
      </c>
      <c r="H370" s="46" t="str">
        <f>VLOOKUP($B370,master!$B$2:$S$595,17,0)</f>
        <v>088221527721</v>
      </c>
      <c r="I370" s="46" t="str">
        <f>VLOOKUP($B370,master!$B$2:$S$595,8,0)</f>
        <v>SRIBITAN</v>
      </c>
      <c r="J370" s="46" t="str">
        <f>VLOOKUP($B370,master!$B$2:$S$595,9,0)</f>
        <v>01</v>
      </c>
      <c r="K370" s="46" t="str">
        <f>VLOOKUP($B370,master!$B$2:$S$595,11,0)</f>
        <v>BANGUNJIWO</v>
      </c>
      <c r="L370" s="46" t="str">
        <f>VLOOKUP($B370,master!$B$2:$S$595,12,0)</f>
        <v>KASIHAN</v>
      </c>
      <c r="M370" s="46" t="str">
        <f>VLOOKUP($B370,master!$B$2:$S$595,6,0)</f>
        <v>YULI FITRIA</v>
      </c>
      <c r="N370" s="58" t="str">
        <f>VLOOKUP($B370,master!$B$2:$S$595,15,0)</f>
        <v>SMP MUHAMMADIYAH KASIHAN</v>
      </c>
      <c r="O370" s="58" t="str">
        <f>VLOOKUP($B370,master!$B$2:$S$595,4,0)</f>
        <v>14-04-2008</v>
      </c>
    </row>
    <row r="371" spans="1:15" ht="15.75" customHeight="1" x14ac:dyDescent="0.25">
      <c r="A371" s="56" t="s">
        <v>453</v>
      </c>
      <c r="B371" s="88" t="s">
        <v>3512</v>
      </c>
      <c r="C371" s="88" t="s">
        <v>4368</v>
      </c>
      <c r="D371" s="88" t="s">
        <v>3513</v>
      </c>
      <c r="E371" s="45" t="str">
        <f>VLOOKUP(D371,Total!$C$2:$D$439,2,0)</f>
        <v>10 TSM 3</v>
      </c>
      <c r="F371" s="45" t="str">
        <f>VLOOKUP(C371,Total!$B$2:$F$439,5,0)</f>
        <v>AKTIF</v>
      </c>
      <c r="G371" s="46" t="str">
        <f>VLOOKUP($B371,master!$B$2:$S$595,16,0)</f>
        <v>087839555940</v>
      </c>
      <c r="H371" s="46" t="str">
        <f>VLOOKUP($B371,master!$B$2:$S$595,17,0)</f>
        <v>08998418924</v>
      </c>
      <c r="I371" s="46" t="str">
        <f>VLOOKUP($B371,master!$B$2:$S$595,8,0)</f>
        <v>NGAMBAH</v>
      </c>
      <c r="J371" s="46" t="str">
        <f>VLOOKUP($B371,master!$B$2:$S$595,9,0)</f>
        <v>04</v>
      </c>
      <c r="K371" s="46" t="str">
        <f>VLOOKUP($B371,master!$B$2:$S$595,11,0)</f>
        <v>MULYODADI</v>
      </c>
      <c r="L371" s="46" t="str">
        <f>VLOOKUP($B371,master!$B$2:$S$595,12,0)</f>
        <v>BAMBANGLIPURO</v>
      </c>
      <c r="M371" s="46" t="str">
        <f>VLOOKUP($B371,master!$B$2:$S$595,6,0)</f>
        <v>Nita Yulida</v>
      </c>
      <c r="N371" s="58" t="str">
        <f>VLOOKUP($B371,master!$B$2:$S$595,15,0)</f>
        <v>SMP MUHAMMADIYAH 1 BAMBANGLIPURO</v>
      </c>
      <c r="O371" s="58" t="str">
        <f>VLOOKUP($B371,master!$B$2:$S$595,4,0)</f>
        <v>7-09-2009</v>
      </c>
    </row>
    <row r="372" spans="1:15" ht="15.75" customHeight="1" x14ac:dyDescent="0.25">
      <c r="A372" s="56" t="s">
        <v>454</v>
      </c>
      <c r="B372" s="88" t="s">
        <v>1384</v>
      </c>
      <c r="C372" s="88" t="s">
        <v>4369</v>
      </c>
      <c r="D372" s="88" t="s">
        <v>1385</v>
      </c>
      <c r="E372" s="45" t="str">
        <f>VLOOKUP(D372,Total!$C$2:$D$439,2,0)</f>
        <v>10 TSM 3</v>
      </c>
      <c r="F372" s="45" t="str">
        <f>VLOOKUP(C372,Total!$B$2:$F$439,5,0)</f>
        <v>AKTIF</v>
      </c>
      <c r="G372" s="46" t="str">
        <f>VLOOKUP($B372,master!$B$2:$S$595,16,0)</f>
        <v>085643204648</v>
      </c>
      <c r="H372" s="46" t="str">
        <f>VLOOKUP($B372,master!$B$2:$S$595,17,0)</f>
        <v>085728034036</v>
      </c>
      <c r="I372" s="46" t="str">
        <f>VLOOKUP($B372,master!$B$2:$S$595,8,0)</f>
        <v>JETIS</v>
      </c>
      <c r="J372" s="46" t="str">
        <f>VLOOKUP($B372,master!$B$2:$S$595,9,0)</f>
        <v>1</v>
      </c>
      <c r="K372" s="46" t="str">
        <f>VLOOKUP($B372,master!$B$2:$S$595,11,0)</f>
        <v>TAMANTIRTO</v>
      </c>
      <c r="L372" s="46" t="str">
        <f>VLOOKUP($B372,master!$B$2:$S$595,12,0)</f>
        <v>KASIHAN</v>
      </c>
      <c r="M372" s="46" t="str">
        <f>VLOOKUP($B372,master!$B$2:$S$595,6,0)</f>
        <v>DEDHY DEWA PRASETYA</v>
      </c>
      <c r="N372" s="58" t="str">
        <f>VLOOKUP($B372,master!$B$2:$S$595,15,0)</f>
        <v>SMP MATARAM KASIHAN</v>
      </c>
      <c r="O372" s="58" t="str">
        <f>VLOOKUP($B372,master!$B$2:$S$595,4,0)</f>
        <v>29-09-2009</v>
      </c>
    </row>
    <row r="373" spans="1:15" ht="15.75" customHeight="1" x14ac:dyDescent="0.25">
      <c r="A373" s="56" t="s">
        <v>455</v>
      </c>
      <c r="B373" s="88" t="s">
        <v>1243</v>
      </c>
      <c r="C373" s="88" t="s">
        <v>4370</v>
      </c>
      <c r="D373" s="88" t="s">
        <v>1244</v>
      </c>
      <c r="E373" s="45" t="str">
        <f>VLOOKUP(D373,Total!$C$2:$D$439,2,0)</f>
        <v>10 TSM 3</v>
      </c>
      <c r="F373" s="45" t="str">
        <f>VLOOKUP(C373,Total!$B$2:$F$439,5,0)</f>
        <v>AKTIF</v>
      </c>
      <c r="G373" s="46" t="str">
        <f>VLOOKUP($B373,master!$B$2:$S$595,16,0)</f>
        <v>087739447622</v>
      </c>
      <c r="H373" s="46" t="str">
        <f>VLOOKUP($B373,master!$B$2:$S$595,17,0)</f>
        <v>083813731414</v>
      </c>
      <c r="I373" s="46" t="str">
        <f>VLOOKUP($B373,master!$B$2:$S$595,8,0)</f>
        <v>NOGOSARI</v>
      </c>
      <c r="J373" s="46" t="str">
        <f>VLOOKUP($B373,master!$B$2:$S$595,9,0)</f>
        <v>3</v>
      </c>
      <c r="K373" s="46" t="str">
        <f>VLOOKUP($B373,master!$B$2:$S$595,11,0)</f>
        <v>TRIRENGGO</v>
      </c>
      <c r="L373" s="46" t="str">
        <f>VLOOKUP($B373,master!$B$2:$S$595,12,0)</f>
        <v>BANTUL</v>
      </c>
      <c r="M373" s="46" t="str">
        <f>VLOOKUP($B373,master!$B$2:$S$595,6,0)</f>
        <v>nOVI</v>
      </c>
      <c r="N373" s="58" t="str">
        <f>VLOOKUP($B373,master!$B$2:$S$595,15,0)</f>
        <v>SMP MUHAMMADIYAH BANTUL</v>
      </c>
      <c r="O373" s="58" t="str">
        <f>VLOOKUP($B373,master!$B$2:$S$595,4,0)</f>
        <v>3-06-2010</v>
      </c>
    </row>
    <row r="374" spans="1:15" ht="15.75" customHeight="1" x14ac:dyDescent="0.25">
      <c r="A374" s="56" t="s">
        <v>456</v>
      </c>
      <c r="B374" s="88" t="s">
        <v>3731</v>
      </c>
      <c r="C374" s="88" t="s">
        <v>4371</v>
      </c>
      <c r="D374" s="88" t="s">
        <v>3732</v>
      </c>
      <c r="E374" s="45" t="str">
        <f>VLOOKUP(D374,Total!$C$2:$D$439,2,0)</f>
        <v>10 TSM 3</v>
      </c>
      <c r="F374" s="45" t="str">
        <f>VLOOKUP(C374,Total!$B$2:$F$439,5,0)</f>
        <v>AKTIF</v>
      </c>
      <c r="G374" s="46" t="str">
        <f>VLOOKUP($B374,master!$B$2:$S$595,16,0)</f>
        <v>0895418207766</v>
      </c>
      <c r="H374" s="46" t="str">
        <f>VLOOKUP($B374,master!$B$2:$S$595,17,0)</f>
        <v>0895418207766</v>
      </c>
      <c r="I374" s="46" t="str">
        <f>VLOOKUP($B374,master!$B$2:$S$595,8,0)</f>
        <v>CANDRAN</v>
      </c>
      <c r="J374" s="46" t="str">
        <f>VLOOKUP($B374,master!$B$2:$S$595,9,0)</f>
        <v>05</v>
      </c>
      <c r="K374" s="46" t="str">
        <f>VLOOKUP($B374,master!$B$2:$S$595,11,0)</f>
        <v>PANGGUNGHARJO</v>
      </c>
      <c r="L374" s="46" t="str">
        <f>VLOOKUP($B374,master!$B$2:$S$595,12,0)</f>
        <v>SEWON</v>
      </c>
      <c r="M374" s="46" t="str">
        <f>VLOOKUP($B374,master!$B$2:$S$595,6,0)</f>
        <v>SUSWANDARI</v>
      </c>
      <c r="N374" s="58" t="str">
        <f>VLOOKUP($B374,master!$B$2:$S$595,15,0)</f>
        <v>MTS N 1 BANTUL</v>
      </c>
      <c r="O374" s="58" t="str">
        <f>VLOOKUP($B374,master!$B$2:$S$595,4,0)</f>
        <v>17-03-2010</v>
      </c>
    </row>
    <row r="375" spans="1:15" ht="15.75" customHeight="1" x14ac:dyDescent="0.25">
      <c r="A375" s="56" t="s">
        <v>457</v>
      </c>
      <c r="B375" s="88" t="s">
        <v>1987</v>
      </c>
      <c r="C375" s="88" t="s">
        <v>4372</v>
      </c>
      <c r="D375" s="88" t="s">
        <v>1988</v>
      </c>
      <c r="E375" s="45" t="str">
        <f>VLOOKUP(D375,Total!$C$2:$D$439,2,0)</f>
        <v>10 TSM 3</v>
      </c>
      <c r="F375" s="45" t="str">
        <f>VLOOKUP(C375,Total!$B$2:$F$439,5,0)</f>
        <v>AKTIF</v>
      </c>
      <c r="G375" s="46" t="str">
        <f>VLOOKUP($B375,master!$B$2:$S$595,16,0)</f>
        <v>089673857333</v>
      </c>
      <c r="H375" s="46" t="str">
        <f>VLOOKUP($B375,master!$B$2:$S$595,17,0)</f>
        <v>089612623053</v>
      </c>
      <c r="I375" s="46" t="str">
        <f>VLOOKUP($B375,master!$B$2:$S$595,8,0)</f>
        <v>KEDATON</v>
      </c>
      <c r="J375" s="46" t="str">
        <f>VLOOKUP($B375,master!$B$2:$S$595,9,0)</f>
        <v>02</v>
      </c>
      <c r="K375" s="46" t="str">
        <f>VLOOKUP($B375,master!$B$2:$S$595,11,0)</f>
        <v>PLERET</v>
      </c>
      <c r="L375" s="46" t="str">
        <f>VLOOKUP($B375,master!$B$2:$S$595,12,0)</f>
        <v>PLERET</v>
      </c>
      <c r="M375" s="46" t="str">
        <f>VLOOKUP($B375,master!$B$2:$S$595,6,0)</f>
        <v>Azis nurwanto</v>
      </c>
      <c r="N375" s="58" t="str">
        <f>VLOOKUP($B375,master!$B$2:$S$595,15,0)</f>
        <v>SMP N 2 PLERET</v>
      </c>
      <c r="O375" s="58" t="str">
        <f>VLOOKUP($B375,master!$B$2:$S$595,4,0)</f>
        <v>18-03-2009</v>
      </c>
    </row>
    <row r="376" spans="1:15" ht="15.75" customHeight="1" x14ac:dyDescent="0.25">
      <c r="A376" s="56" t="s">
        <v>458</v>
      </c>
      <c r="B376" s="88" t="s">
        <v>2648</v>
      </c>
      <c r="C376" s="88" t="s">
        <v>4373</v>
      </c>
      <c r="D376" s="88" t="s">
        <v>2649</v>
      </c>
      <c r="E376" s="45" t="str">
        <f>VLOOKUP(D376,Total!$C$2:$D$439,2,0)</f>
        <v>10 TSM 3</v>
      </c>
      <c r="F376" s="45" t="str">
        <f>VLOOKUP(C376,Total!$B$2:$F$439,5,0)</f>
        <v>AKTIF</v>
      </c>
      <c r="G376" s="46" t="str">
        <f>VLOOKUP($B376,master!$B$2:$S$595,16,0)</f>
        <v>089531070118</v>
      </c>
      <c r="H376" s="46" t="str">
        <f>VLOOKUP($B376,master!$B$2:$S$595,17,0)</f>
        <v>085363496735</v>
      </c>
      <c r="I376" s="46" t="str">
        <f>VLOOKUP($B376,master!$B$2:$S$595,8,0)</f>
        <v>GONJEN</v>
      </c>
      <c r="J376" s="46" t="str">
        <f>VLOOKUP($B376,master!$B$2:$S$595,9,0)</f>
        <v>07</v>
      </c>
      <c r="K376" s="46" t="str">
        <f>VLOOKUP($B376,master!$B$2:$S$595,11,0)</f>
        <v>TAMANTIRTO</v>
      </c>
      <c r="L376" s="46" t="str">
        <f>VLOOKUP($B376,master!$B$2:$S$595,12,0)</f>
        <v>KASIHAN</v>
      </c>
      <c r="M376" s="46" t="str">
        <f>VLOOKUP($B376,master!$B$2:$S$595,6,0)</f>
        <v>SURANTO</v>
      </c>
      <c r="N376" s="58" t="str">
        <f>VLOOKUP($B376,master!$B$2:$S$595,15,0)</f>
        <v>SMP MATARAM KASIHAN</v>
      </c>
      <c r="O376" s="58" t="str">
        <f>VLOOKUP($B376,master!$B$2:$S$595,4,0)</f>
        <v>7-04-2009</v>
      </c>
    </row>
    <row r="377" spans="1:15" ht="15.75" customHeight="1" x14ac:dyDescent="0.25">
      <c r="A377" s="56" t="s">
        <v>459</v>
      </c>
      <c r="B377" s="88" t="s">
        <v>1668</v>
      </c>
      <c r="C377" s="88" t="s">
        <v>4374</v>
      </c>
      <c r="D377" s="88" t="s">
        <v>1669</v>
      </c>
      <c r="E377" s="45" t="str">
        <f>VLOOKUP(D377,Total!$C$2:$D$439,2,0)</f>
        <v>10 TSM 3</v>
      </c>
      <c r="F377" s="45" t="str">
        <f>VLOOKUP(C377,Total!$B$2:$F$439,5,0)</f>
        <v>AKTIF</v>
      </c>
      <c r="G377" s="46" t="str">
        <f>VLOOKUP($B377,master!$B$2:$S$595,16,0)</f>
        <v>089606777039</v>
      </c>
      <c r="H377" s="46" t="str">
        <f>VLOOKUP($B377,master!$B$2:$S$595,17,0)</f>
        <v>0895403149292</v>
      </c>
      <c r="I377" s="46" t="str">
        <f>VLOOKUP($B377,master!$B$2:$S$595,8,0)</f>
        <v>KEMBANG</v>
      </c>
      <c r="J377" s="46" t="str">
        <f>VLOOKUP($B377,master!$B$2:$S$595,9,0)</f>
        <v>5</v>
      </c>
      <c r="K377" s="46" t="str">
        <f>VLOOKUP($B377,master!$B$2:$S$595,11,0)</f>
        <v>BANGUNJIWO</v>
      </c>
      <c r="L377" s="46" t="str">
        <f>VLOOKUP($B377,master!$B$2:$S$595,12,0)</f>
        <v>KASIHAN</v>
      </c>
      <c r="M377" s="46" t="str">
        <f>VLOOKUP($B377,master!$B$2:$S$595,6,0)</f>
        <v>SUPRIYADI</v>
      </c>
      <c r="N377" s="58" t="str">
        <f>VLOOKUP($B377,master!$B$2:$S$595,15,0)</f>
        <v>SMP MUHAMMADIYAH KASIHAN</v>
      </c>
      <c r="O377" s="58" t="str">
        <f>VLOOKUP($B377,master!$B$2:$S$595,4,0)</f>
        <v>20-12-2009</v>
      </c>
    </row>
    <row r="378" spans="1:15" ht="15.75" customHeight="1" x14ac:dyDescent="0.25">
      <c r="A378" s="56" t="s">
        <v>460</v>
      </c>
      <c r="B378" s="88" t="s">
        <v>1559</v>
      </c>
      <c r="C378" s="88" t="s">
        <v>4375</v>
      </c>
      <c r="D378" s="88" t="s">
        <v>1560</v>
      </c>
      <c r="E378" s="45" t="str">
        <f>VLOOKUP(D378,Total!$C$2:$D$439,2,0)</f>
        <v>10 TSM 3</v>
      </c>
      <c r="F378" s="45" t="str">
        <f>VLOOKUP(C378,Total!$B$2:$F$439,5,0)</f>
        <v>AKTIF</v>
      </c>
      <c r="G378" s="46" t="str">
        <f>VLOOKUP($B378,master!$B$2:$S$595,16,0)</f>
        <v>081215818261</v>
      </c>
      <c r="H378" s="46" t="str">
        <f>VLOOKUP($B378,master!$B$2:$S$595,17,0)</f>
        <v>083123959756</v>
      </c>
      <c r="I378" s="46" t="str">
        <f>VLOOKUP($B378,master!$B$2:$S$595,8,0)</f>
        <v>MRIYAN</v>
      </c>
      <c r="J378" s="46" t="str">
        <f>VLOOKUP($B378,master!$B$2:$S$595,9,0)</f>
        <v>66</v>
      </c>
      <c r="K378" s="46" t="str">
        <f>VLOOKUP($B378,master!$B$2:$S$595,11,0)</f>
        <v>DONOTIRTO</v>
      </c>
      <c r="L378" s="46" t="str">
        <f>VLOOKUP($B378,master!$B$2:$S$595,12,0)</f>
        <v>KRETEK</v>
      </c>
      <c r="M378" s="46" t="str">
        <f>VLOOKUP($B378,master!$B$2:$S$595,6,0)</f>
        <v>NGADINA</v>
      </c>
      <c r="N378" s="58" t="str">
        <f>VLOOKUP($B378,master!$B$2:$S$595,15,0)</f>
        <v>SMP N 1 KRETEK</v>
      </c>
      <c r="O378" s="58" t="str">
        <f>VLOOKUP($B378,master!$B$2:$S$595,4,0)</f>
        <v>20-02-2009</v>
      </c>
    </row>
    <row r="379" spans="1:15" ht="15.75" customHeight="1" x14ac:dyDescent="0.25">
      <c r="A379" s="56" t="s">
        <v>461</v>
      </c>
      <c r="B379" s="88" t="s">
        <v>2142</v>
      </c>
      <c r="C379" s="88" t="s">
        <v>4376</v>
      </c>
      <c r="D379" s="88" t="s">
        <v>2143</v>
      </c>
      <c r="E379" s="45" t="str">
        <f>VLOOKUP(D379,Total!$C$2:$D$439,2,0)</f>
        <v>10 TSM 3</v>
      </c>
      <c r="F379" s="45" t="str">
        <f>VLOOKUP(C379,Total!$B$2:$F$439,5,0)</f>
        <v>AKTIF</v>
      </c>
      <c r="G379" s="46" t="str">
        <f>VLOOKUP($B379,master!$B$2:$S$595,16,0)</f>
        <v>087888300448</v>
      </c>
      <c r="H379" s="46" t="str">
        <f>VLOOKUP($B379,master!$B$2:$S$595,17,0)</f>
        <v>087730769497</v>
      </c>
      <c r="I379" s="46" t="str">
        <f>VLOOKUP($B379,master!$B$2:$S$595,8,0)</f>
        <v>KALIRANDU</v>
      </c>
      <c r="J379" s="46" t="str">
        <f>VLOOKUP($B379,master!$B$2:$S$595,9,0)</f>
        <v>00</v>
      </c>
      <c r="K379" s="46" t="str">
        <f>VLOOKUP($B379,master!$B$2:$S$595,11,0)</f>
        <v>BANGUNJIWO</v>
      </c>
      <c r="L379" s="46" t="str">
        <f>VLOOKUP($B379,master!$B$2:$S$595,12,0)</f>
        <v>KASIHAN</v>
      </c>
      <c r="M379" s="46" t="str">
        <f>VLOOKUP($B379,master!$B$2:$S$595,6,0)</f>
        <v>Mugiono</v>
      </c>
      <c r="N379" s="58" t="str">
        <f>VLOOKUP($B379,master!$B$2:$S$595,15,0)</f>
        <v>UPT SMP N 1 AMBARAWA</v>
      </c>
      <c r="O379" s="58" t="str">
        <f>VLOOKUP($B379,master!$B$2:$S$595,4,0)</f>
        <v>23-08-2009</v>
      </c>
    </row>
    <row r="380" spans="1:15" ht="15.75" customHeight="1" x14ac:dyDescent="0.25">
      <c r="A380" s="56" t="s">
        <v>462</v>
      </c>
      <c r="B380" s="88" t="s">
        <v>3082</v>
      </c>
      <c r="C380" s="88" t="s">
        <v>4377</v>
      </c>
      <c r="D380" s="88" t="s">
        <v>3083</v>
      </c>
      <c r="E380" s="45" t="str">
        <f>VLOOKUP(D380,Total!$C$2:$D$439,2,0)</f>
        <v>10 TSM 3</v>
      </c>
      <c r="F380" s="45" t="str">
        <f>VLOOKUP(C380,Total!$B$2:$F$439,5,0)</f>
        <v>AKTIF</v>
      </c>
      <c r="G380" s="46" t="str">
        <f>VLOOKUP($B380,master!$B$2:$S$595,16,0)</f>
        <v>081578029774</v>
      </c>
      <c r="H380" s="46" t="str">
        <f>VLOOKUP($B380,master!$B$2:$S$595,17,0)</f>
        <v>082221283451</v>
      </c>
      <c r="I380" s="46" t="str">
        <f>VLOOKUP($B380,master!$B$2:$S$595,8,0)</f>
        <v>KEMASAN</v>
      </c>
      <c r="J380" s="46" t="str">
        <f>VLOOKUP($B380,master!$B$2:$S$595,9,0)</f>
        <v>06</v>
      </c>
      <c r="K380" s="46" t="str">
        <f>VLOOKUP($B380,master!$B$2:$S$595,11,0)</f>
        <v>KARANGTENGAH</v>
      </c>
      <c r="L380" s="46" t="str">
        <f>VLOOKUP($B380,master!$B$2:$S$595,12,0)</f>
        <v>IMOGIRI</v>
      </c>
      <c r="M380" s="46" t="str">
        <f>VLOOKUP($B380,master!$B$2:$S$595,6,0)</f>
        <v>MULYONO</v>
      </c>
      <c r="N380" s="58" t="str">
        <f>VLOOKUP($B380,master!$B$2:$S$595,15,0)</f>
        <v>SMP N 1 IMOGIRI</v>
      </c>
      <c r="O380" s="58" t="str">
        <f>VLOOKUP($B380,master!$B$2:$S$595,4,0)</f>
        <v>30-10-2009</v>
      </c>
    </row>
    <row r="381" spans="1:15" ht="15.75" customHeight="1" x14ac:dyDescent="0.25">
      <c r="A381" s="56" t="s">
        <v>463</v>
      </c>
      <c r="B381" s="88" t="s">
        <v>3414</v>
      </c>
      <c r="C381" s="88" t="s">
        <v>4378</v>
      </c>
      <c r="D381" s="88" t="s">
        <v>3415</v>
      </c>
      <c r="E381" s="45" t="str">
        <f>VLOOKUP(D381,Total!$C$2:$D$439,2,0)</f>
        <v>10 TSM 3</v>
      </c>
      <c r="F381" s="45" t="str">
        <f>VLOOKUP(C381,Total!$B$2:$F$439,5,0)</f>
        <v>AKTIF</v>
      </c>
      <c r="G381" s="46" t="str">
        <f>VLOOKUP($B381,master!$B$2:$S$595,16,0)</f>
        <v>0895353740009</v>
      </c>
      <c r="H381" s="46" t="str">
        <f>VLOOKUP($B381,master!$B$2:$S$595,17,0)</f>
        <v>089505976788</v>
      </c>
      <c r="I381" s="46" t="str">
        <f>VLOOKUP($B381,master!$B$2:$S$595,8,0)</f>
        <v>NOGOSARI II</v>
      </c>
      <c r="J381" s="46" t="str">
        <f>VLOOKUP($B381,master!$B$2:$S$595,9,0)</f>
        <v>010</v>
      </c>
      <c r="K381" s="46" t="str">
        <f>VLOOKUP($B381,master!$B$2:$S$595,11,0)</f>
        <v>WUKIRSARI</v>
      </c>
      <c r="L381" s="46" t="str">
        <f>VLOOKUP($B381,master!$B$2:$S$595,12,0)</f>
        <v>IMOGIRI</v>
      </c>
      <c r="M381" s="46" t="str">
        <f>VLOOKUP($B381,master!$B$2:$S$595,6,0)</f>
        <v>SOKIJAN</v>
      </c>
      <c r="N381" s="58" t="str">
        <f>VLOOKUP($B381,master!$B$2:$S$595,15,0)</f>
        <v>SMP N 1 IMOGIRI</v>
      </c>
      <c r="O381" s="58" t="str">
        <f>VLOOKUP($B381,master!$B$2:$S$595,4,0)</f>
        <v>2-07-2009</v>
      </c>
    </row>
    <row r="382" spans="1:15" ht="15.75" customHeight="1" x14ac:dyDescent="0.25">
      <c r="A382" s="56" t="s">
        <v>464</v>
      </c>
      <c r="B382" s="88" t="s">
        <v>797</v>
      </c>
      <c r="C382" s="88" t="s">
        <v>4379</v>
      </c>
      <c r="D382" s="88" t="s">
        <v>798</v>
      </c>
      <c r="E382" s="45" t="str">
        <f>VLOOKUP(D382,Total!$C$2:$D$439,2,0)</f>
        <v>10 TSM 3</v>
      </c>
      <c r="F382" s="45" t="str">
        <f>VLOOKUP(C382,Total!$B$2:$F$439,5,0)</f>
        <v>AKTIF</v>
      </c>
      <c r="G382" s="46" t="str">
        <f>VLOOKUP($B382,master!$B$2:$S$595,16,0)</f>
        <v>08170411151</v>
      </c>
      <c r="H382" s="46">
        <f>VLOOKUP($B382,master!$B$2:$S$595,17,0)</f>
        <v>0</v>
      </c>
      <c r="I382" s="46" t="str">
        <f>VLOOKUP($B382,master!$B$2:$S$595,8,0)</f>
        <v>SRUNGGO II</v>
      </c>
      <c r="J382" s="46" t="str">
        <f>VLOOKUP($B382,master!$B$2:$S$595,9,0)</f>
        <v>10</v>
      </c>
      <c r="K382" s="46" t="str">
        <f>VLOOKUP($B382,master!$B$2:$S$595,11,0)</f>
        <v>SELOPAMIORO</v>
      </c>
      <c r="L382" s="46" t="str">
        <f>VLOOKUP($B382,master!$B$2:$S$595,12,0)</f>
        <v>IMOGIRI</v>
      </c>
      <c r="M382" s="46" t="str">
        <f>VLOOKUP($B382,master!$B$2:$S$595,6,0)</f>
        <v>PARYONO</v>
      </c>
      <c r="N382" s="58" t="str">
        <f>VLOOKUP($B382,master!$B$2:$S$595,15,0)</f>
        <v>SMP MUHAMMADIYAH PANGGANG</v>
      </c>
      <c r="O382" s="58" t="str">
        <f>VLOOKUP($B382,master!$B$2:$S$595,4,0)</f>
        <v>19-07-2010</v>
      </c>
    </row>
    <row r="383" spans="1:15" ht="15.75" customHeight="1" x14ac:dyDescent="0.25">
      <c r="A383" s="56" t="s">
        <v>465</v>
      </c>
      <c r="B383" s="88" t="s">
        <v>3672</v>
      </c>
      <c r="C383" s="88" t="s">
        <v>4380</v>
      </c>
      <c r="D383" s="88" t="s">
        <v>3673</v>
      </c>
      <c r="E383" s="45" t="str">
        <f>VLOOKUP(D383,Total!$C$2:$D$439,2,0)</f>
        <v>10 TSM 3</v>
      </c>
      <c r="F383" s="45" t="str">
        <f>VLOOKUP(C383,Total!$B$2:$F$439,5,0)</f>
        <v>AKTIF</v>
      </c>
      <c r="G383" s="46" t="str">
        <f>VLOOKUP($B383,master!$B$2:$S$595,16,0)</f>
        <v>0895636588081</v>
      </c>
      <c r="H383" s="46" t="str">
        <f>VLOOKUP($B383,master!$B$2:$S$595,17,0)</f>
        <v>0882005062306</v>
      </c>
      <c r="I383" s="46" t="str">
        <f>VLOOKUP($B383,master!$B$2:$S$595,8,0)</f>
        <v>DUKUH DAMPULAN</v>
      </c>
      <c r="J383" s="46" t="str">
        <f>VLOOKUP($B383,master!$B$2:$S$595,9,0)</f>
        <v>03</v>
      </c>
      <c r="K383" s="46" t="str">
        <f>VLOOKUP($B383,master!$B$2:$S$595,11,0)</f>
        <v>CATURHARJO</v>
      </c>
      <c r="L383" s="46" t="str">
        <f>VLOOKUP($B383,master!$B$2:$S$595,12,0)</f>
        <v>PANDAK</v>
      </c>
      <c r="M383" s="46" t="str">
        <f>VLOOKUP($B383,master!$B$2:$S$595,6,0)</f>
        <v>WAHYUDI</v>
      </c>
      <c r="N383" s="58" t="str">
        <f>VLOOKUP($B383,master!$B$2:$S$595,15,0)</f>
        <v>SMP N 2 PANDAK</v>
      </c>
      <c r="O383" s="58" t="str">
        <f>VLOOKUP($B383,master!$B$2:$S$595,4,0)</f>
        <v>26-09-2009</v>
      </c>
    </row>
    <row r="384" spans="1:15" ht="15.75" customHeight="1" x14ac:dyDescent="0.25">
      <c r="A384" s="56" t="s">
        <v>466</v>
      </c>
      <c r="B384" s="88" t="s">
        <v>3434</v>
      </c>
      <c r="C384" s="88" t="s">
        <v>4381</v>
      </c>
      <c r="D384" s="88" t="s">
        <v>3435</v>
      </c>
      <c r="E384" s="45" t="str">
        <f>VLOOKUP(D384,Total!$C$2:$D$439,2,0)</f>
        <v>10 TSM 3</v>
      </c>
      <c r="F384" s="45" t="str">
        <f>VLOOKUP(C384,Total!$B$2:$F$439,5,0)</f>
        <v>AKTIF</v>
      </c>
      <c r="G384" s="46" t="str">
        <f>VLOOKUP($B384,master!$B$2:$S$595,16,0)</f>
        <v>089690645444</v>
      </c>
      <c r="H384" s="46" t="str">
        <f>VLOOKUP($B384,master!$B$2:$S$595,17,0)</f>
        <v>0895406673740</v>
      </c>
      <c r="I384" s="46" t="str">
        <f>VLOOKUP($B384,master!$B$2:$S$595,8,0)</f>
        <v>KABROKAN WETAN</v>
      </c>
      <c r="J384" s="46" t="str">
        <f>VLOOKUP($B384,master!$B$2:$S$595,9,0)</f>
        <v>1</v>
      </c>
      <c r="K384" s="46" t="str">
        <f>VLOOKUP($B384,master!$B$2:$S$595,11,0)</f>
        <v>SENDANGSARI</v>
      </c>
      <c r="L384" s="46" t="str">
        <f>VLOOKUP($B384,master!$B$2:$S$595,12,0)</f>
        <v>PAJANGAN</v>
      </c>
      <c r="M384" s="46" t="str">
        <f>VLOOKUP($B384,master!$B$2:$S$595,6,0)</f>
        <v>YAYUK SUPRAPTI</v>
      </c>
      <c r="N384" s="58" t="str">
        <f>VLOOKUP($B384,master!$B$2:$S$595,15,0)</f>
        <v>SMP N 2 PAJANGAN</v>
      </c>
      <c r="O384" s="58" t="str">
        <f>VLOOKUP($B384,master!$B$2:$S$595,4,0)</f>
        <v>6-05-2009</v>
      </c>
    </row>
    <row r="385" spans="1:15" ht="15.75" customHeight="1" x14ac:dyDescent="0.25">
      <c r="A385" s="56" t="s">
        <v>467</v>
      </c>
      <c r="B385" s="88" t="s">
        <v>826</v>
      </c>
      <c r="C385" s="88" t="s">
        <v>4382</v>
      </c>
      <c r="D385" s="88" t="s">
        <v>827</v>
      </c>
      <c r="E385" s="45" t="str">
        <f>VLOOKUP(D385,Total!$C$2:$D$439,2,0)</f>
        <v>10 TSM 3</v>
      </c>
      <c r="F385" s="45" t="str">
        <f>VLOOKUP(C385,Total!$B$2:$F$439,5,0)</f>
        <v>AKTIF</v>
      </c>
      <c r="G385" s="46" t="str">
        <f>VLOOKUP($B385,master!$B$2:$S$595,16,0)</f>
        <v>089657744903</v>
      </c>
      <c r="H385" s="46">
        <f>VLOOKUP($B385,master!$B$2:$S$595,17,0)</f>
        <v>0</v>
      </c>
      <c r="I385" s="46" t="str">
        <f>VLOOKUP($B385,master!$B$2:$S$595,8,0)</f>
        <v>MANDING</v>
      </c>
      <c r="J385" s="46" t="str">
        <f>VLOOKUP($B385,master!$B$2:$S$595,9,0)</f>
        <v>6</v>
      </c>
      <c r="K385" s="46" t="str">
        <f>VLOOKUP($B385,master!$B$2:$S$595,11,0)</f>
        <v>TRIRENGGO</v>
      </c>
      <c r="L385" s="46" t="str">
        <f>VLOOKUP($B385,master!$B$2:$S$595,12,0)</f>
        <v>BANTUL</v>
      </c>
      <c r="M385" s="46" t="str">
        <f>VLOOKUP($B385,master!$B$2:$S$595,6,0)</f>
        <v>IBNU JATI PRANOWO</v>
      </c>
      <c r="N385" s="58" t="str">
        <f>VLOOKUP($B385,master!$B$2:$S$595,15,0)</f>
        <v>MTs N 4 BANTUL</v>
      </c>
      <c r="O385" s="58" t="str">
        <f>VLOOKUP($B385,master!$B$2:$S$595,4,0)</f>
        <v>24-10-2009</v>
      </c>
    </row>
    <row r="386" spans="1:15" ht="15.75" customHeight="1" x14ac:dyDescent="0.25">
      <c r="A386" s="56" t="s">
        <v>468</v>
      </c>
      <c r="B386" s="88" t="s">
        <v>812</v>
      </c>
      <c r="C386" s="88" t="s">
        <v>4383</v>
      </c>
      <c r="D386" s="88" t="s">
        <v>813</v>
      </c>
      <c r="E386" s="45" t="str">
        <f>VLOOKUP(D386,Total!$C$2:$D$439,2,0)</f>
        <v>10 TSM 3</v>
      </c>
      <c r="F386" s="45" t="str">
        <f>VLOOKUP(C386,Total!$B$2:$F$439,5,0)</f>
        <v>AKTIF</v>
      </c>
      <c r="G386" s="46" t="str">
        <f>VLOOKUP($B386,master!$B$2:$S$595,16,0)</f>
        <v>082225279093</v>
      </c>
      <c r="H386" s="46">
        <f>VLOOKUP($B386,master!$B$2:$S$595,17,0)</f>
        <v>0</v>
      </c>
      <c r="I386" s="46" t="str">
        <f>VLOOKUP($B386,master!$B$2:$S$595,8,0)</f>
        <v>BURUHAN</v>
      </c>
      <c r="J386" s="46" t="str">
        <f>VLOOKUP($B386,master!$B$2:$S$595,9,0)</f>
        <v>1</v>
      </c>
      <c r="K386" s="46" t="str">
        <f>VLOOKUP($B386,master!$B$2:$S$595,11,0)</f>
        <v>TIRTOSARI</v>
      </c>
      <c r="L386" s="46" t="str">
        <f>VLOOKUP($B386,master!$B$2:$S$595,12,0)</f>
        <v>KRETEK</v>
      </c>
      <c r="M386" s="46" t="str">
        <f>VLOOKUP($B386,master!$B$2:$S$595,6,0)</f>
        <v>DARMANI</v>
      </c>
      <c r="N386" s="58" t="str">
        <f>VLOOKUP($B386,master!$B$2:$S$595,15,0)</f>
        <v>SMP N 1 KRETEK</v>
      </c>
      <c r="O386" s="58" t="str">
        <f>VLOOKUP($B386,master!$B$2:$S$595,4,0)</f>
        <v>7-06-2009</v>
      </c>
    </row>
    <row r="387" spans="1:15" ht="15.75" customHeight="1" x14ac:dyDescent="0.25">
      <c r="A387" s="56" t="s">
        <v>469</v>
      </c>
      <c r="B387" s="88" t="s">
        <v>2087</v>
      </c>
      <c r="C387" s="88" t="s">
        <v>4384</v>
      </c>
      <c r="D387" s="88" t="s">
        <v>2088</v>
      </c>
      <c r="E387" s="45" t="str">
        <f>VLOOKUP(D387,Total!$C$2:$D$439,2,0)</f>
        <v>10 TSM 3</v>
      </c>
      <c r="F387" s="45" t="str">
        <f>VLOOKUP(C387,Total!$B$2:$F$439,5,0)</f>
        <v>AKTIF</v>
      </c>
      <c r="G387" s="46" t="str">
        <f>VLOOKUP($B387,master!$B$2:$S$595,16,0)</f>
        <v>0895320305352</v>
      </c>
      <c r="H387" s="46" t="str">
        <f>VLOOKUP($B387,master!$B$2:$S$595,17,0)</f>
        <v>0895320305352</v>
      </c>
      <c r="I387" s="46" t="str">
        <f>VLOOKUP($B387,master!$B$2:$S$595,8,0)</f>
        <v>TANUBAYAN</v>
      </c>
      <c r="J387" s="46" t="str">
        <f>VLOOKUP($B387,master!$B$2:$S$595,9,0)</f>
        <v>9</v>
      </c>
      <c r="K387" s="46" t="str">
        <f>VLOOKUP($B387,master!$B$2:$S$595,11,0)</f>
        <v>TRIRENGGO</v>
      </c>
      <c r="L387" s="46" t="str">
        <f>VLOOKUP($B387,master!$B$2:$S$595,12,0)</f>
        <v>BANTUL</v>
      </c>
      <c r="M387" s="46" t="str">
        <f>VLOOKUP($B387,master!$B$2:$S$595,6,0)</f>
        <v>Hanafi Noor Syamsu Hidayat/Ina kartini</v>
      </c>
      <c r="N387" s="58" t="str">
        <f>VLOOKUP($B387,master!$B$2:$S$595,15,0)</f>
        <v>SMP MUHAMMADIYAH BANTUL</v>
      </c>
      <c r="O387" s="58" t="str">
        <f>VLOOKUP($B387,master!$B$2:$S$595,4,0)</f>
        <v>17-10-2009</v>
      </c>
    </row>
    <row r="388" spans="1:15" ht="15.75" customHeight="1" x14ac:dyDescent="0.25">
      <c r="A388" s="56" t="s">
        <v>470</v>
      </c>
      <c r="B388" s="88" t="s">
        <v>3525</v>
      </c>
      <c r="C388" s="88" t="s">
        <v>4385</v>
      </c>
      <c r="D388" s="88" t="s">
        <v>3526</v>
      </c>
      <c r="E388" s="45" t="str">
        <f>VLOOKUP(D388,Total!$C$2:$D$439,2,0)</f>
        <v>10 TSM 3</v>
      </c>
      <c r="F388" s="45" t="str">
        <f>VLOOKUP(C388,Total!$B$2:$F$439,5,0)</f>
        <v>AKTIF</v>
      </c>
      <c r="G388" s="46" t="str">
        <f>VLOOKUP($B388,master!$B$2:$S$595,16,0)</f>
        <v>083869652858</v>
      </c>
      <c r="H388" s="46" t="str">
        <f>VLOOKUP($B388,master!$B$2:$S$595,17,0)</f>
        <v>0895336201380</v>
      </c>
      <c r="I388" s="46" t="str">
        <f>VLOOKUP($B388,master!$B$2:$S$595,8,0)</f>
        <v>CANDEN</v>
      </c>
      <c r="J388" s="46" t="str">
        <f>VLOOKUP($B388,master!$B$2:$S$595,9,0)</f>
        <v>05</v>
      </c>
      <c r="K388" s="46" t="str">
        <f>VLOOKUP($B388,master!$B$2:$S$595,11,0)</f>
        <v>CANDEN</v>
      </c>
      <c r="L388" s="46" t="str">
        <f>VLOOKUP($B388,master!$B$2:$S$595,12,0)</f>
        <v>JETIS</v>
      </c>
      <c r="M388" s="46" t="str">
        <f>VLOOKUP($B388,master!$B$2:$S$595,6,0)</f>
        <v>SUKINI</v>
      </c>
      <c r="N388" s="58" t="str">
        <f>VLOOKUP($B388,master!$B$2:$S$595,15,0)</f>
        <v>SMP N 3 JETIS</v>
      </c>
      <c r="O388" s="58" t="str">
        <f>VLOOKUP($B388,master!$B$2:$S$595,4,0)</f>
        <v>24-07-2009</v>
      </c>
    </row>
    <row r="389" spans="1:15" ht="15.75" customHeight="1" x14ac:dyDescent="0.25">
      <c r="A389" s="56" t="s">
        <v>471</v>
      </c>
      <c r="B389" s="92" t="s">
        <v>2832</v>
      </c>
      <c r="C389" s="88" t="s">
        <v>4386</v>
      </c>
      <c r="D389" s="92" t="s">
        <v>2833</v>
      </c>
      <c r="E389" s="45" t="str">
        <f>VLOOKUP(D389,Total!$C$2:$D$439,2,0)</f>
        <v>10 TSM 3</v>
      </c>
      <c r="F389" s="45" t="str">
        <f>VLOOKUP(C389,Total!$B$2:$F$439,5,0)</f>
        <v>AKTIF</v>
      </c>
      <c r="G389" s="46" t="str">
        <f>VLOOKUP($B389,master!$B$2:$S$595,16,0)</f>
        <v>089603269839</v>
      </c>
      <c r="H389" s="46" t="str">
        <f>VLOOKUP($B389,master!$B$2:$S$595,17,0)</f>
        <v>089603269839</v>
      </c>
      <c r="I389" s="46" t="str">
        <f>VLOOKUP($B389,master!$B$2:$S$595,8,0)</f>
        <v>MENAYU KULON</v>
      </c>
      <c r="J389" s="46" t="str">
        <f>VLOOKUP($B389,master!$B$2:$S$595,9,0)</f>
        <v>06</v>
      </c>
      <c r="K389" s="46" t="str">
        <f>VLOOKUP($B389,master!$B$2:$S$595,11,0)</f>
        <v>TIRTONIRMOLO</v>
      </c>
      <c r="L389" s="46" t="str">
        <f>VLOOKUP($B389,master!$B$2:$S$595,12,0)</f>
        <v>KASIHAN</v>
      </c>
      <c r="M389" s="46" t="str">
        <f>VLOOKUP($B389,master!$B$2:$S$595,6,0)</f>
        <v>Darrohman</v>
      </c>
      <c r="N389" s="58" t="str">
        <f>VLOOKUP($B389,master!$B$2:$S$595,15,0)</f>
        <v>SMP MUHAMMADIYAH KASIHAN</v>
      </c>
      <c r="O389" s="58" t="str">
        <f>VLOOKUP($B389,master!$B$2:$S$595,4,0)</f>
        <v>11-12-2009</v>
      </c>
    </row>
    <row r="390" spans="1:15" ht="15.75" customHeight="1" x14ac:dyDescent="0.25">
      <c r="A390" s="56" t="s">
        <v>472</v>
      </c>
      <c r="B390" s="88" t="s">
        <v>1010</v>
      </c>
      <c r="C390" s="88" t="s">
        <v>4387</v>
      </c>
      <c r="D390" s="88" t="s">
        <v>1011</v>
      </c>
      <c r="E390" s="45" t="str">
        <f>VLOOKUP(D390,Total!$C$2:$D$439,2,0)</f>
        <v>10 TSM 3</v>
      </c>
      <c r="F390" s="45" t="str">
        <f>VLOOKUP(C390,Total!$B$2:$F$439,5,0)</f>
        <v>AKTIF</v>
      </c>
      <c r="G390" s="46" t="str">
        <f>VLOOKUP($B390,master!$B$2:$S$595,16,0)</f>
        <v>083129247822</v>
      </c>
      <c r="H390" s="46">
        <f>VLOOKUP($B390,master!$B$2:$S$595,17,0)</f>
        <v>0</v>
      </c>
      <c r="I390" s="46" t="str">
        <f>VLOOKUP($B390,master!$B$2:$S$595,8,0)</f>
        <v>BUNGSING</v>
      </c>
      <c r="J390" s="46" t="str">
        <f>VLOOKUP($B390,master!$B$2:$S$595,9,0)</f>
        <v>2</v>
      </c>
      <c r="K390" s="46" t="str">
        <f>VLOOKUP($B390,master!$B$2:$S$595,11,0)</f>
        <v>GUWOSARI</v>
      </c>
      <c r="L390" s="46" t="str">
        <f>VLOOKUP($B390,master!$B$2:$S$595,12,0)</f>
        <v>PAJANGAN</v>
      </c>
      <c r="M390" s="46" t="str">
        <f>VLOOKUP($B390,master!$B$2:$S$595,6,0)</f>
        <v>KARIM</v>
      </c>
      <c r="N390" s="58" t="str">
        <f>VLOOKUP($B390,master!$B$2:$S$595,15,0)</f>
        <v>MTs AL-FURQON SANDEN</v>
      </c>
      <c r="O390" s="58" t="str">
        <f>VLOOKUP($B390,master!$B$2:$S$595,4,0)</f>
        <v>30-08-2009</v>
      </c>
    </row>
    <row r="391" spans="1:15" ht="15.75" customHeight="1" x14ac:dyDescent="0.25">
      <c r="A391" s="56" t="s">
        <v>473</v>
      </c>
      <c r="B391" s="88" t="s">
        <v>762</v>
      </c>
      <c r="C391" s="88" t="s">
        <v>4388</v>
      </c>
      <c r="D391" s="88" t="s">
        <v>763</v>
      </c>
      <c r="E391" s="45" t="str">
        <f>VLOOKUP(D391,Total!$C$2:$D$439,2,0)</f>
        <v>10 TSM 3</v>
      </c>
      <c r="F391" s="45" t="str">
        <f>VLOOKUP(C391,Total!$B$2:$F$439,5,0)</f>
        <v>AKTIF</v>
      </c>
      <c r="G391" s="46" t="str">
        <f>VLOOKUP($B391,master!$B$2:$S$595,16,0)</f>
        <v>085700549872</v>
      </c>
      <c r="H391" s="46">
        <f>VLOOKUP($B391,master!$B$2:$S$595,17,0)</f>
        <v>0</v>
      </c>
      <c r="I391" s="46" t="str">
        <f>VLOOKUP($B391,master!$B$2:$S$595,8,0)</f>
        <v>MASAHAN</v>
      </c>
      <c r="J391" s="46" t="str">
        <f>VLOOKUP($B391,master!$B$2:$S$595,9,0)</f>
        <v>3</v>
      </c>
      <c r="K391" s="46" t="str">
        <f>VLOOKUP($B391,master!$B$2:$S$595,11,0)</f>
        <v>TRIRENGGO</v>
      </c>
      <c r="L391" s="46" t="str">
        <f>VLOOKUP($B391,master!$B$2:$S$595,12,0)</f>
        <v>BANTUL</v>
      </c>
      <c r="M391" s="46" t="str">
        <f>VLOOKUP($B391,master!$B$2:$S$595,6,0)</f>
        <v>RISYANTO</v>
      </c>
      <c r="N391" s="58" t="str">
        <f>VLOOKUP($B391,master!$B$2:$S$595,15,0)</f>
        <v>SMP N 3 BANTUL</v>
      </c>
      <c r="O391" s="58" t="str">
        <f>VLOOKUP($B391,master!$B$2:$S$595,4,0)</f>
        <v>26-07-2009</v>
      </c>
    </row>
    <row r="392" spans="1:15" ht="15.75" customHeight="1" x14ac:dyDescent="0.25">
      <c r="A392" s="56" t="s">
        <v>474</v>
      </c>
      <c r="B392" s="88" t="s">
        <v>943</v>
      </c>
      <c r="C392" s="88" t="s">
        <v>4389</v>
      </c>
      <c r="D392" s="88" t="s">
        <v>944</v>
      </c>
      <c r="E392" s="45" t="str">
        <f>VLOOKUP(D392,Total!$C$2:$D$439,2,0)</f>
        <v>10 TSM 3</v>
      </c>
      <c r="F392" s="45" t="str">
        <f>VLOOKUP(C392,Total!$B$2:$F$439,5,0)</f>
        <v>AKTIF</v>
      </c>
      <c r="G392" s="46" t="str">
        <f>VLOOKUP($B392,master!$B$2:$S$595,16,0)</f>
        <v>087738504843</v>
      </c>
      <c r="H392" s="46">
        <f>VLOOKUP($B392,master!$B$2:$S$595,17,0)</f>
        <v>0</v>
      </c>
      <c r="I392" s="46" t="str">
        <f>VLOOKUP($B392,master!$B$2:$S$595,8,0)</f>
        <v>NOGOSARI, KREKAH</v>
      </c>
      <c r="J392" s="46" t="str">
        <f>VLOOKUP($B392,master!$B$2:$S$595,9,0)</f>
        <v>8</v>
      </c>
      <c r="K392" s="46" t="str">
        <f>VLOOKUP($B392,master!$B$2:$S$595,11,0)</f>
        <v>GILANGHARJO</v>
      </c>
      <c r="L392" s="46" t="str">
        <f>VLOOKUP($B392,master!$B$2:$S$595,12,0)</f>
        <v>PANDAK</v>
      </c>
      <c r="M392" s="46" t="str">
        <f>VLOOKUP($B392,master!$B$2:$S$595,6,0)</f>
        <v>SRI SUTRISNI</v>
      </c>
      <c r="N392" s="58" t="str">
        <f>VLOOKUP($B392,master!$B$2:$S$595,15,0)</f>
        <v>SMP N 4 PANDAK</v>
      </c>
      <c r="O392" s="58" t="str">
        <f>VLOOKUP($B392,master!$B$2:$S$595,4,0)</f>
        <v>2-08-2009</v>
      </c>
    </row>
    <row r="393" spans="1:15" ht="15.75" customHeight="1" x14ac:dyDescent="0.25">
      <c r="A393" s="56" t="s">
        <v>475</v>
      </c>
      <c r="B393" s="88" t="s">
        <v>683</v>
      </c>
      <c r="C393" s="88" t="s">
        <v>4390</v>
      </c>
      <c r="D393" s="88" t="s">
        <v>684</v>
      </c>
      <c r="E393" s="45" t="str">
        <f>VLOOKUP(D393,Total!$C$2:$D$439,2,0)</f>
        <v>10 TSM 3</v>
      </c>
      <c r="F393" s="45" t="str">
        <f>VLOOKUP(C393,Total!$B$2:$F$439,5,0)</f>
        <v>AKTIF</v>
      </c>
      <c r="G393" s="46" t="str">
        <f>VLOOKUP($B393,master!$B$2:$S$595,16,0)</f>
        <v>081359510458</v>
      </c>
      <c r="H393" s="46">
        <f>VLOOKUP($B393,master!$B$2:$S$595,17,0)</f>
        <v>0</v>
      </c>
      <c r="I393" s="46" t="str">
        <f>VLOOKUP($B393,master!$B$2:$S$595,8,0)</f>
        <v>KRAPYAK KULON</v>
      </c>
      <c r="J393" s="46" t="str">
        <f>VLOOKUP($B393,master!$B$2:$S$595,9,0)</f>
        <v>1</v>
      </c>
      <c r="K393" s="46" t="str">
        <f>VLOOKUP($B393,master!$B$2:$S$595,11,0)</f>
        <v>PANGGUNGHARJO</v>
      </c>
      <c r="L393" s="46" t="str">
        <f>VLOOKUP($B393,master!$B$2:$S$595,12,0)</f>
        <v>SEWON</v>
      </c>
      <c r="M393" s="46" t="str">
        <f>VLOOKUP($B393,master!$B$2:$S$595,6,0)</f>
        <v>NURYADI</v>
      </c>
      <c r="N393" s="58" t="str">
        <f>VLOOKUP($B393,master!$B$2:$S$595,15,0)</f>
        <v>SMP N 4 SEWON</v>
      </c>
      <c r="O393" s="58" t="str">
        <f>VLOOKUP($B393,master!$B$2:$S$595,4,0)</f>
        <v>4-06-2009</v>
      </c>
    </row>
    <row r="394" spans="1:15" ht="15.75" customHeight="1" x14ac:dyDescent="0.25">
      <c r="A394" s="56" t="s">
        <v>476</v>
      </c>
      <c r="B394" s="88" t="s">
        <v>1683</v>
      </c>
      <c r="C394" s="88" t="s">
        <v>4391</v>
      </c>
      <c r="D394" s="88" t="s">
        <v>4522</v>
      </c>
      <c r="E394" s="45" t="str">
        <f>VLOOKUP(D394,Total!$C$2:$D$439,2,0)</f>
        <v>10 TSM 3</v>
      </c>
      <c r="F394" s="45" t="str">
        <f>VLOOKUP(C394,Total!$B$2:$F$439,5,0)</f>
        <v>AKTIF</v>
      </c>
      <c r="G394" s="46" t="str">
        <f>VLOOKUP($B394,master!$B$2:$S$595,16,0)</f>
        <v>081392301201</v>
      </c>
      <c r="H394" s="46" t="str">
        <f>VLOOKUP($B394,master!$B$2:$S$595,17,0)</f>
        <v>081392301201</v>
      </c>
      <c r="I394" s="46" t="str">
        <f>VLOOKUP($B394,master!$B$2:$S$595,8,0)</f>
        <v>MREDO</v>
      </c>
      <c r="J394" s="46" t="str">
        <f>VLOOKUP($B394,master!$B$2:$S$595,9,0)</f>
        <v>04</v>
      </c>
      <c r="K394" s="46" t="str">
        <f>VLOOKUP($B394,master!$B$2:$S$595,11,0)</f>
        <v>BANGUNHARJO</v>
      </c>
      <c r="L394" s="46" t="str">
        <f>VLOOKUP($B394,master!$B$2:$S$595,12,0)</f>
        <v>SEWON</v>
      </c>
      <c r="M394" s="46" t="str">
        <f>VLOOKUP($B394,master!$B$2:$S$595,6,0)</f>
        <v>LILIS</v>
      </c>
      <c r="N394" s="58" t="str">
        <f>VLOOKUP($B394,master!$B$2:$S$595,15,0)</f>
        <v>SMP MUHAMMADIYAH 9 YOGYAKARTA</v>
      </c>
      <c r="O394" s="58" t="str">
        <f>VLOOKUP($B394,master!$B$2:$S$595,4,0)</f>
        <v>13-08-2008</v>
      </c>
    </row>
    <row r="395" spans="1:15" ht="15.75" customHeight="1" x14ac:dyDescent="0.25">
      <c r="A395" s="56" t="s">
        <v>477</v>
      </c>
      <c r="B395" s="88" t="s">
        <v>2985</v>
      </c>
      <c r="C395" s="88" t="s">
        <v>4392</v>
      </c>
      <c r="D395" s="88" t="s">
        <v>2986</v>
      </c>
      <c r="E395" s="45" t="str">
        <f>VLOOKUP(D395,Total!$C$2:$D$439,2,0)</f>
        <v>10 TSM 3</v>
      </c>
      <c r="F395" s="45" t="str">
        <f>VLOOKUP(C395,Total!$B$2:$F$439,5,0)</f>
        <v>AKTIF</v>
      </c>
      <c r="G395" s="46" t="str">
        <f>VLOOKUP($B395,master!$B$2:$S$595,16,0)</f>
        <v>0895810257711/0895340411178</v>
      </c>
      <c r="H395" s="46" t="str">
        <f>VLOOKUP($B395,master!$B$2:$S$595,17,0)</f>
        <v>0895810257711</v>
      </c>
      <c r="I395" s="46" t="str">
        <f>VLOOKUP($B395,master!$B$2:$S$595,8,0)</f>
        <v>NGASEM</v>
      </c>
      <c r="J395" s="46" t="str">
        <f>VLOOKUP($B395,master!$B$2:$S$595,9,0)</f>
        <v>O1</v>
      </c>
      <c r="K395" s="46" t="str">
        <f>VLOOKUP($B395,master!$B$2:$S$595,11,0)</f>
        <v>TIMBULHARJO</v>
      </c>
      <c r="L395" s="46" t="str">
        <f>VLOOKUP($B395,master!$B$2:$S$595,12,0)</f>
        <v>SEWON</v>
      </c>
      <c r="M395" s="46" t="str">
        <f>VLOOKUP($B395,master!$B$2:$S$595,6,0)</f>
        <v>Agus widodo</v>
      </c>
      <c r="N395" s="58" t="str">
        <f>VLOOKUP($B395,master!$B$2:$S$595,15,0)</f>
        <v>SMP MUHAMMADIYAH PLERET</v>
      </c>
      <c r="O395" s="58" t="str">
        <f>VLOOKUP($B395,master!$B$2:$S$595,4,0)</f>
        <v>9-09-2009</v>
      </c>
    </row>
    <row r="396" spans="1:15" ht="15.75" customHeight="1" x14ac:dyDescent="0.25">
      <c r="A396" s="56" t="s">
        <v>478</v>
      </c>
      <c r="B396" s="88" t="s">
        <v>2368</v>
      </c>
      <c r="C396" s="88" t="s">
        <v>4393</v>
      </c>
      <c r="D396" s="88" t="s">
        <v>2369</v>
      </c>
      <c r="E396" s="45" t="str">
        <f>VLOOKUP(D396,Total!$C$2:$D$439,2,0)</f>
        <v>10 TSM 3</v>
      </c>
      <c r="F396" s="45" t="str">
        <f>VLOOKUP(C396,Total!$B$2:$F$439,5,0)</f>
        <v>AKTIF</v>
      </c>
      <c r="G396" s="46" t="str">
        <f>VLOOKUP($B396,master!$B$2:$S$595,16,0)</f>
        <v>0895363177755</v>
      </c>
      <c r="H396" s="46" t="str">
        <f>VLOOKUP($B396,master!$B$2:$S$595,17,0)</f>
        <v>0895363177755</v>
      </c>
      <c r="I396" s="46" t="str">
        <f>VLOOKUP($B396,master!$B$2:$S$595,8,0)</f>
        <v>TEGALREJO</v>
      </c>
      <c r="J396" s="46" t="str">
        <f>VLOOKUP($B396,master!$B$2:$S$595,9,0)</f>
        <v>002</v>
      </c>
      <c r="K396" s="46" t="str">
        <f>VLOOKUP($B396,master!$B$2:$S$595,11,0)</f>
        <v>BAWURAN</v>
      </c>
      <c r="L396" s="46" t="str">
        <f>VLOOKUP($B396,master!$B$2:$S$595,12,0)</f>
        <v>PLERET</v>
      </c>
      <c r="M396" s="46" t="str">
        <f>VLOOKUP($B396,master!$B$2:$S$595,6,0)</f>
        <v>Golkar Ery Mulyanto</v>
      </c>
      <c r="N396" s="58" t="str">
        <f>VLOOKUP($B396,master!$B$2:$S$595,15,0)</f>
        <v>SMP MUHAMMADIYAH BANGUNTAPAN</v>
      </c>
      <c r="O396" s="58" t="str">
        <f>VLOOKUP($B396,master!$B$2:$S$595,4,0)</f>
        <v>30-12-2009</v>
      </c>
    </row>
    <row r="397" spans="1:15" ht="15.75" customHeight="1" x14ac:dyDescent="0.25">
      <c r="A397" s="56" t="s">
        <v>479</v>
      </c>
      <c r="B397" s="88" t="s">
        <v>3214</v>
      </c>
      <c r="C397" s="88" t="s">
        <v>4394</v>
      </c>
      <c r="D397" s="88" t="s">
        <v>3215</v>
      </c>
      <c r="E397" s="45" t="str">
        <f>VLOOKUP(D397,Total!$C$2:$D$439,2,0)</f>
        <v>10 TSM 3</v>
      </c>
      <c r="F397" s="45" t="str">
        <f>VLOOKUP(C397,Total!$B$2:$F$439,5,0)</f>
        <v>AKTIF</v>
      </c>
      <c r="G397" s="46" t="str">
        <f>VLOOKUP($B397,master!$B$2:$S$595,16,0)</f>
        <v>082223313681</v>
      </c>
      <c r="H397" s="46" t="str">
        <f>VLOOKUP($B397,master!$B$2:$S$595,17,0)</f>
        <v>082223313681</v>
      </c>
      <c r="I397" s="46" t="str">
        <f>VLOOKUP($B397,master!$B$2:$S$595,8,0)</f>
        <v>LANTENG 1</v>
      </c>
      <c r="J397" s="46" t="str">
        <f>VLOOKUP($B397,master!$B$2:$S$595,9,0)</f>
        <v>02</v>
      </c>
      <c r="K397" s="46" t="str">
        <f>VLOOKUP($B397,master!$B$2:$S$595,11,0)</f>
        <v>SELOPAMIORO</v>
      </c>
      <c r="L397" s="46" t="str">
        <f>VLOOKUP($B397,master!$B$2:$S$595,12,0)</f>
        <v>IMOGIRI</v>
      </c>
      <c r="M397" s="46" t="str">
        <f>VLOOKUP($B397,master!$B$2:$S$595,6,0)</f>
        <v>Juwarni</v>
      </c>
      <c r="N397" s="58" t="str">
        <f>VLOOKUP($B397,master!$B$2:$S$595,15,0)</f>
        <v>SMP N 3 IMOGIRI</v>
      </c>
      <c r="O397" s="58" t="str">
        <f>VLOOKUP($B397,master!$B$2:$S$595,4,0)</f>
        <v>4-04-2009</v>
      </c>
    </row>
    <row r="398" spans="1:15" ht="15.75" customHeight="1" x14ac:dyDescent="0.25">
      <c r="A398" s="56" t="s">
        <v>480</v>
      </c>
      <c r="B398" s="88" t="s">
        <v>783</v>
      </c>
      <c r="C398" s="88" t="s">
        <v>4395</v>
      </c>
      <c r="D398" s="88" t="s">
        <v>784</v>
      </c>
      <c r="E398" s="45" t="str">
        <f>VLOOKUP(D398,Total!$C$2:$D$439,2,0)</f>
        <v>10 TSM 4</v>
      </c>
      <c r="F398" s="45" t="str">
        <f>VLOOKUP(C398,Total!$B$2:$F$439,5,0)</f>
        <v>AKTIF</v>
      </c>
      <c r="G398" s="46" t="str">
        <f>VLOOKUP($B398,master!$B$2:$S$595,16,0)</f>
        <v>085229550068</v>
      </c>
      <c r="H398" s="46">
        <f>VLOOKUP($B398,master!$B$2:$S$595,17,0)</f>
        <v>0</v>
      </c>
      <c r="I398" s="46" t="str">
        <f>VLOOKUP($B398,master!$B$2:$S$595,8,0)</f>
        <v>CAGUNAN</v>
      </c>
      <c r="J398" s="46" t="str">
        <f>VLOOKUP($B398,master!$B$2:$S$595,9,0)</f>
        <v>119</v>
      </c>
      <c r="K398" s="46" t="str">
        <f>VLOOKUP($B398,master!$B$2:$S$595,11,0)</f>
        <v>TRIMURTI</v>
      </c>
      <c r="L398" s="46" t="str">
        <f>VLOOKUP($B398,master!$B$2:$S$595,12,0)</f>
        <v>SRANDAKAN</v>
      </c>
      <c r="M398" s="46" t="str">
        <f>VLOOKUP($B398,master!$B$2:$S$595,6,0)</f>
        <v>SUTIKNO</v>
      </c>
      <c r="N398" s="58" t="str">
        <f>VLOOKUP($B398,master!$B$2:$S$595,15,0)</f>
        <v>SMP N 1 SRANDAKAN</v>
      </c>
      <c r="O398" s="58" t="str">
        <f>VLOOKUP($B398,master!$B$2:$S$595,4,0)</f>
        <v>20-06-2009</v>
      </c>
    </row>
    <row r="399" spans="1:15" ht="15.75" customHeight="1" x14ac:dyDescent="0.25">
      <c r="A399" s="56" t="s">
        <v>481</v>
      </c>
      <c r="B399" s="88" t="s">
        <v>3249</v>
      </c>
      <c r="C399" s="88" t="s">
        <v>4396</v>
      </c>
      <c r="D399" s="88" t="s">
        <v>3250</v>
      </c>
      <c r="E399" s="45" t="str">
        <f>VLOOKUP(D399,Total!$C$2:$D$439,2,0)</f>
        <v>10 TSM 4</v>
      </c>
      <c r="F399" s="45" t="str">
        <f>VLOOKUP(C399,Total!$B$2:$F$439,5,0)</f>
        <v>AKTIF</v>
      </c>
      <c r="G399" s="46" t="str">
        <f>VLOOKUP($B399,master!$B$2:$S$595,16,0)</f>
        <v>085740009388</v>
      </c>
      <c r="H399" s="46" t="str">
        <f>VLOOKUP($B399,master!$B$2:$S$595,17,0)</f>
        <v>085712194225</v>
      </c>
      <c r="I399" s="46" t="str">
        <f>VLOOKUP($B399,master!$B$2:$S$595,8,0)</f>
        <v>GEDONGSARI</v>
      </c>
      <c r="J399" s="46" t="str">
        <f>VLOOKUP($B399,master!$B$2:$S$595,9,0)</f>
        <v>05</v>
      </c>
      <c r="K399" s="46" t="str">
        <f>VLOOKUP($B399,master!$B$2:$S$595,11,0)</f>
        <v>WIJIREJO</v>
      </c>
      <c r="L399" s="46" t="str">
        <f>VLOOKUP($B399,master!$B$2:$S$595,12,0)</f>
        <v>PANDAK</v>
      </c>
      <c r="M399" s="46" t="str">
        <f>VLOOKUP($B399,master!$B$2:$S$595,6,0)</f>
        <v>SENO</v>
      </c>
      <c r="N399" s="58" t="str">
        <f>VLOOKUP($B399,master!$B$2:$S$595,15,0)</f>
        <v>SMP N 3 PANDAK</v>
      </c>
      <c r="O399" s="58" t="str">
        <f>VLOOKUP($B399,master!$B$2:$S$595,4,0)</f>
        <v>15-04-2009</v>
      </c>
    </row>
    <row r="400" spans="1:15" ht="15.75" customHeight="1" x14ac:dyDescent="0.25">
      <c r="A400" s="56" t="s">
        <v>482</v>
      </c>
      <c r="B400" s="88" t="s">
        <v>2611</v>
      </c>
      <c r="C400" s="88" t="s">
        <v>4397</v>
      </c>
      <c r="D400" s="88" t="s">
        <v>2612</v>
      </c>
      <c r="E400" s="45" t="str">
        <f>VLOOKUP(D400,Total!$C$2:$D$439,2,0)</f>
        <v>10 TSM 4</v>
      </c>
      <c r="F400" s="45" t="str">
        <f>VLOOKUP(C400,Total!$B$2:$F$439,5,0)</f>
        <v>AKTIF</v>
      </c>
      <c r="G400" s="46" t="str">
        <f>VLOOKUP($B400,master!$B$2:$S$595,16,0)</f>
        <v>081325503914</v>
      </c>
      <c r="H400" s="46" t="str">
        <f>VLOOKUP($B400,master!$B$2:$S$595,17,0)</f>
        <v>0882006932193</v>
      </c>
      <c r="I400" s="46" t="str">
        <f>VLOOKUP($B400,master!$B$2:$S$595,8,0)</f>
        <v>BADEGAN</v>
      </c>
      <c r="J400" s="46" t="str">
        <f>VLOOKUP($B400,master!$B$2:$S$595,9,0)</f>
        <v>5</v>
      </c>
      <c r="K400" s="46" t="str">
        <f>VLOOKUP($B400,master!$B$2:$S$595,11,0)</f>
        <v>BANTUL</v>
      </c>
      <c r="L400" s="46" t="str">
        <f>VLOOKUP($B400,master!$B$2:$S$595,12,0)</f>
        <v>BANTUL</v>
      </c>
      <c r="M400" s="46" t="str">
        <f>VLOOKUP($B400,master!$B$2:$S$595,6,0)</f>
        <v>SURATINI</v>
      </c>
      <c r="N400" s="58" t="str">
        <f>VLOOKUP($B400,master!$B$2:$S$595,15,0)</f>
        <v>MTS N 4 BANTUL</v>
      </c>
      <c r="O400" s="58" t="str">
        <f>VLOOKUP($B400,master!$B$2:$S$595,4,0)</f>
        <v>19-07-2009</v>
      </c>
    </row>
    <row r="401" spans="1:15" ht="15.75" customHeight="1" x14ac:dyDescent="0.25">
      <c r="A401" s="56" t="s">
        <v>483</v>
      </c>
      <c r="B401" s="88" t="s">
        <v>1462</v>
      </c>
      <c r="C401" s="88" t="s">
        <v>4398</v>
      </c>
      <c r="D401" s="88" t="s">
        <v>1463</v>
      </c>
      <c r="E401" s="45" t="str">
        <f>VLOOKUP(D401,Total!$C$2:$D$439,2,0)</f>
        <v>10 TSM 4</v>
      </c>
      <c r="F401" s="45" t="str">
        <f>VLOOKUP(C401,Total!$B$2:$F$439,5,0)</f>
        <v>AKTIF</v>
      </c>
      <c r="G401" s="46" t="str">
        <f>VLOOKUP($B401,master!$B$2:$S$595,16,0)</f>
        <v>083149507983</v>
      </c>
      <c r="H401" s="46" t="str">
        <f>VLOOKUP($B401,master!$B$2:$S$595,17,0)</f>
        <v>08388607690</v>
      </c>
      <c r="I401" s="46" t="str">
        <f>VLOOKUP($B401,master!$B$2:$S$595,8,0)</f>
        <v>BODOWALUH</v>
      </c>
      <c r="J401" s="46" t="str">
        <f>VLOOKUP($B401,master!$B$2:$S$595,9,0)</f>
        <v>4</v>
      </c>
      <c r="K401" s="46" t="str">
        <f>VLOOKUP($B401,master!$B$2:$S$595,11,0)</f>
        <v>PONCOSARI</v>
      </c>
      <c r="L401" s="46" t="str">
        <f>VLOOKUP($B401,master!$B$2:$S$595,12,0)</f>
        <v>SRANDAKAN</v>
      </c>
      <c r="M401" s="46" t="str">
        <f>VLOOKUP($B401,master!$B$2:$S$595,6,0)</f>
        <v>YUDI PURNOMO</v>
      </c>
      <c r="N401" s="58" t="str">
        <f>VLOOKUP($B401,master!$B$2:$S$595,15,0)</f>
        <v>SMP N 1 SRANDAKAN</v>
      </c>
      <c r="O401" s="58" t="str">
        <f>VLOOKUP($B401,master!$B$2:$S$595,4,0)</f>
        <v>11-07-2008</v>
      </c>
    </row>
    <row r="402" spans="1:15" ht="15.75" customHeight="1" x14ac:dyDescent="0.25">
      <c r="A402" s="56" t="s">
        <v>484</v>
      </c>
      <c r="B402" s="88" t="s">
        <v>1719</v>
      </c>
      <c r="C402" s="88" t="s">
        <v>4399</v>
      </c>
      <c r="D402" s="88" t="s">
        <v>1720</v>
      </c>
      <c r="E402" s="45" t="str">
        <f>VLOOKUP(D402,Total!$C$2:$D$439,2,0)</f>
        <v>10 TSM 4</v>
      </c>
      <c r="F402" s="45" t="str">
        <f>VLOOKUP(C402,Total!$B$2:$F$439,5,0)</f>
        <v>AKTIF</v>
      </c>
      <c r="G402" s="46" t="str">
        <f>VLOOKUP($B402,master!$B$2:$S$595,16,0)</f>
        <v>081904099049/ 087839815454</v>
      </c>
      <c r="H402" s="46" t="str">
        <f>VLOOKUP($B402,master!$B$2:$S$595,17,0)</f>
        <v>089613598964</v>
      </c>
      <c r="I402" s="46" t="str">
        <f>VLOOKUP($B402,master!$B$2:$S$595,8,0)</f>
        <v>KLEGEN</v>
      </c>
      <c r="J402" s="46" t="str">
        <f>VLOOKUP($B402,master!$B$2:$S$595,9,0)</f>
        <v>002</v>
      </c>
      <c r="K402" s="46" t="str">
        <f>VLOOKUP($B402,master!$B$2:$S$595,11,0)</f>
        <v>TIRTOSARI</v>
      </c>
      <c r="L402" s="46" t="str">
        <f>VLOOKUP($B402,master!$B$2:$S$595,12,0)</f>
        <v>KRETEK</v>
      </c>
      <c r="M402" s="46" t="str">
        <f>VLOOKUP($B402,master!$B$2:$S$595,6,0)</f>
        <v>ADNAN BUDIYARTA / SUATMI</v>
      </c>
      <c r="N402" s="58" t="str">
        <f>VLOOKUP($B402,master!$B$2:$S$595,15,0)</f>
        <v>SMP N 1 KRETEK</v>
      </c>
      <c r="O402" s="58" t="str">
        <f>VLOOKUP($B402,master!$B$2:$S$595,4,0)</f>
        <v>19-01-2010</v>
      </c>
    </row>
    <row r="403" spans="1:15" ht="15.75" customHeight="1" x14ac:dyDescent="0.25">
      <c r="A403" s="56" t="s">
        <v>485</v>
      </c>
      <c r="B403" s="88" t="s">
        <v>649</v>
      </c>
      <c r="C403" s="88" t="s">
        <v>4400</v>
      </c>
      <c r="D403" s="88" t="s">
        <v>650</v>
      </c>
      <c r="E403" s="45" t="str">
        <f>VLOOKUP(D403,Total!$C$2:$D$439,2,0)</f>
        <v>10 TSM 4</v>
      </c>
      <c r="F403" s="45" t="str">
        <f>VLOOKUP(C403,Total!$B$2:$F$439,5,0)</f>
        <v>AKTIF</v>
      </c>
      <c r="G403" s="46" t="str">
        <f>VLOOKUP($B403,master!$B$2:$S$595,16,0)</f>
        <v>085713331085</v>
      </c>
      <c r="H403" s="46">
        <f>VLOOKUP($B403,master!$B$2:$S$595,17,0)</f>
        <v>0</v>
      </c>
      <c r="I403" s="46" t="str">
        <f>VLOOKUP($B403,master!$B$2:$S$595,8,0)</f>
        <v>BOLON</v>
      </c>
      <c r="J403" s="46" t="str">
        <f>VLOOKUP($B403,master!$B$2:$S$595,9,0)</f>
        <v>4</v>
      </c>
      <c r="K403" s="46" t="str">
        <f>VLOOKUP($B403,master!$B$2:$S$595,11,0)</f>
        <v>PALBAPANG</v>
      </c>
      <c r="L403" s="46" t="str">
        <f>VLOOKUP($B403,master!$B$2:$S$595,12,0)</f>
        <v>BANTUL</v>
      </c>
      <c r="M403" s="46" t="str">
        <f>VLOOKUP($B403,master!$B$2:$S$595,6,0)</f>
        <v>ARIYONO</v>
      </c>
      <c r="N403" s="58" t="str">
        <f>VLOOKUP($B403,master!$B$2:$S$595,15,0)</f>
        <v>SMP N 3 BANTUL</v>
      </c>
      <c r="O403" s="58" t="str">
        <f>VLOOKUP($B403,master!$B$2:$S$595,4,0)</f>
        <v>20-11-2009</v>
      </c>
    </row>
    <row r="404" spans="1:15" ht="15.75" customHeight="1" x14ac:dyDescent="0.25">
      <c r="A404" s="56" t="s">
        <v>486</v>
      </c>
      <c r="B404" s="88" t="s">
        <v>834</v>
      </c>
      <c r="C404" s="88" t="s">
        <v>4401</v>
      </c>
      <c r="D404" s="88" t="s">
        <v>835</v>
      </c>
      <c r="E404" s="45" t="str">
        <f>VLOOKUP(D404,Total!$C$2:$D$439,2,0)</f>
        <v>10 TSM 4</v>
      </c>
      <c r="F404" s="45" t="str">
        <f>VLOOKUP(C404,Total!$B$2:$F$439,5,0)</f>
        <v>AKTIF</v>
      </c>
      <c r="G404" s="46" t="str">
        <f>VLOOKUP($B404,master!$B$2:$S$595,16,0)</f>
        <v>085767420151</v>
      </c>
      <c r="H404" s="46">
        <f>VLOOKUP($B404,master!$B$2:$S$595,17,0)</f>
        <v>0</v>
      </c>
      <c r="I404" s="46" t="str">
        <f>VLOOKUP($B404,master!$B$2:$S$595,8,0)</f>
        <v>SALAM</v>
      </c>
      <c r="J404" s="46" t="str">
        <f>VLOOKUP($B404,master!$B$2:$S$595,9,0)</f>
        <v>13</v>
      </c>
      <c r="K404" s="46" t="str">
        <f>VLOOKUP($B404,master!$B$2:$S$595,11,0)</f>
        <v>PATALAN</v>
      </c>
      <c r="L404" s="46" t="str">
        <f>VLOOKUP($B404,master!$B$2:$S$595,12,0)</f>
        <v>JETIS</v>
      </c>
      <c r="M404" s="46" t="str">
        <f>VLOOKUP($B404,master!$B$2:$S$595,6,0)</f>
        <v>ARI WIBOWO</v>
      </c>
      <c r="N404" s="58" t="str">
        <f>VLOOKUP($B404,master!$B$2:$S$595,15,0)</f>
        <v>SMP N 3 JETIS</v>
      </c>
      <c r="O404" s="58" t="str">
        <f>VLOOKUP($B404,master!$B$2:$S$595,4,0)</f>
        <v>14-04-2009</v>
      </c>
    </row>
    <row r="405" spans="1:15" ht="15.75" customHeight="1" x14ac:dyDescent="0.25">
      <c r="A405" s="56" t="s">
        <v>487</v>
      </c>
      <c r="B405" s="88" t="s">
        <v>3628</v>
      </c>
      <c r="C405" s="88" t="s">
        <v>4402</v>
      </c>
      <c r="D405" s="88" t="s">
        <v>3629</v>
      </c>
      <c r="E405" s="45" t="str">
        <f>VLOOKUP(D405,Total!$C$2:$D$439,2,0)</f>
        <v>10 TSM 4</v>
      </c>
      <c r="F405" s="45" t="str">
        <f>VLOOKUP(C405,Total!$B$2:$F$439,5,0)</f>
        <v>AKTIF</v>
      </c>
      <c r="G405" s="46" t="str">
        <f>VLOOKUP($B405,master!$B$2:$S$595,16,0)</f>
        <v>087773236512</v>
      </c>
      <c r="H405" s="46" t="str">
        <f>VLOOKUP($B405,master!$B$2:$S$595,17,0)</f>
        <v>087773236512</v>
      </c>
      <c r="I405" s="46" t="str">
        <f>VLOOKUP($B405,master!$B$2:$S$595,8,0)</f>
        <v>NGLEBAK DK. DAGARAN</v>
      </c>
      <c r="J405" s="46" t="str">
        <f>VLOOKUP($B405,master!$B$2:$S$595,9,0)</f>
        <v>8</v>
      </c>
      <c r="K405" s="46" t="str">
        <f>VLOOKUP($B405,master!$B$2:$S$595,11,0)</f>
        <v>PALBAPANG</v>
      </c>
      <c r="L405" s="46" t="str">
        <f>VLOOKUP($B405,master!$B$2:$S$595,12,0)</f>
        <v>BANTUL</v>
      </c>
      <c r="M405" s="46" t="str">
        <f>VLOOKUP($B405,master!$B$2:$S$595,6,0)</f>
        <v>SUJIYEM</v>
      </c>
      <c r="N405" s="58" t="str">
        <f>VLOOKUP($B405,master!$B$2:$S$595,15,0)</f>
        <v>SMP N 3 BANTUL</v>
      </c>
      <c r="O405" s="58" t="str">
        <f>VLOOKUP($B405,master!$B$2:$S$595,4,0)</f>
        <v>23-03-2008</v>
      </c>
    </row>
    <row r="406" spans="1:15" ht="15.75" customHeight="1" x14ac:dyDescent="0.25">
      <c r="A406" s="56" t="s">
        <v>488</v>
      </c>
      <c r="B406" s="88" t="s">
        <v>3267</v>
      </c>
      <c r="C406" s="88" t="s">
        <v>4403</v>
      </c>
      <c r="D406" s="88" t="s">
        <v>3268</v>
      </c>
      <c r="E406" s="45" t="str">
        <f>VLOOKUP(D406,Total!$C$2:$D$439,2,0)</f>
        <v>10 TSM 4</v>
      </c>
      <c r="F406" s="45" t="str">
        <f>VLOOKUP(C406,Total!$B$2:$F$439,5,0)</f>
        <v>AKTIF</v>
      </c>
      <c r="G406" s="46" t="str">
        <f>VLOOKUP($B406,master!$B$2:$S$595,16,0)</f>
        <v>085740007525</v>
      </c>
      <c r="H406" s="46" t="str">
        <f>VLOOKUP($B406,master!$B$2:$S$595,17,0)</f>
        <v>085740007525</v>
      </c>
      <c r="I406" s="46" t="str">
        <f>VLOOKUP($B406,master!$B$2:$S$595,8,0)</f>
        <v>NGABEAN</v>
      </c>
      <c r="J406" s="46" t="str">
        <f>VLOOKUP($B406,master!$B$2:$S$595,9,0)</f>
        <v>06</v>
      </c>
      <c r="K406" s="46" t="str">
        <f>VLOOKUP($B406,master!$B$2:$S$595,11,0)</f>
        <v>RINGINHARJO</v>
      </c>
      <c r="L406" s="46" t="str">
        <f>VLOOKUP($B406,master!$B$2:$S$595,12,0)</f>
        <v>BANTUL</v>
      </c>
      <c r="M406" s="46" t="str">
        <f>VLOOKUP($B406,master!$B$2:$S$595,6,0)</f>
        <v>WAKHIT SAHARI</v>
      </c>
      <c r="N406" s="58" t="str">
        <f>VLOOKUP($B406,master!$B$2:$S$595,15,0)</f>
        <v>SKB BANTUL</v>
      </c>
      <c r="O406" s="58" t="str">
        <f>VLOOKUP($B406,master!$B$2:$S$595,4,0)</f>
        <v>14-05-2009</v>
      </c>
    </row>
    <row r="407" spans="1:15" ht="15.75" customHeight="1" x14ac:dyDescent="0.25">
      <c r="A407" s="56" t="s">
        <v>489</v>
      </c>
      <c r="B407" s="88" t="s">
        <v>3565</v>
      </c>
      <c r="C407" s="88" t="s">
        <v>4404</v>
      </c>
      <c r="D407" s="88" t="s">
        <v>3566</v>
      </c>
      <c r="E407" s="45" t="str">
        <f>VLOOKUP(D407,Total!$C$2:$D$439,2,0)</f>
        <v>10 TSM 4</v>
      </c>
      <c r="F407" s="45" t="str">
        <f>VLOOKUP(C407,Total!$B$2:$F$439,5,0)</f>
        <v>AKTIF</v>
      </c>
      <c r="G407" s="46" t="str">
        <f>VLOOKUP($B407,master!$B$2:$S$595,16,0)</f>
        <v>081216204244</v>
      </c>
      <c r="H407" s="46" t="str">
        <f>VLOOKUP($B407,master!$B$2:$S$595,17,0)</f>
        <v>0895322615448</v>
      </c>
      <c r="I407" s="46" t="str">
        <f>VLOOKUP($B407,master!$B$2:$S$595,8,0)</f>
        <v>SINGOSAREN III</v>
      </c>
      <c r="J407" s="46" t="str">
        <f>VLOOKUP($B407,master!$B$2:$S$595,9,0)</f>
        <v>004</v>
      </c>
      <c r="K407" s="46" t="str">
        <f>VLOOKUP($B407,master!$B$2:$S$595,11,0)</f>
        <v>SINGOSAREN</v>
      </c>
      <c r="L407" s="46" t="str">
        <f>VLOOKUP($B407,master!$B$2:$S$595,12,0)</f>
        <v>BANGUNTAPAN</v>
      </c>
      <c r="M407" s="46" t="str">
        <f>VLOOKUP($B407,master!$B$2:$S$595,6,0)</f>
        <v>JUWANDIYONO</v>
      </c>
      <c r="N407" s="58" t="str">
        <f>VLOOKUP($B407,master!$B$2:$S$595,15,0)</f>
        <v>SMP N 3 PLERET</v>
      </c>
      <c r="O407" s="58" t="str">
        <f>VLOOKUP($B407,master!$B$2:$S$595,4,0)</f>
        <v>3-02-2010</v>
      </c>
    </row>
    <row r="408" spans="1:15" ht="15.75" customHeight="1" x14ac:dyDescent="0.25">
      <c r="A408" s="56" t="s">
        <v>490</v>
      </c>
      <c r="B408" s="88" t="s">
        <v>1862</v>
      </c>
      <c r="C408" s="88" t="s">
        <v>4405</v>
      </c>
      <c r="D408" s="88" t="s">
        <v>1863</v>
      </c>
      <c r="E408" s="45" t="str">
        <f>VLOOKUP(D408,Total!$C$2:$D$439,2,0)</f>
        <v>10 TSM 4</v>
      </c>
      <c r="F408" s="45" t="str">
        <f>VLOOKUP(C408,Total!$B$2:$F$439,5,0)</f>
        <v>AKTIF</v>
      </c>
      <c r="G408" s="46" t="str">
        <f>VLOOKUP($B408,master!$B$2:$S$595,16,0)</f>
        <v>085713325463</v>
      </c>
      <c r="H408" s="46" t="str">
        <f>VLOOKUP($B408,master!$B$2:$S$595,17,0)</f>
        <v>085713325463</v>
      </c>
      <c r="I408" s="46" t="str">
        <f>VLOOKUP($B408,master!$B$2:$S$595,8,0)</f>
        <v>JETIS</v>
      </c>
      <c r="J408" s="46" t="str">
        <f>VLOOKUP($B408,master!$B$2:$S$595,9,0)</f>
        <v>3</v>
      </c>
      <c r="K408" s="46" t="str">
        <f>VLOOKUP($B408,master!$B$2:$S$595,11,0)</f>
        <v>GILANGHARJO</v>
      </c>
      <c r="L408" s="46" t="str">
        <f>VLOOKUP($B408,master!$B$2:$S$595,12,0)</f>
        <v>PANDAK</v>
      </c>
      <c r="M408" s="46" t="str">
        <f>VLOOKUP($B408,master!$B$2:$S$595,6,0)</f>
        <v>SUPARNO</v>
      </c>
      <c r="N408" s="58" t="str">
        <f>VLOOKUP($B408,master!$B$2:$S$595,15,0)</f>
        <v>SMP N 4 PANDAK</v>
      </c>
      <c r="O408" s="58" t="str">
        <f>VLOOKUP($B408,master!$B$2:$S$595,4,0)</f>
        <v>4-01-2010</v>
      </c>
    </row>
    <row r="409" spans="1:15" ht="15.75" customHeight="1" x14ac:dyDescent="0.25">
      <c r="A409" s="56" t="s">
        <v>491</v>
      </c>
      <c r="B409" s="88" t="s">
        <v>674</v>
      </c>
      <c r="C409" s="88" t="s">
        <v>4406</v>
      </c>
      <c r="D409" s="88" t="s">
        <v>675</v>
      </c>
      <c r="E409" s="45" t="str">
        <f>VLOOKUP(D409,Total!$C$2:$D$439,2,0)</f>
        <v>10 TSM 4</v>
      </c>
      <c r="F409" s="45" t="str">
        <f>VLOOKUP(C409,Total!$B$2:$F$439,5,0)</f>
        <v>AKTIF</v>
      </c>
      <c r="G409" s="46" t="str">
        <f>VLOOKUP($B409,master!$B$2:$S$595,16,0)</f>
        <v>085732030340</v>
      </c>
      <c r="H409" s="46">
        <f>VLOOKUP($B409,master!$B$2:$S$595,17,0)</f>
        <v>0</v>
      </c>
      <c r="I409" s="46" t="str">
        <f>VLOOKUP($B409,master!$B$2:$S$595,8,0)</f>
        <v>PEPE</v>
      </c>
      <c r="J409" s="46" t="str">
        <f>VLOOKUP($B409,master!$B$2:$S$595,9,0)</f>
        <v>1</v>
      </c>
      <c r="K409" s="46" t="str">
        <f>VLOOKUP($B409,master!$B$2:$S$595,11,0)</f>
        <v>TRIRENGGO</v>
      </c>
      <c r="L409" s="46" t="str">
        <f>VLOOKUP($B409,master!$B$2:$S$595,12,0)</f>
        <v>BANTUL</v>
      </c>
      <c r="M409" s="46" t="str">
        <f>VLOOKUP($B409,master!$B$2:$S$595,6,0)</f>
        <v>SUGIONO</v>
      </c>
      <c r="N409" s="58" t="str">
        <f>VLOOKUP($B409,master!$B$2:$S$595,15,0)</f>
        <v>SMP PANCASILA KRIAN</v>
      </c>
      <c r="O409" s="58" t="str">
        <f>VLOOKUP($B409,master!$B$2:$S$595,4,0)</f>
        <v>11-01-2010</v>
      </c>
    </row>
    <row r="410" spans="1:15" ht="15.75" customHeight="1" x14ac:dyDescent="0.25">
      <c r="A410" s="56" t="s">
        <v>492</v>
      </c>
      <c r="B410" s="88" t="s">
        <v>1841</v>
      </c>
      <c r="C410" s="88" t="s">
        <v>4407</v>
      </c>
      <c r="D410" s="88" t="s">
        <v>1842</v>
      </c>
      <c r="E410" s="45" t="str">
        <f>VLOOKUP(D410,Total!$C$2:$D$439,2,0)</f>
        <v>10 TSM 4</v>
      </c>
      <c r="F410" s="45" t="str">
        <f>VLOOKUP(C410,Total!$B$2:$F$439,5,0)</f>
        <v>AKTIF</v>
      </c>
      <c r="G410" s="46" t="str">
        <f>VLOOKUP($B410,master!$B$2:$S$595,16,0)</f>
        <v>085896127800</v>
      </c>
      <c r="H410" s="46" t="str">
        <f>VLOOKUP($B410,master!$B$2:$S$595,17,0)</f>
        <v>081327772661</v>
      </c>
      <c r="I410" s="46" t="str">
        <f>VLOOKUP($B410,master!$B$2:$S$595,8,0)</f>
        <v>PATEN</v>
      </c>
      <c r="J410" s="46" t="str">
        <f>VLOOKUP($B410,master!$B$2:$S$595,9,0)</f>
        <v>6</v>
      </c>
      <c r="K410" s="46" t="str">
        <f>VLOOKUP($B410,master!$B$2:$S$595,11,0)</f>
        <v>TIMBULHARJO</v>
      </c>
      <c r="L410" s="46" t="str">
        <f>VLOOKUP($B410,master!$B$2:$S$595,12,0)</f>
        <v>SEWON</v>
      </c>
      <c r="M410" s="46" t="str">
        <f>VLOOKUP($B410,master!$B$2:$S$595,6,0)</f>
        <v>SRI WIRAWATI</v>
      </c>
      <c r="N410" s="58" t="str">
        <f>VLOOKUP($B410,master!$B$2:$S$595,15,0)</f>
        <v>SMP N 4 SEWON</v>
      </c>
      <c r="O410" s="58" t="str">
        <f>VLOOKUP($B410,master!$B$2:$S$595,4,0)</f>
        <v>26-03-2009</v>
      </c>
    </row>
    <row r="411" spans="1:15" ht="15.75" customHeight="1" x14ac:dyDescent="0.25">
      <c r="A411" s="56" t="s">
        <v>493</v>
      </c>
      <c r="B411" s="88" t="s">
        <v>1421</v>
      </c>
      <c r="C411" s="88" t="s">
        <v>4408</v>
      </c>
      <c r="D411" s="88" t="s">
        <v>1422</v>
      </c>
      <c r="E411" s="45" t="str">
        <f>VLOOKUP(D411,Total!$C$2:$D$439,2,0)</f>
        <v>10 TSM 4</v>
      </c>
      <c r="F411" s="45" t="str">
        <f>VLOOKUP(C411,Total!$B$2:$F$439,5,0)</f>
        <v>AKTIF</v>
      </c>
      <c r="G411" s="46" t="str">
        <f>VLOOKUP($B411,master!$B$2:$S$595,16,0)</f>
        <v>085725950180</v>
      </c>
      <c r="H411" s="46" t="str">
        <f>VLOOKUP($B411,master!$B$2:$S$595,17,0)</f>
        <v>08818751743</v>
      </c>
      <c r="I411" s="46" t="str">
        <f>VLOOKUP($B411,master!$B$2:$S$595,8,0)</f>
        <v>JETIS</v>
      </c>
      <c r="J411" s="46" t="str">
        <f>VLOOKUP($B411,master!$B$2:$S$595,9,0)</f>
        <v>1</v>
      </c>
      <c r="K411" s="46" t="str">
        <f>VLOOKUP($B411,master!$B$2:$S$595,11,0)</f>
        <v>TAMANTIRTO</v>
      </c>
      <c r="L411" s="46" t="str">
        <f>VLOOKUP($B411,master!$B$2:$S$595,12,0)</f>
        <v>KASIHAN</v>
      </c>
      <c r="M411" s="46" t="str">
        <f>VLOOKUP($B411,master!$B$2:$S$595,6,0)</f>
        <v>BUDI PRIYANTA</v>
      </c>
      <c r="N411" s="58" t="str">
        <f>VLOOKUP($B411,master!$B$2:$S$595,15,0)</f>
        <v>SMP MATARAM KASIHAN</v>
      </c>
      <c r="O411" s="58" t="str">
        <f>VLOOKUP($B411,master!$B$2:$S$595,4,0)</f>
        <v>10-12-2009</v>
      </c>
    </row>
    <row r="412" spans="1:15" ht="15.75" customHeight="1" x14ac:dyDescent="0.25">
      <c r="A412" s="56" t="s">
        <v>494</v>
      </c>
      <c r="B412" s="88" t="s">
        <v>2194</v>
      </c>
      <c r="C412" s="88" t="s">
        <v>4409</v>
      </c>
      <c r="D412" s="88" t="s">
        <v>2195</v>
      </c>
      <c r="E412" s="45" t="str">
        <f>VLOOKUP(D412,Total!$C$2:$D$439,2,0)</f>
        <v>10 TSM 4</v>
      </c>
      <c r="F412" s="45" t="str">
        <f>VLOOKUP(C412,Total!$B$2:$F$439,5,0)</f>
        <v>AKTIF</v>
      </c>
      <c r="G412" s="46" t="str">
        <f>VLOOKUP($B412,master!$B$2:$S$595,16,0)</f>
        <v>089619176778</v>
      </c>
      <c r="H412" s="46" t="str">
        <f>VLOOKUP($B412,master!$B$2:$S$595,17,0)</f>
        <v>0895429958800</v>
      </c>
      <c r="I412" s="46" t="str">
        <f>VLOOKUP($B412,master!$B$2:$S$595,8,0)</f>
        <v>KEDATON</v>
      </c>
      <c r="J412" s="46" t="str">
        <f>VLOOKUP($B412,master!$B$2:$S$595,9,0)</f>
        <v>06</v>
      </c>
      <c r="K412" s="46" t="str">
        <f>VLOOKUP($B412,master!$B$2:$S$595,11,0)</f>
        <v>PLERET</v>
      </c>
      <c r="L412" s="46" t="str">
        <f>VLOOKUP($B412,master!$B$2:$S$595,12,0)</f>
        <v>PLERET</v>
      </c>
      <c r="M412" s="46" t="str">
        <f>VLOOKUP($B412,master!$B$2:$S$595,6,0)</f>
        <v>EKO NURCAHYO</v>
      </c>
      <c r="N412" s="58" t="str">
        <f>VLOOKUP($B412,master!$B$2:$S$595,15,0)</f>
        <v>SMP N 2 PLERET</v>
      </c>
      <c r="O412" s="58" t="str">
        <f>VLOOKUP($B412,master!$B$2:$S$595,4,0)</f>
        <v>11-10-2009</v>
      </c>
    </row>
    <row r="413" spans="1:15" ht="15.75" customHeight="1" x14ac:dyDescent="0.25">
      <c r="A413" s="56" t="s">
        <v>495</v>
      </c>
      <c r="B413" s="88" t="s">
        <v>667</v>
      </c>
      <c r="C413" s="88" t="s">
        <v>4410</v>
      </c>
      <c r="D413" s="88" t="s">
        <v>668</v>
      </c>
      <c r="E413" s="45" t="str">
        <f>VLOOKUP(D413,Total!$C$2:$D$439,2,0)</f>
        <v>10 TSM 4</v>
      </c>
      <c r="F413" s="45" t="str">
        <f>VLOOKUP(C413,Total!$B$2:$F$439,5,0)</f>
        <v>AKTIF</v>
      </c>
      <c r="G413" s="46" t="str">
        <f>VLOOKUP($B413,master!$B$2:$S$595,16,0)</f>
        <v>087839467341</v>
      </c>
      <c r="H413" s="46">
        <f>VLOOKUP($B413,master!$B$2:$S$595,17,0)</f>
        <v>0</v>
      </c>
      <c r="I413" s="46" t="str">
        <f>VLOOKUP($B413,master!$B$2:$S$595,8,0)</f>
        <v>KADIBESO</v>
      </c>
      <c r="J413" s="46" t="str">
        <f>VLOOKUP($B413,master!$B$2:$S$595,9,0)</f>
        <v>3</v>
      </c>
      <c r="K413" s="46" t="str">
        <f>VLOOKUP($B413,master!$B$2:$S$595,11,0)</f>
        <v>SABDODADI</v>
      </c>
      <c r="L413" s="46" t="str">
        <f>VLOOKUP($B413,master!$B$2:$S$595,12,0)</f>
        <v>BANTUL</v>
      </c>
      <c r="M413" s="46" t="str">
        <f>VLOOKUP($B413,master!$B$2:$S$595,6,0)</f>
        <v>PURWADI SANTOSO</v>
      </c>
      <c r="N413" s="58" t="str">
        <f>VLOOKUP($B413,master!$B$2:$S$595,15,0)</f>
        <v>SMP N 3 BANTUL</v>
      </c>
      <c r="O413" s="58" t="str">
        <f>VLOOKUP($B413,master!$B$2:$S$595,4,0)</f>
        <v>9-03-2010</v>
      </c>
    </row>
    <row r="414" spans="1:15" ht="15.75" customHeight="1" x14ac:dyDescent="0.25">
      <c r="A414" s="56" t="s">
        <v>496</v>
      </c>
      <c r="B414" s="88" t="s">
        <v>704</v>
      </c>
      <c r="C414" s="88" t="s">
        <v>4411</v>
      </c>
      <c r="D414" s="88" t="s">
        <v>705</v>
      </c>
      <c r="E414" s="45" t="str">
        <f>VLOOKUP(D414,Total!$C$2:$D$439,2,0)</f>
        <v>10 TSM 4</v>
      </c>
      <c r="F414" s="45" t="str">
        <f>VLOOKUP(C414,Total!$B$2:$F$439,5,0)</f>
        <v>AKTIF</v>
      </c>
      <c r="G414" s="46" t="str">
        <f>VLOOKUP($B414,master!$B$2:$S$595,16,0)</f>
        <v>087838738900</v>
      </c>
      <c r="H414" s="46">
        <f>VLOOKUP($B414,master!$B$2:$S$595,17,0)</f>
        <v>0</v>
      </c>
      <c r="I414" s="46" t="str">
        <f>VLOOKUP($B414,master!$B$2:$S$595,8,0)</f>
        <v>CEPOR KIDUL</v>
      </c>
      <c r="J414" s="46" t="str">
        <f>VLOOKUP($B414,master!$B$2:$S$595,9,0)</f>
        <v>5</v>
      </c>
      <c r="K414" s="46" t="str">
        <f>VLOOKUP($B414,master!$B$2:$S$595,11,0)</f>
        <v>PALBAPANG</v>
      </c>
      <c r="L414" s="46" t="str">
        <f>VLOOKUP($B414,master!$B$2:$S$595,12,0)</f>
        <v>BANTUL</v>
      </c>
      <c r="M414" s="46" t="str">
        <f>VLOOKUP($B414,master!$B$2:$S$595,6,0)</f>
        <v>GUNARDI</v>
      </c>
      <c r="N414" s="58" t="str">
        <f>VLOOKUP($B414,master!$B$2:$S$595,15,0)</f>
        <v>SMP N 3 BANTUL</v>
      </c>
      <c r="O414" s="58" t="str">
        <f>VLOOKUP($B414,master!$B$2:$S$595,4,0)</f>
        <v>7-01-2010</v>
      </c>
    </row>
    <row r="415" spans="1:15" ht="15.75" customHeight="1" x14ac:dyDescent="0.25">
      <c r="A415" s="56" t="s">
        <v>497</v>
      </c>
      <c r="B415" s="88" t="s">
        <v>774</v>
      </c>
      <c r="C415" s="88" t="s">
        <v>4412</v>
      </c>
      <c r="D415" s="88" t="s">
        <v>775</v>
      </c>
      <c r="E415" s="45" t="str">
        <f>VLOOKUP(D415,Total!$C$2:$D$439,2,0)</f>
        <v>10 TSM 4</v>
      </c>
      <c r="F415" s="45" t="str">
        <f>VLOOKUP(C415,Total!$B$2:$F$439,5,0)</f>
        <v>AKTIF</v>
      </c>
      <c r="G415" s="46" t="str">
        <f>VLOOKUP($B415,master!$B$2:$S$595,16,0)</f>
        <v>0895401667344</v>
      </c>
      <c r="H415" s="46">
        <f>VLOOKUP($B415,master!$B$2:$S$595,17,0)</f>
        <v>0</v>
      </c>
      <c r="I415" s="46" t="str">
        <f>VLOOKUP($B415,master!$B$2:$S$595,8,0)</f>
        <v>CAGUNAN</v>
      </c>
      <c r="J415" s="46" t="str">
        <f>VLOOKUP($B415,master!$B$2:$S$595,9,0)</f>
        <v>119</v>
      </c>
      <c r="K415" s="46" t="str">
        <f>VLOOKUP($B415,master!$B$2:$S$595,11,0)</f>
        <v>TRIMURTI</v>
      </c>
      <c r="L415" s="46" t="str">
        <f>VLOOKUP($B415,master!$B$2:$S$595,12,0)</f>
        <v>SRANDAKAN</v>
      </c>
      <c r="M415" s="46" t="str">
        <f>VLOOKUP($B415,master!$B$2:$S$595,6,0)</f>
        <v>IKHSAN</v>
      </c>
      <c r="N415" s="58" t="str">
        <f>VLOOKUP($B415,master!$B$2:$S$595,15,0)</f>
        <v>SMP N 1 SRANDAKAN</v>
      </c>
      <c r="O415" s="58" t="str">
        <f>VLOOKUP($B415,master!$B$2:$S$595,4,0)</f>
        <v>7-07-2009</v>
      </c>
    </row>
    <row r="416" spans="1:15" ht="15.75" customHeight="1" x14ac:dyDescent="0.25">
      <c r="A416" s="56" t="s">
        <v>498</v>
      </c>
      <c r="B416" s="88" t="s">
        <v>747</v>
      </c>
      <c r="C416" s="88" t="s">
        <v>4413</v>
      </c>
      <c r="D416" s="88" t="s">
        <v>748</v>
      </c>
      <c r="E416" s="45" t="str">
        <f>VLOOKUP(D416,Total!$C$2:$D$439,2,0)</f>
        <v>10 TSM 4</v>
      </c>
      <c r="F416" s="45" t="str">
        <f>VLOOKUP(C416,Total!$B$2:$F$439,5,0)</f>
        <v>AKTIF</v>
      </c>
      <c r="G416" s="46" t="str">
        <f>VLOOKUP($B416,master!$B$2:$S$595,16,0)</f>
        <v>087846631667</v>
      </c>
      <c r="H416" s="46">
        <f>VLOOKUP($B416,master!$B$2:$S$595,17,0)</f>
        <v>0</v>
      </c>
      <c r="I416" s="46" t="str">
        <f>VLOOKUP($B416,master!$B$2:$S$595,8,0)</f>
        <v>KLEMBON</v>
      </c>
      <c r="J416" s="46" t="str">
        <f>VLOOKUP($B416,master!$B$2:$S$595,9,0)</f>
        <v>4</v>
      </c>
      <c r="K416" s="46" t="str">
        <f>VLOOKUP($B416,master!$B$2:$S$595,11,0)</f>
        <v>TRIRENGGO</v>
      </c>
      <c r="L416" s="46" t="str">
        <f>VLOOKUP($B416,master!$B$2:$S$595,12,0)</f>
        <v>BANTUL</v>
      </c>
      <c r="M416" s="46" t="str">
        <f>VLOOKUP($B416,master!$B$2:$S$595,6,0)</f>
        <v>SUTARDI</v>
      </c>
      <c r="N416" s="58" t="str">
        <f>VLOOKUP($B416,master!$B$2:$S$595,15,0)</f>
        <v>MTs N 4 BANTUL</v>
      </c>
      <c r="O416" s="58" t="str">
        <f>VLOOKUP($B416,master!$B$2:$S$595,4,0)</f>
        <v>3-01-2010</v>
      </c>
    </row>
    <row r="417" spans="1:15" ht="15.75" customHeight="1" x14ac:dyDescent="0.25">
      <c r="A417" s="56" t="s">
        <v>499</v>
      </c>
      <c r="B417" s="88" t="s">
        <v>697</v>
      </c>
      <c r="C417" s="88" t="s">
        <v>4414</v>
      </c>
      <c r="D417" s="88" t="s">
        <v>698</v>
      </c>
      <c r="E417" s="45" t="str">
        <f>VLOOKUP(D417,Total!$C$2:$D$439,2,0)</f>
        <v>10 TSM 4</v>
      </c>
      <c r="F417" s="45" t="str">
        <f>VLOOKUP(C417,Total!$B$2:$F$439,5,0)</f>
        <v>AKTIF</v>
      </c>
      <c r="G417" s="46" t="str">
        <f>VLOOKUP($B417,master!$B$2:$S$595,16,0)</f>
        <v>085727740015</v>
      </c>
      <c r="H417" s="46">
        <f>VLOOKUP($B417,master!$B$2:$S$595,17,0)</f>
        <v>0</v>
      </c>
      <c r="I417" s="46" t="str">
        <f>VLOOKUP($B417,master!$B$2:$S$595,8,0)</f>
        <v>CEPOR KIDUL</v>
      </c>
      <c r="J417" s="46" t="str">
        <f>VLOOKUP($B417,master!$B$2:$S$595,9,0)</f>
        <v>5</v>
      </c>
      <c r="K417" s="46" t="str">
        <f>VLOOKUP($B417,master!$B$2:$S$595,11,0)</f>
        <v>PALBAPANG</v>
      </c>
      <c r="L417" s="46" t="str">
        <f>VLOOKUP($B417,master!$B$2:$S$595,12,0)</f>
        <v>BANTUL</v>
      </c>
      <c r="M417" s="46" t="str">
        <f>VLOOKUP($B417,master!$B$2:$S$595,6,0)</f>
        <v>KUN FAYADI</v>
      </c>
      <c r="N417" s="58" t="str">
        <f>VLOOKUP($B417,master!$B$2:$S$595,15,0)</f>
        <v>SMP MUHAMMADIYAH 2 BAMBANGLIPURO</v>
      </c>
      <c r="O417" s="58" t="str">
        <f>VLOOKUP($B417,master!$B$2:$S$595,4,0)</f>
        <v>21-09-2009</v>
      </c>
    </row>
    <row r="418" spans="1:15" ht="15.75" customHeight="1" x14ac:dyDescent="0.25">
      <c r="A418" s="56" t="s">
        <v>500</v>
      </c>
      <c r="B418" s="88" t="s">
        <v>1126</v>
      </c>
      <c r="C418" s="88" t="s">
        <v>4415</v>
      </c>
      <c r="D418" s="88" t="s">
        <v>1127</v>
      </c>
      <c r="E418" s="45" t="str">
        <f>VLOOKUP(D418,Total!$C$2:$D$439,2,0)</f>
        <v>10 TSM 4</v>
      </c>
      <c r="F418" s="45" t="str">
        <f>VLOOKUP(C418,Total!$B$2:$F$439,5,0)</f>
        <v>AKTIF</v>
      </c>
      <c r="G418" s="46" t="str">
        <f>VLOOKUP($B418,master!$B$2:$S$595,16,0)</f>
        <v>085934821345</v>
      </c>
      <c r="H418" s="46" t="str">
        <f>VLOOKUP($B418,master!$B$2:$S$595,17,0)</f>
        <v>-</v>
      </c>
      <c r="I418" s="46" t="str">
        <f>VLOOKUP($B418,master!$B$2:$S$595,8,0)</f>
        <v>SORONANGGAN</v>
      </c>
      <c r="J418" s="46" t="str">
        <f>VLOOKUP($B418,master!$B$2:$S$595,9,0)</f>
        <v>3</v>
      </c>
      <c r="K418" s="46" t="str">
        <f>VLOOKUP($B418,master!$B$2:$S$595,11,0)</f>
        <v>PANJANGREJO</v>
      </c>
      <c r="L418" s="46" t="str">
        <f>VLOOKUP($B418,master!$B$2:$S$595,12,0)</f>
        <v>PUNDONG</v>
      </c>
      <c r="M418" s="46" t="str">
        <f>VLOOKUP($B418,master!$B$2:$S$595,6,0)</f>
        <v>ACHMAD FAUZI</v>
      </c>
      <c r="N418" s="58" t="str">
        <f>VLOOKUP($B418,master!$B$2:$S$595,15,0)</f>
        <v>MTS N 5 BANTUL</v>
      </c>
      <c r="O418" s="58" t="str">
        <f>VLOOKUP($B418,master!$B$2:$S$595,4,0)</f>
        <v>12-10-2009</v>
      </c>
    </row>
    <row r="419" spans="1:15" ht="15.75" customHeight="1" x14ac:dyDescent="0.25">
      <c r="A419" s="56" t="s">
        <v>501</v>
      </c>
      <c r="B419" s="88" t="s">
        <v>2765</v>
      </c>
      <c r="C419" s="88" t="s">
        <v>4416</v>
      </c>
      <c r="D419" s="88" t="s">
        <v>2766</v>
      </c>
      <c r="E419" s="45" t="str">
        <f>VLOOKUP(D419,Total!$C$2:$D$439,2,0)</f>
        <v>10 TSM 4</v>
      </c>
      <c r="F419" s="45" t="str">
        <f>VLOOKUP(C419,Total!$B$2:$F$439,5,0)</f>
        <v>AKTIF</v>
      </c>
      <c r="G419" s="46" t="str">
        <f>VLOOKUP($B419,master!$B$2:$S$595,16,0)</f>
        <v>085878136762</v>
      </c>
      <c r="H419" s="46" t="str">
        <f>VLOOKUP($B419,master!$B$2:$S$595,17,0)</f>
        <v>08994528881</v>
      </c>
      <c r="I419" s="46" t="str">
        <f>VLOOKUP($B419,master!$B$2:$S$595,8,0)</f>
        <v>SENGGOTAN</v>
      </c>
      <c r="J419" s="46" t="str">
        <f>VLOOKUP($B419,master!$B$2:$S$595,9,0)</f>
        <v>10</v>
      </c>
      <c r="K419" s="46" t="str">
        <f>VLOOKUP($B419,master!$B$2:$S$595,11,0)</f>
        <v>TIRTONIRMOLO</v>
      </c>
      <c r="L419" s="46" t="str">
        <f>VLOOKUP($B419,master!$B$2:$S$595,12,0)</f>
        <v>KASIHAN</v>
      </c>
      <c r="M419" s="46" t="str">
        <f>VLOOKUP($B419,master!$B$2:$S$595,6,0)</f>
        <v>Sutriyono</v>
      </c>
      <c r="N419" s="58" t="str">
        <f>VLOOKUP($B419,master!$B$2:$S$595,15,0)</f>
        <v>SMP MUHAMMADIYAH KASIHAN</v>
      </c>
      <c r="O419" s="58" t="str">
        <f>VLOOKUP($B419,master!$B$2:$S$595,4,0)</f>
        <v>25-08-2009</v>
      </c>
    </row>
    <row r="420" spans="1:15" ht="15.75" customHeight="1" x14ac:dyDescent="0.25">
      <c r="A420" s="56" t="s">
        <v>502</v>
      </c>
      <c r="B420" s="88" t="s">
        <v>4051</v>
      </c>
      <c r="C420" s="88" t="s">
        <v>4417</v>
      </c>
      <c r="D420" s="88" t="s">
        <v>4052</v>
      </c>
      <c r="E420" s="45" t="str">
        <f>VLOOKUP(D420,Total!$C$2:$D$439,2,0)</f>
        <v>10 TSM 4</v>
      </c>
      <c r="F420" s="45" t="str">
        <f>VLOOKUP(C420,Total!$B$2:$F$439,5,0)</f>
        <v>AKTIF</v>
      </c>
      <c r="G420" s="46" t="str">
        <f>VLOOKUP($B420,master!$B$2:$S$595,16,0)</f>
        <v>081804141666</v>
      </c>
      <c r="H420" s="46" t="str">
        <f>VLOOKUP($B420,master!$B$2:$S$595,17,0)</f>
        <v>087772055468</v>
      </c>
      <c r="I420" s="46" t="str">
        <f>VLOOKUP($B420,master!$B$2:$S$595,8,0)</f>
        <v>TANGKILAN</v>
      </c>
      <c r="J420" s="46" t="str">
        <f>VLOOKUP($B420,master!$B$2:$S$595,9,0)</f>
        <v>5</v>
      </c>
      <c r="K420" s="46" t="str">
        <f>VLOOKUP($B420,master!$B$2:$S$595,11,0)</f>
        <v>SUMBERMULYO</v>
      </c>
      <c r="L420" s="46" t="str">
        <f>VLOOKUP($B420,master!$B$2:$S$595,12,0)</f>
        <v>BAMBANGLIPURO</v>
      </c>
      <c r="M420" s="46" t="str">
        <f>VLOOKUP($B420,master!$B$2:$S$595,6,0)</f>
        <v>SETO AJI</v>
      </c>
      <c r="N420" s="58" t="str">
        <f>VLOOKUP($B420,master!$B$2:$S$595,15,0)</f>
        <v>SMP N 1 BAMBANGLIPURO</v>
      </c>
      <c r="O420" s="58" t="str">
        <f>VLOOKUP($B420,master!$B$2:$S$595,4,0)</f>
        <v>22-05-2010</v>
      </c>
    </row>
    <row r="421" spans="1:15" ht="15.75" customHeight="1" x14ac:dyDescent="0.25">
      <c r="A421" s="56" t="s">
        <v>503</v>
      </c>
      <c r="B421" s="88" t="s">
        <v>1650</v>
      </c>
      <c r="C421" s="88" t="s">
        <v>4418</v>
      </c>
      <c r="D421" s="88" t="s">
        <v>1651</v>
      </c>
      <c r="E421" s="45" t="str">
        <f>VLOOKUP(D421,Total!$C$2:$D$439,2,0)</f>
        <v>10 TSM 4</v>
      </c>
      <c r="F421" s="45" t="str">
        <f>VLOOKUP(C421,Total!$B$2:$F$439,5,0)</f>
        <v>AKTIF</v>
      </c>
      <c r="G421" s="46" t="str">
        <f>VLOOKUP($B421,master!$B$2:$S$595,16,0)</f>
        <v>089670121146</v>
      </c>
      <c r="H421" s="46" t="str">
        <f>VLOOKUP($B421,master!$B$2:$S$595,17,0)</f>
        <v>-</v>
      </c>
      <c r="I421" s="46" t="str">
        <f>VLOOKUP($B421,master!$B$2:$S$595,8,0)</f>
        <v>GESIK</v>
      </c>
      <c r="J421" s="46" t="str">
        <f>VLOOKUP($B421,master!$B$2:$S$595,9,0)</f>
        <v>3</v>
      </c>
      <c r="K421" s="46" t="str">
        <f>VLOOKUP($B421,master!$B$2:$S$595,11,0)</f>
        <v>BANGUNJIWO</v>
      </c>
      <c r="L421" s="46" t="str">
        <f>VLOOKUP($B421,master!$B$2:$S$595,12,0)</f>
        <v>KASIHAN</v>
      </c>
      <c r="M421" s="46" t="str">
        <f>VLOOKUP($B421,master!$B$2:$S$595,6,0)</f>
        <v>RATNA YULISTIANTI</v>
      </c>
      <c r="N421" s="58" t="str">
        <f>VLOOKUP($B421,master!$B$2:$S$595,15,0)</f>
        <v>SMP MUHAMMADIYAH KASIHAN</v>
      </c>
      <c r="O421" s="58" t="str">
        <f>VLOOKUP($B421,master!$B$2:$S$595,4,0)</f>
        <v>13-09-2009</v>
      </c>
    </row>
    <row r="422" spans="1:15" ht="15.75" customHeight="1" x14ac:dyDescent="0.25">
      <c r="A422" s="56" t="s">
        <v>504</v>
      </c>
      <c r="B422" s="88" t="s">
        <v>3365</v>
      </c>
      <c r="C422" s="88" t="s">
        <v>4419</v>
      </c>
      <c r="D422" s="88" t="s">
        <v>3366</v>
      </c>
      <c r="E422" s="45" t="str">
        <f>VLOOKUP(D422,Total!$C$2:$D$439,2,0)</f>
        <v>10 TSM 4</v>
      </c>
      <c r="F422" s="45" t="str">
        <f>VLOOKUP(C422,Total!$B$2:$F$439,5,0)</f>
        <v>AKTIF</v>
      </c>
      <c r="G422" s="46" t="str">
        <f>VLOOKUP($B422,master!$B$2:$S$595,16,0)</f>
        <v>081802745175</v>
      </c>
      <c r="H422" s="46" t="str">
        <f>VLOOKUP($B422,master!$B$2:$S$595,17,0)</f>
        <v>087740957848</v>
      </c>
      <c r="I422" s="46" t="str">
        <f>VLOOKUP($B422,master!$B$2:$S$595,8,0)</f>
        <v>SITEN</v>
      </c>
      <c r="J422" s="46" t="str">
        <f>VLOOKUP($B422,master!$B$2:$S$595,9,0)</f>
        <v>02</v>
      </c>
      <c r="K422" s="46" t="str">
        <f>VLOOKUP($B422,master!$B$2:$S$595,11,0)</f>
        <v>SUMBERMULYO</v>
      </c>
      <c r="L422" s="46" t="str">
        <f>VLOOKUP($B422,master!$B$2:$S$595,12,0)</f>
        <v>BAMBANGLIPURO</v>
      </c>
      <c r="M422" s="46" t="str">
        <f>VLOOKUP($B422,master!$B$2:$S$595,6,0)</f>
        <v>SUMARSITO</v>
      </c>
      <c r="N422" s="58" t="str">
        <f>VLOOKUP($B422,master!$B$2:$S$595,15,0)</f>
        <v>SMP N 1 BAMBANGLIPURO</v>
      </c>
      <c r="O422" s="58" t="str">
        <f>VLOOKUP($B422,master!$B$2:$S$595,4,0)</f>
        <v>13-04-2010</v>
      </c>
    </row>
    <row r="423" spans="1:15" ht="15.75" customHeight="1" x14ac:dyDescent="0.25">
      <c r="A423" s="56" t="s">
        <v>505</v>
      </c>
      <c r="B423" s="88" t="s">
        <v>3465</v>
      </c>
      <c r="C423" s="88" t="s">
        <v>4420</v>
      </c>
      <c r="D423" s="88" t="s">
        <v>3466</v>
      </c>
      <c r="E423" s="45" t="str">
        <f>VLOOKUP(D423,Total!$C$2:$D$439,2,0)</f>
        <v>10 TSM 4</v>
      </c>
      <c r="F423" s="45" t="str">
        <f>VLOOKUP(C423,Total!$B$2:$F$439,5,0)</f>
        <v>AKTIF</v>
      </c>
      <c r="G423" s="46" t="str">
        <f>VLOOKUP($B423,master!$B$2:$S$595,16,0)</f>
        <v>08558906513</v>
      </c>
      <c r="H423" s="46" t="str">
        <f>VLOOKUP($B423,master!$B$2:$S$595,17,0)</f>
        <v>08558906513</v>
      </c>
      <c r="I423" s="46" t="str">
        <f>VLOOKUP($B423,master!$B$2:$S$595,8,0)</f>
        <v>BRAJAN</v>
      </c>
      <c r="J423" s="46" t="str">
        <f>VLOOKUP($B423,master!$B$2:$S$595,9,0)</f>
        <v>05</v>
      </c>
      <c r="K423" s="46" t="str">
        <f>VLOOKUP($B423,master!$B$2:$S$595,11,0)</f>
        <v>WONOKROMO</v>
      </c>
      <c r="L423" s="46" t="str">
        <f>VLOOKUP($B423,master!$B$2:$S$595,12,0)</f>
        <v>PLERET</v>
      </c>
      <c r="M423" s="46" t="str">
        <f>VLOOKUP($B423,master!$B$2:$S$595,6,0)</f>
        <v>MUSTOFA</v>
      </c>
      <c r="N423" s="58" t="str">
        <f>VLOOKUP($B423,master!$B$2:$S$595,15,0)</f>
        <v>MTS NURUL UMMAH</v>
      </c>
      <c r="O423" s="58" t="str">
        <f>VLOOKUP($B423,master!$B$2:$S$595,4,0)</f>
        <v>14-11-2009</v>
      </c>
    </row>
    <row r="424" spans="1:15" ht="15.75" customHeight="1" x14ac:dyDescent="0.25">
      <c r="A424" s="56" t="s">
        <v>506</v>
      </c>
      <c r="B424" s="88" t="s">
        <v>3029</v>
      </c>
      <c r="C424" s="88" t="s">
        <v>4421</v>
      </c>
      <c r="D424" s="88" t="s">
        <v>3030</v>
      </c>
      <c r="E424" s="45" t="str">
        <f>VLOOKUP(D424,Total!$C$2:$D$439,2,0)</f>
        <v>10 TSM 4</v>
      </c>
      <c r="F424" s="45" t="str">
        <f>VLOOKUP(C424,Total!$B$2:$F$439,5,0)</f>
        <v>AKTIF</v>
      </c>
      <c r="G424" s="46" t="str">
        <f>VLOOKUP($B424,master!$B$2:$S$595,16,0)</f>
        <v>087836252538</v>
      </c>
      <c r="H424" s="46" t="str">
        <f>VLOOKUP($B424,master!$B$2:$S$595,17,0)</f>
        <v>081952716095</v>
      </c>
      <c r="I424" s="46" t="str">
        <f>VLOOKUP($B424,master!$B$2:$S$595,8,0)</f>
        <v>KREBET</v>
      </c>
      <c r="J424" s="46" t="str">
        <f>VLOOKUP($B424,master!$B$2:$S$595,9,0)</f>
        <v>0</v>
      </c>
      <c r="K424" s="46" t="str">
        <f>VLOOKUP($B424,master!$B$2:$S$595,11,0)</f>
        <v>SENDANGSARI</v>
      </c>
      <c r="L424" s="46" t="str">
        <f>VLOOKUP($B424,master!$B$2:$S$595,12,0)</f>
        <v>PAJANGAN</v>
      </c>
      <c r="M424" s="46" t="str">
        <f>VLOOKUP($B424,master!$B$2:$S$595,6,0)</f>
        <v>MUHAMMAD SHAIFUL BASIR</v>
      </c>
      <c r="N424" s="58" t="str">
        <f>VLOOKUP($B424,master!$B$2:$S$595,15,0)</f>
        <v>SMP IT AR-ROHMAH</v>
      </c>
      <c r="O424" s="58" t="str">
        <f>VLOOKUP($B424,master!$B$2:$S$595,4,0)</f>
        <v>6-11-2009</v>
      </c>
    </row>
    <row r="425" spans="1:15" ht="15.75" customHeight="1" x14ac:dyDescent="0.25">
      <c r="A425" s="56" t="s">
        <v>507</v>
      </c>
      <c r="B425" s="88" t="s">
        <v>1216</v>
      </c>
      <c r="C425" s="88" t="s">
        <v>4422</v>
      </c>
      <c r="D425" s="88" t="s">
        <v>1217</v>
      </c>
      <c r="E425" s="45" t="str">
        <f>VLOOKUP(D425,Total!$C$2:$D$439,2,0)</f>
        <v>10 TSM 4</v>
      </c>
      <c r="F425" s="45" t="str">
        <f>VLOOKUP(C425,Total!$B$2:$F$439,5,0)</f>
        <v>AKTIF</v>
      </c>
      <c r="G425" s="46" t="str">
        <f>VLOOKUP($B425,master!$B$2:$S$595,16,0)</f>
        <v>085729799971</v>
      </c>
      <c r="H425" s="46" t="str">
        <f>VLOOKUP($B425,master!$B$2:$S$595,17,0)</f>
        <v>-</v>
      </c>
      <c r="I425" s="46" t="str">
        <f>VLOOKUP($B425,master!$B$2:$S$595,8,0)</f>
        <v>JAGAN</v>
      </c>
      <c r="J425" s="46" t="str">
        <f>VLOOKUP($B425,master!$B$2:$S$595,9,0)</f>
        <v>6</v>
      </c>
      <c r="K425" s="46" t="str">
        <f>VLOOKUP($B425,master!$B$2:$S$595,11,0)</f>
        <v>CANDEN</v>
      </c>
      <c r="L425" s="46" t="str">
        <f>VLOOKUP($B425,master!$B$2:$S$595,12,0)</f>
        <v>JETIS</v>
      </c>
      <c r="M425" s="46" t="str">
        <f>VLOOKUP($B425,master!$B$2:$S$595,6,0)</f>
        <v>MARYADI</v>
      </c>
      <c r="N425" s="58" t="str">
        <f>VLOOKUP($B425,master!$B$2:$S$595,15,0)</f>
        <v>SMP N 3 JETIS</v>
      </c>
      <c r="O425" s="58" t="str">
        <f>VLOOKUP($B425,master!$B$2:$S$595,4,0)</f>
        <v>24-10-2009</v>
      </c>
    </row>
    <row r="426" spans="1:15" ht="15.75" customHeight="1" x14ac:dyDescent="0.25">
      <c r="A426" s="56" t="s">
        <v>508</v>
      </c>
      <c r="B426" s="88" t="s">
        <v>3062</v>
      </c>
      <c r="C426" s="88" t="s">
        <v>4423</v>
      </c>
      <c r="D426" s="88" t="s">
        <v>3063</v>
      </c>
      <c r="E426" s="45" t="str">
        <f>VLOOKUP(D426,Total!$C$2:$D$439,2,0)</f>
        <v>10 TSM 4</v>
      </c>
      <c r="F426" s="45" t="str">
        <f>VLOOKUP(C426,Total!$B$2:$F$439,5,0)</f>
        <v>AKTIF</v>
      </c>
      <c r="G426" s="46" t="str">
        <f>VLOOKUP($B426,master!$B$2:$S$595,16,0)</f>
        <v>089699921151</v>
      </c>
      <c r="H426" s="46" t="str">
        <f>VLOOKUP($B426,master!$B$2:$S$595,17,0)</f>
        <v>0895422909636</v>
      </c>
      <c r="I426" s="46" t="str">
        <f>VLOOKUP($B426,master!$B$2:$S$595,8,0)</f>
        <v>MUTIHAN</v>
      </c>
      <c r="J426" s="46" t="str">
        <f>VLOOKUP($B426,master!$B$2:$S$595,9,0)</f>
        <v>01</v>
      </c>
      <c r="K426" s="46" t="str">
        <f>VLOOKUP($B426,master!$B$2:$S$595,11,0)</f>
        <v>WIROKERTEN</v>
      </c>
      <c r="L426" s="46" t="str">
        <f>VLOOKUP($B426,master!$B$2:$S$595,12,0)</f>
        <v>PLERET</v>
      </c>
      <c r="M426" s="46" t="str">
        <f>VLOOKUP($B426,master!$B$2:$S$595,6,0)</f>
        <v>SRI LESTARI</v>
      </c>
      <c r="N426" s="58" t="str">
        <f>VLOOKUP($B426,master!$B$2:$S$595,15,0)</f>
        <v>SMP MUHAMMADIYAH PLERET</v>
      </c>
      <c r="O426" s="58" t="str">
        <f>VLOOKUP($B426,master!$B$2:$S$595,4,0)</f>
        <v>7-01-2010</v>
      </c>
    </row>
    <row r="427" spans="1:15" ht="15.75" customHeight="1" x14ac:dyDescent="0.25">
      <c r="A427" s="56" t="s">
        <v>509</v>
      </c>
      <c r="B427" s="88" t="s">
        <v>990</v>
      </c>
      <c r="C427" s="88" t="s">
        <v>4424</v>
      </c>
      <c r="D427" s="88" t="s">
        <v>991</v>
      </c>
      <c r="E427" s="45" t="str">
        <f>VLOOKUP(D427,Total!$C$2:$D$439,2,0)</f>
        <v>10 TSM 4</v>
      </c>
      <c r="F427" s="45" t="str">
        <f>VLOOKUP(C427,Total!$B$2:$F$439,5,0)</f>
        <v>AKTIF</v>
      </c>
      <c r="G427" s="46" t="str">
        <f>VLOOKUP($B427,master!$B$2:$S$595,16,0)</f>
        <v>089656453813 / 087839465005</v>
      </c>
      <c r="H427" s="46">
        <f>VLOOKUP($B427,master!$B$2:$S$595,17,0)</f>
        <v>0</v>
      </c>
      <c r="I427" s="46" t="str">
        <f>VLOOKUP($B427,master!$B$2:$S$595,8,0)</f>
        <v>JUWONO</v>
      </c>
      <c r="J427" s="46" t="str">
        <f>VLOOKUP($B427,master!$B$2:$S$595,9,0)</f>
        <v>3</v>
      </c>
      <c r="K427" s="46" t="str">
        <f>VLOOKUP($B427,master!$B$2:$S$595,11,0)</f>
        <v>TRIHARJO</v>
      </c>
      <c r="L427" s="46" t="str">
        <f>VLOOKUP($B427,master!$B$2:$S$595,12,0)</f>
        <v>PANDAK</v>
      </c>
      <c r="M427" s="46" t="str">
        <f>VLOOKUP($B427,master!$B$2:$S$595,6,0)</f>
        <v>ASTONI</v>
      </c>
      <c r="N427" s="58" t="str">
        <f>VLOOKUP($B427,master!$B$2:$S$595,15,0)</f>
        <v>SMP MUHAMMADIYAH BANTUL</v>
      </c>
      <c r="O427" s="58" t="str">
        <f>VLOOKUP($B427,master!$B$2:$S$595,4,0)</f>
        <v>28-10-2009</v>
      </c>
    </row>
    <row r="428" spans="1:15" ht="15.75" customHeight="1" x14ac:dyDescent="0.25">
      <c r="A428" s="56" t="s">
        <v>510</v>
      </c>
      <c r="B428" s="88" t="s">
        <v>1540</v>
      </c>
      <c r="C428" s="88" t="s">
        <v>4425</v>
      </c>
      <c r="D428" s="88" t="s">
        <v>1541</v>
      </c>
      <c r="E428" s="45" t="str">
        <f>VLOOKUP(D428,Total!$C$2:$D$439,2,0)</f>
        <v>10 TSM 4</v>
      </c>
      <c r="F428" s="45" t="str">
        <f>VLOOKUP(C428,Total!$B$2:$F$439,5,0)</f>
        <v>AKTIF</v>
      </c>
      <c r="G428" s="46" t="str">
        <f>VLOOKUP($B428,master!$B$2:$S$595,16,0)</f>
        <v>088226877201</v>
      </c>
      <c r="H428" s="46" t="str">
        <f>VLOOKUP($B428,master!$B$2:$S$595,17,0)</f>
        <v>088226877201</v>
      </c>
      <c r="I428" s="46" t="str">
        <f>VLOOKUP($B428,master!$B$2:$S$595,8,0)</f>
        <v>SEMBUNGAN</v>
      </c>
      <c r="J428" s="46" t="str">
        <f>VLOOKUP($B428,master!$B$2:$S$595,9,0)</f>
        <v>5</v>
      </c>
      <c r="K428" s="46" t="str">
        <f>VLOOKUP($B428,master!$B$2:$S$595,11,0)</f>
        <v>BANGUNJIWO</v>
      </c>
      <c r="L428" s="46" t="str">
        <f>VLOOKUP($B428,master!$B$2:$S$595,12,0)</f>
        <v>KASIHAN</v>
      </c>
      <c r="M428" s="46" t="str">
        <f>VLOOKUP($B428,master!$B$2:$S$595,6,0)</f>
        <v>SIAM MARTINAH</v>
      </c>
      <c r="N428" s="58" t="str">
        <f>VLOOKUP($B428,master!$B$2:$S$595,15,0)</f>
        <v>MTS MUHAMMADIYAH KASIHAN</v>
      </c>
      <c r="O428" s="58" t="str">
        <f>VLOOKUP($B428,master!$B$2:$S$595,4,0)</f>
        <v>7-02-2010</v>
      </c>
    </row>
    <row r="429" spans="1:15" ht="15.75" customHeight="1" x14ac:dyDescent="0.25">
      <c r="A429" s="56" t="s">
        <v>511</v>
      </c>
      <c r="B429" s="88" t="s">
        <v>864</v>
      </c>
      <c r="C429" s="88" t="s">
        <v>4426</v>
      </c>
      <c r="D429" s="88" t="s">
        <v>865</v>
      </c>
      <c r="E429" s="45" t="str">
        <f>VLOOKUP(D429,Total!$C$2:$D$439,2,0)</f>
        <v>10 TSM 4</v>
      </c>
      <c r="F429" s="45" t="str">
        <f>VLOOKUP(C429,Total!$B$2:$F$439,5,0)</f>
        <v>AKTIF</v>
      </c>
      <c r="G429" s="46" t="str">
        <f>VLOOKUP($B429,master!$B$2:$S$595,16,0)</f>
        <v>0882008129216</v>
      </c>
      <c r="H429" s="46">
        <f>VLOOKUP($B429,master!$B$2:$S$595,17,0)</f>
        <v>0</v>
      </c>
      <c r="I429" s="46" t="str">
        <f>VLOOKUP($B429,master!$B$2:$S$595,8,0)</f>
        <v>KARANGASEM</v>
      </c>
      <c r="J429" s="46" t="str">
        <f>VLOOKUP($B429,master!$B$2:$S$595,9,0)</f>
        <v>6</v>
      </c>
      <c r="K429" s="46" t="str">
        <f>VLOOKUP($B429,master!$B$2:$S$595,11,0)</f>
        <v>PALBAPANG</v>
      </c>
      <c r="L429" s="46" t="str">
        <f>VLOOKUP($B429,master!$B$2:$S$595,12,0)</f>
        <v>BANTUL</v>
      </c>
      <c r="M429" s="46" t="str">
        <f>VLOOKUP($B429,master!$B$2:$S$595,6,0)</f>
        <v>EKO CAHYONO</v>
      </c>
      <c r="N429" s="58" t="str">
        <f>VLOOKUP($B429,master!$B$2:$S$595,15,0)</f>
        <v>SMP N 3 BANTUL</v>
      </c>
      <c r="O429" s="58" t="str">
        <f>VLOOKUP($B429,master!$B$2:$S$595,4,0)</f>
        <v>26-06-2009</v>
      </c>
    </row>
    <row r="430" spans="1:15" ht="15.75" customHeight="1" x14ac:dyDescent="0.25">
      <c r="A430" s="56" t="s">
        <v>512</v>
      </c>
      <c r="B430" s="88" t="s">
        <v>1236</v>
      </c>
      <c r="C430" s="88" t="s">
        <v>4427</v>
      </c>
      <c r="D430" s="88" t="s">
        <v>1237</v>
      </c>
      <c r="E430" s="45" t="str">
        <f>VLOOKUP(D430,Total!$C$2:$D$439,2,0)</f>
        <v>10 TSM 4</v>
      </c>
      <c r="F430" s="45" t="str">
        <f>VLOOKUP(C430,Total!$B$2:$F$439,5,0)</f>
        <v>AKTIF</v>
      </c>
      <c r="G430" s="46" t="str">
        <f>VLOOKUP($B430,master!$B$2:$S$595,16,0)</f>
        <v>083176496094</v>
      </c>
      <c r="H430" s="46" t="str">
        <f>VLOOKUP($B430,master!$B$2:$S$595,17,0)</f>
        <v>0882007610680</v>
      </c>
      <c r="I430" s="46" t="str">
        <f>VLOOKUP($B430,master!$B$2:$S$595,8,0)</f>
        <v>PLUMUTAN</v>
      </c>
      <c r="J430" s="46" t="str">
        <f>VLOOKUP($B430,master!$B$2:$S$595,9,0)</f>
        <v>3</v>
      </c>
      <c r="K430" s="46" t="str">
        <f>VLOOKUP($B430,master!$B$2:$S$595,11,0)</f>
        <v>MULYODADI</v>
      </c>
      <c r="L430" s="46" t="str">
        <f>VLOOKUP($B430,master!$B$2:$S$595,12,0)</f>
        <v>BAMBANGLIPURO</v>
      </c>
      <c r="M430" s="46" t="str">
        <f>VLOOKUP($B430,master!$B$2:$S$595,6,0)</f>
        <v>SARNYOTO</v>
      </c>
      <c r="N430" s="58" t="str">
        <f>VLOOKUP($B430,master!$B$2:$S$595,15,0)</f>
        <v>SMP N 1 KRETEK</v>
      </c>
      <c r="O430" s="58" t="str">
        <f>VLOOKUP($B430,master!$B$2:$S$595,4,0)</f>
        <v>4-03-2010</v>
      </c>
    </row>
    <row r="431" spans="1:15" ht="15.75" customHeight="1" x14ac:dyDescent="0.25">
      <c r="A431" s="56" t="s">
        <v>513</v>
      </c>
      <c r="B431" s="88" t="s">
        <v>3420</v>
      </c>
      <c r="C431" s="88" t="s">
        <v>4428</v>
      </c>
      <c r="D431" s="88" t="s">
        <v>3421</v>
      </c>
      <c r="E431" s="45" t="str">
        <f>VLOOKUP(D431,Total!$C$2:$D$439,2,0)</f>
        <v>10 TSM 4</v>
      </c>
      <c r="F431" s="45" t="str">
        <f>VLOOKUP(C431,Total!$B$2:$F$439,5,0)</f>
        <v>AKTIF</v>
      </c>
      <c r="G431" s="46" t="str">
        <f>VLOOKUP($B431,master!$B$2:$S$595,16,0)</f>
        <v>081225674809</v>
      </c>
      <c r="H431" s="46" t="str">
        <f>VLOOKUP($B431,master!$B$2:$S$595,17,0)</f>
        <v>081225674809</v>
      </c>
      <c r="I431" s="46" t="str">
        <f>VLOOKUP($B431,master!$B$2:$S$595,8,0)</f>
        <v>NOGOSARI II</v>
      </c>
      <c r="J431" s="46" t="str">
        <f>VLOOKUP($B431,master!$B$2:$S$595,9,0)</f>
        <v>10</v>
      </c>
      <c r="K431" s="46" t="str">
        <f>VLOOKUP($B431,master!$B$2:$S$595,11,0)</f>
        <v>WUKIRSARI</v>
      </c>
      <c r="L431" s="46" t="str">
        <f>VLOOKUP($B431,master!$B$2:$S$595,12,0)</f>
        <v>IMOGIRI</v>
      </c>
      <c r="M431" s="46" t="str">
        <f>VLOOKUP($B431,master!$B$2:$S$595,6,0)</f>
        <v>HANA</v>
      </c>
      <c r="N431" s="58" t="str">
        <f>VLOOKUP($B431,master!$B$2:$S$595,15,0)</f>
        <v>MTS N 3 BANTUL</v>
      </c>
      <c r="O431" s="58" t="str">
        <f>VLOOKUP($B431,master!$B$2:$S$595,4,0)</f>
        <v>29-07-2009</v>
      </c>
    </row>
    <row r="432" spans="1:15" ht="15.75" customHeight="1" x14ac:dyDescent="0.25">
      <c r="A432" s="107" t="s">
        <v>514</v>
      </c>
      <c r="B432" s="88" t="s">
        <v>3048</v>
      </c>
      <c r="C432" s="88" t="s">
        <v>4429</v>
      </c>
      <c r="D432" s="88" t="s">
        <v>3049</v>
      </c>
      <c r="E432" s="45" t="str">
        <f>VLOOKUP(D432,Total!$C$2:$D$439,2,0)</f>
        <v>10 TSM 4</v>
      </c>
      <c r="F432" s="45" t="str">
        <f>VLOOKUP(C432,Total!$B$2:$F$439,5,0)</f>
        <v>AKTIF</v>
      </c>
      <c r="G432" s="46" t="str">
        <f>VLOOKUP($B432,master!$B$2:$S$595,16,0)</f>
        <v>089637710339</v>
      </c>
      <c r="H432" s="46" t="str">
        <f>VLOOKUP($B432,master!$B$2:$S$595,17,0)</f>
        <v>085643035564</v>
      </c>
      <c r="I432" s="46" t="str">
        <f>VLOOKUP($B432,master!$B$2:$S$595,8,0)</f>
        <v>JOMBLANG</v>
      </c>
      <c r="J432" s="46" t="str">
        <f>VLOOKUP($B432,master!$B$2:$S$595,9,0)</f>
        <v>07</v>
      </c>
      <c r="K432" s="46" t="str">
        <f>VLOOKUP($B432,master!$B$2:$S$595,11,0)</f>
        <v>PANGGUNGHARJO</v>
      </c>
      <c r="L432" s="46" t="str">
        <f>VLOOKUP($B432,master!$B$2:$S$595,12,0)</f>
        <v>SEWON</v>
      </c>
      <c r="M432" s="46" t="str">
        <f>VLOOKUP($B432,master!$B$2:$S$595,6,0)</f>
        <v>Nofit rusdianto</v>
      </c>
      <c r="N432" s="58" t="str">
        <f>VLOOKUP($B432,master!$B$2:$S$595,15,0)</f>
        <v>SMP N 4 SEWON</v>
      </c>
      <c r="O432" s="58" t="str">
        <f>VLOOKUP($B432,master!$B$2:$S$595,4,0)</f>
        <v>25-12-2009</v>
      </c>
    </row>
    <row r="433" spans="1:15" ht="15.75" customHeight="1" x14ac:dyDescent="0.25">
      <c r="A433" s="56" t="s">
        <v>515</v>
      </c>
      <c r="B433" s="17" t="s">
        <v>4497</v>
      </c>
      <c r="C433" s="108" t="s">
        <v>4496</v>
      </c>
      <c r="D433" s="17" t="s">
        <v>4498</v>
      </c>
      <c r="E433" s="45" t="str">
        <f>VLOOKUP(D433,Total!$C$2:$D$439,2,0)</f>
        <v>10 TPM 1</v>
      </c>
      <c r="F433" s="45" t="str">
        <f>VLOOKUP(C433,Total!$B$2:$F$439,5,0)</f>
        <v>KELUAR</v>
      </c>
      <c r="G433" s="46" t="str">
        <f>VLOOKUP($B433,master!$B$2:$S$595,16,0)</f>
        <v>089523105087</v>
      </c>
      <c r="H433" s="46" t="str">
        <f>VLOOKUP($B433,master!$B$2:$S$595,17,0)</f>
        <v>088877124440</v>
      </c>
      <c r="I433" s="46" t="str">
        <f>VLOOKUP($B433,master!$B$2:$S$595,8,0)</f>
        <v>JOMBLANG</v>
      </c>
      <c r="J433" s="46" t="str">
        <f>VLOOKUP($B433,master!$B$2:$S$595,9,0)</f>
        <v>2</v>
      </c>
      <c r="K433" s="46" t="str">
        <f>VLOOKUP($B433,master!$B$2:$S$595,11,0)</f>
        <v>PALBAPANG</v>
      </c>
      <c r="L433" s="46" t="str">
        <f>VLOOKUP($B433,master!$B$2:$S$595,12,0)</f>
        <v>BANTUL</v>
      </c>
      <c r="M433" s="46" t="str">
        <f>VLOOKUP($B433,master!$B$2:$S$595,6,0)</f>
        <v>SUTINAH</v>
      </c>
      <c r="N433" s="58" t="str">
        <f>VLOOKUP($B433,master!$B$2:$S$595,15,0)</f>
        <v>SMP N 3 BANTUL</v>
      </c>
      <c r="O433" s="58" t="str">
        <f>VLOOKUP($B433,master!$B$2:$S$595,4,0)</f>
        <v>28-07-2009</v>
      </c>
    </row>
    <row r="434" spans="1:15" ht="15.75" customHeight="1" x14ac:dyDescent="0.25">
      <c r="A434" s="56" t="s">
        <v>516</v>
      </c>
      <c r="B434" s="11" t="s">
        <v>4505</v>
      </c>
      <c r="C434" s="88" t="s">
        <v>4512</v>
      </c>
      <c r="D434" s="11" t="s">
        <v>4506</v>
      </c>
      <c r="E434" s="45" t="str">
        <f>VLOOKUP(D434,Total!$C$2:$D$439,2,0)</f>
        <v>10 TKR 2</v>
      </c>
      <c r="F434" s="45" t="str">
        <f>VLOOKUP(C434,Total!$B$2:$F$439,5,0)</f>
        <v>AKTIF</v>
      </c>
      <c r="G434" s="46" t="str">
        <f>VLOOKUP($B434,master!$B$2:$S$595,16,0)</f>
        <v>085600966783</v>
      </c>
      <c r="H434" s="46" t="str">
        <f>VLOOKUP($B434,master!$B$2:$S$595,17,0)</f>
        <v>085720112959</v>
      </c>
      <c r="I434" s="46" t="str">
        <f>VLOOKUP($B434,master!$B$2:$S$595,8,0)</f>
        <v>KALISONO</v>
      </c>
      <c r="J434" s="46" t="str">
        <f>VLOOKUP($B434,master!$B$2:$S$595,9,0)</f>
        <v>12</v>
      </c>
      <c r="K434" s="46" t="str">
        <f>VLOOKUP($B434,master!$B$2:$S$595,11,0)</f>
        <v>TUKSONO</v>
      </c>
      <c r="L434" s="46" t="str">
        <f>VLOOKUP($B434,master!$B$2:$S$595,12,0)</f>
        <v>SENTOLO</v>
      </c>
      <c r="M434" s="46" t="str">
        <f>VLOOKUP($B434,master!$B$2:$S$595,6,0)</f>
        <v>HARJITO</v>
      </c>
      <c r="N434" s="58" t="str">
        <f>VLOOKUP($B434,master!$B$2:$S$595,15,0)</f>
        <v>SMP MUHAMMADIYAH 2 LENDAH</v>
      </c>
      <c r="O434" s="58" t="str">
        <f>VLOOKUP($B434,master!$B$2:$S$595,4,0)</f>
        <v>9-10-2009</v>
      </c>
    </row>
    <row r="435" spans="1:15" ht="15.75" customHeight="1" x14ac:dyDescent="0.25">
      <c r="A435" s="56" t="s">
        <v>517</v>
      </c>
      <c r="B435" s="11"/>
      <c r="C435" s="88"/>
      <c r="D435" s="11"/>
      <c r="E435" s="45" t="e">
        <f>VLOOKUP(D435,Total!$C$2:$D$439,2,0)</f>
        <v>#N/A</v>
      </c>
      <c r="F435" s="45" t="e">
        <f>VLOOKUP(C435,Total!$B$2:$F$439,5,0)</f>
        <v>#N/A</v>
      </c>
      <c r="G435" s="46" t="e">
        <f>VLOOKUP($B435,master!$B$2:$S$595,16,0)</f>
        <v>#N/A</v>
      </c>
      <c r="H435" s="46" t="e">
        <f>VLOOKUP($B435,master!$B$2:$S$595,17,0)</f>
        <v>#N/A</v>
      </c>
      <c r="I435" s="46" t="e">
        <f>VLOOKUP($B435,master!$B$2:$S$595,8,0)</f>
        <v>#N/A</v>
      </c>
      <c r="J435" s="46" t="e">
        <f>VLOOKUP($B435,master!$B$2:$S$595,9,0)</f>
        <v>#N/A</v>
      </c>
      <c r="K435" s="46" t="e">
        <f>VLOOKUP($B435,master!$B$2:$S$595,11,0)</f>
        <v>#N/A</v>
      </c>
      <c r="L435" s="46" t="e">
        <f>VLOOKUP($B435,master!$B$2:$S$595,12,0)</f>
        <v>#N/A</v>
      </c>
      <c r="M435" s="46" t="e">
        <f>VLOOKUP($B435,master!$B$2:$S$595,6,0)</f>
        <v>#N/A</v>
      </c>
      <c r="N435" s="58" t="e">
        <f>VLOOKUP($B435,master!$B$2:$S$595,15,0)</f>
        <v>#N/A</v>
      </c>
      <c r="O435" s="58" t="e">
        <f>VLOOKUP($B435,master!$B$2:$S$595,4,0)</f>
        <v>#N/A</v>
      </c>
    </row>
    <row r="436" spans="1:15" ht="15.75" customHeight="1" x14ac:dyDescent="0.25">
      <c r="A436" s="56" t="s">
        <v>518</v>
      </c>
      <c r="B436" s="11"/>
      <c r="C436" s="88"/>
      <c r="D436" s="11"/>
      <c r="E436" s="45" t="e">
        <f>VLOOKUP(D436,Total!$C$2:$D$439,2,0)</f>
        <v>#N/A</v>
      </c>
      <c r="F436" s="45" t="e">
        <f>VLOOKUP(C436,Total!$B$2:$F$439,5,0)</f>
        <v>#N/A</v>
      </c>
      <c r="G436" s="46" t="e">
        <f>VLOOKUP($B436,master!$B$2:$S$595,16,0)</f>
        <v>#N/A</v>
      </c>
      <c r="H436" s="46" t="e">
        <f>VLOOKUP($B436,master!$B$2:$S$595,17,0)</f>
        <v>#N/A</v>
      </c>
      <c r="I436" s="46" t="e">
        <f>VLOOKUP($B436,master!$B$2:$S$595,8,0)</f>
        <v>#N/A</v>
      </c>
      <c r="J436" s="46" t="e">
        <f>VLOOKUP($B436,master!$B$2:$S$595,9,0)</f>
        <v>#N/A</v>
      </c>
      <c r="K436" s="46" t="e">
        <f>VLOOKUP($B436,master!$B$2:$S$595,11,0)</f>
        <v>#N/A</v>
      </c>
      <c r="L436" s="46" t="e">
        <f>VLOOKUP($B436,master!$B$2:$S$595,12,0)</f>
        <v>#N/A</v>
      </c>
      <c r="M436" s="46" t="e">
        <f>VLOOKUP($B436,master!$B$2:$S$595,6,0)</f>
        <v>#N/A</v>
      </c>
      <c r="N436" s="58" t="e">
        <f>VLOOKUP($B436,master!$B$2:$S$595,15,0)</f>
        <v>#N/A</v>
      </c>
      <c r="O436" s="58" t="e">
        <f>VLOOKUP($B436,master!$B$2:$S$595,4,0)</f>
        <v>#N/A</v>
      </c>
    </row>
    <row r="437" spans="1:15" ht="15.75" customHeight="1" x14ac:dyDescent="0.25">
      <c r="A437" s="56" t="s">
        <v>519</v>
      </c>
      <c r="B437" s="11"/>
      <c r="C437" s="88"/>
      <c r="D437" s="11"/>
      <c r="E437" s="45" t="e">
        <f>VLOOKUP(D437,Total!$C$2:$D$439,2,0)</f>
        <v>#N/A</v>
      </c>
      <c r="F437" s="45" t="e">
        <f>VLOOKUP(C437,Total!$B$2:$F$439,5,0)</f>
        <v>#N/A</v>
      </c>
      <c r="G437" s="46" t="e">
        <f>VLOOKUP($B437,master!$B$2:$S$595,16,0)</f>
        <v>#N/A</v>
      </c>
      <c r="H437" s="46" t="e">
        <f>VLOOKUP($B437,master!$B$2:$S$595,17,0)</f>
        <v>#N/A</v>
      </c>
      <c r="I437" s="46" t="e">
        <f>VLOOKUP($B437,master!$B$2:$S$595,8,0)</f>
        <v>#N/A</v>
      </c>
      <c r="J437" s="46" t="e">
        <f>VLOOKUP($B437,master!$B$2:$S$595,9,0)</f>
        <v>#N/A</v>
      </c>
      <c r="K437" s="46" t="e">
        <f>VLOOKUP($B437,master!$B$2:$S$595,11,0)</f>
        <v>#N/A</v>
      </c>
      <c r="L437" s="46" t="e">
        <f>VLOOKUP($B437,master!$B$2:$S$595,12,0)</f>
        <v>#N/A</v>
      </c>
      <c r="M437" s="46" t="e">
        <f>VLOOKUP($B437,master!$B$2:$S$595,6,0)</f>
        <v>#N/A</v>
      </c>
      <c r="N437" s="58" t="e">
        <f>VLOOKUP($B437,master!$B$2:$S$595,15,0)</f>
        <v>#N/A</v>
      </c>
      <c r="O437" s="58" t="e">
        <f>VLOOKUP($B437,master!$B$2:$S$595,4,0)</f>
        <v>#N/A</v>
      </c>
    </row>
    <row r="438" spans="1:15" ht="15.75" customHeight="1" x14ac:dyDescent="0.25">
      <c r="A438" s="56" t="s">
        <v>520</v>
      </c>
      <c r="B438" s="11"/>
      <c r="C438" s="88"/>
      <c r="D438" s="11"/>
      <c r="E438" s="45" t="e">
        <f>VLOOKUP(D438,Total!$C$2:$D$439,2,0)</f>
        <v>#N/A</v>
      </c>
      <c r="F438" s="45" t="e">
        <f>VLOOKUP(C438,Total!$B$2:$F$439,5,0)</f>
        <v>#N/A</v>
      </c>
      <c r="G438" s="46" t="e">
        <f>VLOOKUP($B438,master!$B$2:$S$595,16,0)</f>
        <v>#N/A</v>
      </c>
      <c r="H438" s="46" t="e">
        <f>VLOOKUP($B438,master!$B$2:$S$595,17,0)</f>
        <v>#N/A</v>
      </c>
      <c r="I438" s="46" t="e">
        <f>VLOOKUP($B438,master!$B$2:$S$595,8,0)</f>
        <v>#N/A</v>
      </c>
      <c r="J438" s="46" t="e">
        <f>VLOOKUP($B438,master!$B$2:$S$595,9,0)</f>
        <v>#N/A</v>
      </c>
      <c r="K438" s="46" t="e">
        <f>VLOOKUP($B438,master!$B$2:$S$595,11,0)</f>
        <v>#N/A</v>
      </c>
      <c r="L438" s="46" t="e">
        <f>VLOOKUP($B438,master!$B$2:$S$595,12,0)</f>
        <v>#N/A</v>
      </c>
      <c r="M438" s="46" t="e">
        <f>VLOOKUP($B438,master!$B$2:$S$595,6,0)</f>
        <v>#N/A</v>
      </c>
      <c r="N438" s="58" t="e">
        <f>VLOOKUP($B438,master!$B$2:$S$595,15,0)</f>
        <v>#N/A</v>
      </c>
      <c r="O438" s="58" t="e">
        <f>VLOOKUP($B438,master!$B$2:$S$595,4,0)</f>
        <v>#N/A</v>
      </c>
    </row>
    <row r="439" spans="1:15" ht="15.75" customHeight="1" x14ac:dyDescent="0.25">
      <c r="A439" s="56" t="s">
        <v>521</v>
      </c>
      <c r="B439" s="11"/>
      <c r="C439" s="88"/>
      <c r="D439" s="11"/>
      <c r="E439" s="45" t="e">
        <f>VLOOKUP(D439,Total!$C$2:$D$439,2,0)</f>
        <v>#N/A</v>
      </c>
      <c r="F439" s="45" t="e">
        <f>VLOOKUP(C439,Total!$B$2:$F$439,5,0)</f>
        <v>#N/A</v>
      </c>
      <c r="G439" s="46" t="e">
        <f>VLOOKUP($B439,master!$B$2:$S$595,16,0)</f>
        <v>#N/A</v>
      </c>
      <c r="H439" s="46" t="e">
        <f>VLOOKUP($B439,master!$B$2:$S$595,17,0)</f>
        <v>#N/A</v>
      </c>
      <c r="I439" s="46" t="e">
        <f>VLOOKUP($B439,master!$B$2:$S$595,8,0)</f>
        <v>#N/A</v>
      </c>
      <c r="J439" s="46" t="e">
        <f>VLOOKUP($B439,master!$B$2:$S$595,9,0)</f>
        <v>#N/A</v>
      </c>
      <c r="K439" s="46" t="e">
        <f>VLOOKUP($B439,master!$B$2:$S$595,11,0)</f>
        <v>#N/A</v>
      </c>
      <c r="L439" s="46" t="e">
        <f>VLOOKUP($B439,master!$B$2:$S$595,12,0)</f>
        <v>#N/A</v>
      </c>
      <c r="M439" s="46" t="e">
        <f>VLOOKUP($B439,master!$B$2:$S$595,6,0)</f>
        <v>#N/A</v>
      </c>
      <c r="N439" s="58" t="e">
        <f>VLOOKUP($B439,master!$B$2:$S$595,15,0)</f>
        <v>#N/A</v>
      </c>
      <c r="O439" s="58" t="e">
        <f>VLOOKUP($B439,master!$B$2:$S$595,4,0)</f>
        <v>#N/A</v>
      </c>
    </row>
    <row r="440" spans="1:15" ht="15.75" customHeight="1" x14ac:dyDescent="0.25">
      <c r="A440" s="56" t="s">
        <v>522</v>
      </c>
      <c r="B440" s="11"/>
      <c r="C440" s="88"/>
      <c r="D440" s="11"/>
      <c r="E440" s="45" t="e">
        <f>VLOOKUP(D440,Total!$C$2:$D$439,2,0)</f>
        <v>#N/A</v>
      </c>
      <c r="F440" s="45" t="e">
        <f>VLOOKUP(C440,Total!$B$2:$F$439,5,0)</f>
        <v>#N/A</v>
      </c>
      <c r="G440" s="46" t="e">
        <f>VLOOKUP($B440,master!$B$2:$S$595,16,0)</f>
        <v>#N/A</v>
      </c>
      <c r="H440" s="46" t="e">
        <f>VLOOKUP($B440,master!$B$2:$S$595,17,0)</f>
        <v>#N/A</v>
      </c>
      <c r="I440" s="46" t="e">
        <f>VLOOKUP($B440,master!$B$2:$S$595,8,0)</f>
        <v>#N/A</v>
      </c>
      <c r="J440" s="46" t="e">
        <f>VLOOKUP($B440,master!$B$2:$S$595,9,0)</f>
        <v>#N/A</v>
      </c>
      <c r="K440" s="46" t="e">
        <f>VLOOKUP($B440,master!$B$2:$S$595,11,0)</f>
        <v>#N/A</v>
      </c>
      <c r="L440" s="46" t="e">
        <f>VLOOKUP($B440,master!$B$2:$S$595,12,0)</f>
        <v>#N/A</v>
      </c>
      <c r="M440" s="46" t="e">
        <f>VLOOKUP($B440,master!$B$2:$S$595,6,0)</f>
        <v>#N/A</v>
      </c>
      <c r="N440" s="58" t="e">
        <f>VLOOKUP($B440,master!$B$2:$S$595,15,0)</f>
        <v>#N/A</v>
      </c>
      <c r="O440" s="58" t="e">
        <f>VLOOKUP($B440,master!$B$2:$S$595,4,0)</f>
        <v>#N/A</v>
      </c>
    </row>
    <row r="441" spans="1:15" ht="15.75" customHeight="1" x14ac:dyDescent="0.25">
      <c r="A441" s="56" t="s">
        <v>523</v>
      </c>
      <c r="B441" s="11"/>
      <c r="C441" s="88"/>
      <c r="D441" s="11"/>
      <c r="E441" s="45" t="e">
        <f>VLOOKUP(D441,Total!$C$2:$D$439,2,0)</f>
        <v>#N/A</v>
      </c>
      <c r="F441" s="45" t="e">
        <f>VLOOKUP(C441,Total!$B$2:$F$439,5,0)</f>
        <v>#N/A</v>
      </c>
      <c r="G441" s="46" t="e">
        <f>VLOOKUP($B441,master!$B$2:$S$595,16,0)</f>
        <v>#N/A</v>
      </c>
      <c r="H441" s="46" t="e">
        <f>VLOOKUP($B441,master!$B$2:$S$595,17,0)</f>
        <v>#N/A</v>
      </c>
      <c r="I441" s="46" t="e">
        <f>VLOOKUP($B441,master!$B$2:$S$595,8,0)</f>
        <v>#N/A</v>
      </c>
      <c r="J441" s="46" t="e">
        <f>VLOOKUP($B441,master!$B$2:$S$595,9,0)</f>
        <v>#N/A</v>
      </c>
      <c r="K441" s="46" t="e">
        <f>VLOOKUP($B441,master!$B$2:$S$595,11,0)</f>
        <v>#N/A</v>
      </c>
      <c r="L441" s="46" t="e">
        <f>VLOOKUP($B441,master!$B$2:$S$595,12,0)</f>
        <v>#N/A</v>
      </c>
      <c r="M441" s="46" t="e">
        <f>VLOOKUP($B441,master!$B$2:$S$595,6,0)</f>
        <v>#N/A</v>
      </c>
      <c r="N441" s="58" t="e">
        <f>VLOOKUP($B441,master!$B$2:$S$595,15,0)</f>
        <v>#N/A</v>
      </c>
      <c r="O441" s="58" t="e">
        <f>VLOOKUP($B441,master!$B$2:$S$595,4,0)</f>
        <v>#N/A</v>
      </c>
    </row>
    <row r="442" spans="1:15" ht="15.75" customHeight="1" x14ac:dyDescent="0.25">
      <c r="A442" s="56" t="s">
        <v>524</v>
      </c>
      <c r="B442" s="11"/>
      <c r="C442" s="88"/>
      <c r="D442" s="11"/>
      <c r="E442" s="45" t="e">
        <f>VLOOKUP(D442,Total!$C$2:$D$439,2,0)</f>
        <v>#N/A</v>
      </c>
      <c r="F442" s="45" t="e">
        <f>VLOOKUP(C442,Total!$B$2:$F$439,5,0)</f>
        <v>#N/A</v>
      </c>
      <c r="G442" s="46" t="e">
        <f>VLOOKUP($B442,master!$B$2:$S$595,16,0)</f>
        <v>#N/A</v>
      </c>
      <c r="H442" s="46" t="e">
        <f>VLOOKUP($B442,master!$B$2:$S$595,17,0)</f>
        <v>#N/A</v>
      </c>
      <c r="I442" s="46" t="e">
        <f>VLOOKUP($B442,master!$B$2:$S$595,8,0)</f>
        <v>#N/A</v>
      </c>
      <c r="J442" s="46" t="e">
        <f>VLOOKUP($B442,master!$B$2:$S$595,9,0)</f>
        <v>#N/A</v>
      </c>
      <c r="K442" s="46" t="e">
        <f>VLOOKUP($B442,master!$B$2:$S$595,11,0)</f>
        <v>#N/A</v>
      </c>
      <c r="L442" s="46" t="e">
        <f>VLOOKUP($B442,master!$B$2:$S$595,12,0)</f>
        <v>#N/A</v>
      </c>
      <c r="M442" s="46" t="e">
        <f>VLOOKUP($B442,master!$B$2:$S$595,6,0)</f>
        <v>#N/A</v>
      </c>
      <c r="N442" s="58" t="e">
        <f>VLOOKUP($B442,master!$B$2:$S$595,15,0)</f>
        <v>#N/A</v>
      </c>
      <c r="O442" s="58" t="e">
        <f>VLOOKUP($B442,master!$B$2:$S$595,4,0)</f>
        <v>#N/A</v>
      </c>
    </row>
    <row r="443" spans="1:15" ht="15.75" customHeight="1" x14ac:dyDescent="0.25">
      <c r="A443" s="56" t="s">
        <v>525</v>
      </c>
      <c r="B443" s="11"/>
      <c r="C443" s="88"/>
      <c r="D443" s="11"/>
      <c r="E443" s="45" t="e">
        <f>VLOOKUP(D443,Total!$C$2:$D$439,2,0)</f>
        <v>#N/A</v>
      </c>
      <c r="F443" s="45" t="e">
        <f>VLOOKUP(C443,Total!$B$2:$F$439,5,0)</f>
        <v>#N/A</v>
      </c>
      <c r="G443" s="46" t="e">
        <f>VLOOKUP($B443,master!$B$2:$S$595,16,0)</f>
        <v>#N/A</v>
      </c>
      <c r="H443" s="46" t="e">
        <f>VLOOKUP($B443,master!$B$2:$S$595,17,0)</f>
        <v>#N/A</v>
      </c>
      <c r="I443" s="46" t="e">
        <f>VLOOKUP($B443,master!$B$2:$S$595,8,0)</f>
        <v>#N/A</v>
      </c>
      <c r="J443" s="46" t="e">
        <f>VLOOKUP($B443,master!$B$2:$S$595,9,0)</f>
        <v>#N/A</v>
      </c>
      <c r="K443" s="46" t="e">
        <f>VLOOKUP($B443,master!$B$2:$S$595,11,0)</f>
        <v>#N/A</v>
      </c>
      <c r="L443" s="46" t="e">
        <f>VLOOKUP($B443,master!$B$2:$S$595,12,0)</f>
        <v>#N/A</v>
      </c>
      <c r="M443" s="46" t="e">
        <f>VLOOKUP($B443,master!$B$2:$S$595,6,0)</f>
        <v>#N/A</v>
      </c>
      <c r="N443" s="58" t="e">
        <f>VLOOKUP($B443,master!$B$2:$S$595,15,0)</f>
        <v>#N/A</v>
      </c>
      <c r="O443" s="58" t="e">
        <f>VLOOKUP($B443,master!$B$2:$S$595,4,0)</f>
        <v>#N/A</v>
      </c>
    </row>
    <row r="444" spans="1:15" ht="15.75" customHeight="1" x14ac:dyDescent="0.25">
      <c r="A444" s="56" t="s">
        <v>526</v>
      </c>
      <c r="B444" s="11"/>
      <c r="C444" s="88"/>
      <c r="D444" s="11"/>
      <c r="E444" s="45" t="e">
        <f>VLOOKUP(D444,Total!$C$2:$D$439,2,0)</f>
        <v>#N/A</v>
      </c>
      <c r="F444" s="45" t="e">
        <f>VLOOKUP(C444,Total!$B$2:$F$439,5,0)</f>
        <v>#N/A</v>
      </c>
      <c r="G444" s="46" t="e">
        <f>VLOOKUP($B444,master!$B$2:$S$595,16,0)</f>
        <v>#N/A</v>
      </c>
      <c r="H444" s="46" t="e">
        <f>VLOOKUP($B444,master!$B$2:$S$595,17,0)</f>
        <v>#N/A</v>
      </c>
      <c r="I444" s="46" t="e">
        <f>VLOOKUP($B444,master!$B$2:$S$595,8,0)</f>
        <v>#N/A</v>
      </c>
      <c r="J444" s="46" t="e">
        <f>VLOOKUP($B444,master!$B$2:$S$595,9,0)</f>
        <v>#N/A</v>
      </c>
      <c r="K444" s="46" t="e">
        <f>VLOOKUP($B444,master!$B$2:$S$595,11,0)</f>
        <v>#N/A</v>
      </c>
      <c r="L444" s="46" t="e">
        <f>VLOOKUP($B444,master!$B$2:$S$595,12,0)</f>
        <v>#N/A</v>
      </c>
      <c r="M444" s="46" t="e">
        <f>VLOOKUP($B444,master!$B$2:$S$595,6,0)</f>
        <v>#N/A</v>
      </c>
      <c r="N444" s="58" t="e">
        <f>VLOOKUP($B444,master!$B$2:$S$595,15,0)</f>
        <v>#N/A</v>
      </c>
      <c r="O444" s="58" t="e">
        <f>VLOOKUP($B444,master!$B$2:$S$595,4,0)</f>
        <v>#N/A</v>
      </c>
    </row>
    <row r="445" spans="1:15" ht="15.75" customHeight="1" x14ac:dyDescent="0.25">
      <c r="A445" s="56" t="s">
        <v>527</v>
      </c>
      <c r="B445" s="11"/>
      <c r="C445" s="88"/>
      <c r="D445" s="11"/>
      <c r="E445" s="45" t="e">
        <f>VLOOKUP(D445,Total!$C$2:$D$439,2,0)</f>
        <v>#N/A</v>
      </c>
      <c r="F445" s="45" t="e">
        <f>VLOOKUP(C445,Total!$B$2:$F$439,5,0)</f>
        <v>#N/A</v>
      </c>
      <c r="G445" s="46" t="e">
        <f>VLOOKUP($B445,master!$B$2:$S$595,16,0)</f>
        <v>#N/A</v>
      </c>
      <c r="H445" s="46" t="e">
        <f>VLOOKUP($B445,master!$B$2:$S$595,17,0)</f>
        <v>#N/A</v>
      </c>
      <c r="I445" s="46" t="e">
        <f>VLOOKUP($B445,master!$B$2:$S$595,8,0)</f>
        <v>#N/A</v>
      </c>
      <c r="J445" s="46" t="e">
        <f>VLOOKUP($B445,master!$B$2:$S$595,9,0)</f>
        <v>#N/A</v>
      </c>
      <c r="K445" s="46" t="e">
        <f>VLOOKUP($B445,master!$B$2:$S$595,11,0)</f>
        <v>#N/A</v>
      </c>
      <c r="L445" s="46" t="e">
        <f>VLOOKUP($B445,master!$B$2:$S$595,12,0)</f>
        <v>#N/A</v>
      </c>
      <c r="M445" s="46" t="e">
        <f>VLOOKUP($B445,master!$B$2:$S$595,6,0)</f>
        <v>#N/A</v>
      </c>
      <c r="N445" s="58" t="e">
        <f>VLOOKUP($B445,master!$B$2:$S$595,15,0)</f>
        <v>#N/A</v>
      </c>
      <c r="O445" s="58" t="e">
        <f>VLOOKUP($B445,master!$B$2:$S$595,4,0)</f>
        <v>#N/A</v>
      </c>
    </row>
    <row r="446" spans="1:15" ht="15.75" customHeight="1" x14ac:dyDescent="0.25">
      <c r="A446" s="56" t="s">
        <v>528</v>
      </c>
      <c r="B446" s="11"/>
      <c r="C446" s="88"/>
      <c r="D446" s="11"/>
      <c r="E446" s="45" t="e">
        <f>VLOOKUP(D446,Total!$C$2:$D$439,2,0)</f>
        <v>#N/A</v>
      </c>
      <c r="F446" s="45" t="e">
        <f>VLOOKUP(C446,Total!$B$2:$F$439,5,0)</f>
        <v>#N/A</v>
      </c>
      <c r="G446" s="46" t="e">
        <f>VLOOKUP($B446,master!$B$2:$S$595,16,0)</f>
        <v>#N/A</v>
      </c>
      <c r="H446" s="46" t="e">
        <f>VLOOKUP($B446,master!$B$2:$S$595,17,0)</f>
        <v>#N/A</v>
      </c>
      <c r="I446" s="46" t="e">
        <f>VLOOKUP($B446,master!$B$2:$S$595,8,0)</f>
        <v>#N/A</v>
      </c>
      <c r="J446" s="46" t="e">
        <f>VLOOKUP($B446,master!$B$2:$S$595,9,0)</f>
        <v>#N/A</v>
      </c>
      <c r="K446" s="46" t="e">
        <f>VLOOKUP($B446,master!$B$2:$S$595,11,0)</f>
        <v>#N/A</v>
      </c>
      <c r="L446" s="46" t="e">
        <f>VLOOKUP($B446,master!$B$2:$S$595,12,0)</f>
        <v>#N/A</v>
      </c>
      <c r="M446" s="46" t="e">
        <f>VLOOKUP($B446,master!$B$2:$S$595,6,0)</f>
        <v>#N/A</v>
      </c>
      <c r="N446" s="58" t="e">
        <f>VLOOKUP($B446,master!$B$2:$S$595,15,0)</f>
        <v>#N/A</v>
      </c>
      <c r="O446" s="58" t="e">
        <f>VLOOKUP($B446,master!$B$2:$S$595,4,0)</f>
        <v>#N/A</v>
      </c>
    </row>
    <row r="447" spans="1:15" ht="15.75" customHeight="1" x14ac:dyDescent="0.25">
      <c r="A447" s="18"/>
      <c r="B447" s="18"/>
      <c r="C447" s="18"/>
      <c r="D447" s="18"/>
      <c r="E447" s="18"/>
      <c r="F447" s="18"/>
    </row>
    <row r="448" spans="1:15" ht="15.75" customHeight="1" x14ac:dyDescent="0.25">
      <c r="A448" s="18"/>
      <c r="B448" s="18"/>
      <c r="C448" s="18"/>
      <c r="D448" s="18"/>
      <c r="E448" s="18"/>
      <c r="F448" s="18"/>
    </row>
    <row r="449" spans="1:6" ht="15.75" customHeight="1" x14ac:dyDescent="0.25">
      <c r="A449" s="18"/>
      <c r="B449" s="18"/>
      <c r="C449" s="18"/>
      <c r="D449" s="18"/>
      <c r="E449" s="18"/>
      <c r="F449" s="18"/>
    </row>
    <row r="450" spans="1:6" ht="15.75" customHeight="1" x14ac:dyDescent="0.25">
      <c r="A450" s="18"/>
      <c r="B450" s="18"/>
      <c r="C450" s="18"/>
      <c r="D450" s="18"/>
      <c r="E450" s="18"/>
      <c r="F450" s="18"/>
    </row>
    <row r="451" spans="1:6" ht="15.75" customHeight="1" x14ac:dyDescent="0.25">
      <c r="A451" s="18"/>
      <c r="B451" s="18"/>
      <c r="C451" s="18"/>
      <c r="D451" s="18"/>
      <c r="E451" s="18"/>
      <c r="F451" s="18"/>
    </row>
    <row r="452" spans="1:6" ht="15.75" customHeight="1" x14ac:dyDescent="0.25">
      <c r="A452" s="18"/>
      <c r="B452" s="18"/>
      <c r="C452" s="18"/>
      <c r="D452" s="18"/>
      <c r="E452" s="18"/>
      <c r="F452" s="18"/>
    </row>
    <row r="453" spans="1:6" ht="15.75" customHeight="1" x14ac:dyDescent="0.25">
      <c r="A453" s="18"/>
      <c r="B453" s="18"/>
      <c r="C453" s="18"/>
      <c r="D453" s="18"/>
      <c r="E453" s="18"/>
      <c r="F453" s="18"/>
    </row>
    <row r="454" spans="1:6" ht="15.75" customHeight="1" x14ac:dyDescent="0.25">
      <c r="A454" s="18"/>
      <c r="B454" s="18"/>
      <c r="C454" s="18"/>
      <c r="D454" s="18"/>
      <c r="E454" s="18"/>
      <c r="F454" s="18"/>
    </row>
    <row r="455" spans="1:6" ht="15.75" customHeight="1" x14ac:dyDescent="0.25">
      <c r="A455" s="18"/>
      <c r="B455" s="18"/>
      <c r="C455" s="18"/>
      <c r="D455" s="18"/>
      <c r="E455" s="18"/>
      <c r="F455" s="18"/>
    </row>
    <row r="456" spans="1:6" ht="15.75" customHeight="1" x14ac:dyDescent="0.25">
      <c r="A456" s="18"/>
      <c r="B456" s="18"/>
      <c r="C456" s="18"/>
      <c r="D456" s="18"/>
      <c r="E456" s="18"/>
      <c r="F456" s="18"/>
    </row>
    <row r="457" spans="1:6" ht="15.75" customHeight="1" x14ac:dyDescent="0.25">
      <c r="A457" s="18"/>
      <c r="B457" s="18"/>
      <c r="C457" s="18"/>
      <c r="D457" s="18"/>
      <c r="E457" s="18"/>
      <c r="F457" s="18"/>
    </row>
    <row r="458" spans="1:6" ht="15.75" customHeight="1" x14ac:dyDescent="0.25">
      <c r="A458" s="18"/>
      <c r="B458" s="18"/>
      <c r="C458" s="18"/>
      <c r="D458" s="18"/>
      <c r="E458" s="18"/>
      <c r="F458" s="18"/>
    </row>
    <row r="459" spans="1:6" ht="15.75" customHeight="1" x14ac:dyDescent="0.25">
      <c r="A459" s="18"/>
      <c r="B459" s="18"/>
      <c r="C459" s="18"/>
      <c r="D459" s="18"/>
      <c r="E459" s="18"/>
      <c r="F459" s="18"/>
    </row>
    <row r="460" spans="1:6" ht="15.75" customHeight="1" x14ac:dyDescent="0.25">
      <c r="A460" s="18"/>
      <c r="B460" s="18"/>
      <c r="C460" s="18"/>
      <c r="D460" s="18"/>
      <c r="E460" s="18"/>
      <c r="F460" s="18"/>
    </row>
    <row r="461" spans="1:6" ht="15.75" customHeight="1" x14ac:dyDescent="0.25">
      <c r="A461" s="18"/>
      <c r="B461" s="18"/>
      <c r="C461" s="18"/>
      <c r="D461" s="18"/>
      <c r="E461" s="18"/>
      <c r="F461" s="18"/>
    </row>
    <row r="462" spans="1:6" ht="15.75" customHeight="1" x14ac:dyDescent="0.25">
      <c r="A462" s="18"/>
      <c r="B462" s="18"/>
      <c r="C462" s="18"/>
      <c r="D462" s="18"/>
      <c r="E462" s="18"/>
      <c r="F462" s="18"/>
    </row>
    <row r="463" spans="1:6" ht="15.75" customHeight="1" x14ac:dyDescent="0.25">
      <c r="A463" s="18"/>
      <c r="B463" s="18"/>
      <c r="C463" s="18"/>
      <c r="D463" s="18"/>
      <c r="E463" s="18"/>
      <c r="F463" s="18"/>
    </row>
    <row r="464" spans="1:6" ht="15.75" customHeight="1" x14ac:dyDescent="0.25">
      <c r="A464" s="18"/>
      <c r="B464" s="18"/>
      <c r="C464" s="18"/>
      <c r="D464" s="18"/>
      <c r="E464" s="18"/>
      <c r="F464" s="18"/>
    </row>
    <row r="465" spans="1:6" ht="15.75" customHeight="1" x14ac:dyDescent="0.25">
      <c r="A465" s="18"/>
      <c r="B465" s="18"/>
      <c r="C465" s="18"/>
      <c r="D465" s="18"/>
      <c r="E465" s="18"/>
      <c r="F465" s="18"/>
    </row>
    <row r="466" spans="1:6" ht="15.75" customHeight="1" x14ac:dyDescent="0.25">
      <c r="A466" s="18"/>
      <c r="B466" s="18"/>
      <c r="C466" s="18"/>
      <c r="D466" s="18"/>
      <c r="E466" s="18"/>
      <c r="F466" s="18"/>
    </row>
    <row r="467" spans="1:6" ht="15.75" customHeight="1" x14ac:dyDescent="0.25">
      <c r="A467" s="18"/>
      <c r="B467" s="18"/>
      <c r="C467" s="18"/>
      <c r="D467" s="18"/>
      <c r="E467" s="18"/>
      <c r="F467" s="18"/>
    </row>
    <row r="468" spans="1:6" ht="15.75" customHeight="1" x14ac:dyDescent="0.25">
      <c r="A468" s="18"/>
      <c r="B468" s="18"/>
      <c r="C468" s="18"/>
      <c r="D468" s="18"/>
      <c r="E468" s="18"/>
      <c r="F468" s="18"/>
    </row>
    <row r="469" spans="1:6" ht="15.75" customHeight="1" x14ac:dyDescent="0.25">
      <c r="A469" s="18"/>
      <c r="B469" s="18"/>
      <c r="C469" s="18"/>
      <c r="D469" s="18"/>
      <c r="E469" s="18"/>
      <c r="F469" s="18"/>
    </row>
    <row r="470" spans="1:6" ht="15.75" customHeight="1" x14ac:dyDescent="0.25">
      <c r="A470" s="18"/>
      <c r="B470" s="18"/>
      <c r="C470" s="18"/>
      <c r="D470" s="18"/>
      <c r="E470" s="18"/>
      <c r="F470" s="18"/>
    </row>
    <row r="471" spans="1:6" ht="15.75" customHeight="1" x14ac:dyDescent="0.25">
      <c r="A471" s="18"/>
      <c r="B471" s="18"/>
      <c r="C471" s="18"/>
      <c r="D471" s="18"/>
      <c r="E471" s="18"/>
      <c r="F471" s="18"/>
    </row>
    <row r="472" spans="1:6" ht="15.75" customHeight="1" x14ac:dyDescent="0.25">
      <c r="A472" s="18"/>
      <c r="B472" s="18"/>
      <c r="C472" s="18"/>
      <c r="D472" s="18"/>
      <c r="E472" s="18"/>
      <c r="F472" s="18"/>
    </row>
    <row r="473" spans="1:6" ht="15.75" customHeight="1" x14ac:dyDescent="0.25">
      <c r="A473" s="18"/>
      <c r="B473" s="18"/>
      <c r="C473" s="18"/>
      <c r="D473" s="18"/>
      <c r="E473" s="18"/>
      <c r="F473" s="18"/>
    </row>
    <row r="474" spans="1:6" ht="15.75" customHeight="1" x14ac:dyDescent="0.25">
      <c r="A474" s="18"/>
      <c r="B474" s="18"/>
      <c r="C474" s="18"/>
      <c r="D474" s="18"/>
      <c r="E474" s="18"/>
      <c r="F474" s="18"/>
    </row>
    <row r="475" spans="1:6" ht="15.75" customHeight="1" x14ac:dyDescent="0.25">
      <c r="A475" s="18"/>
      <c r="B475" s="18"/>
      <c r="C475" s="18"/>
      <c r="D475" s="18"/>
      <c r="E475" s="18"/>
      <c r="F475" s="18"/>
    </row>
    <row r="476" spans="1:6" ht="15.75" customHeight="1" x14ac:dyDescent="0.25">
      <c r="A476" s="18"/>
      <c r="B476" s="18"/>
      <c r="C476" s="18"/>
      <c r="D476" s="18"/>
      <c r="E476" s="18"/>
      <c r="F476" s="18"/>
    </row>
    <row r="477" spans="1:6" ht="15.75" customHeight="1" x14ac:dyDescent="0.25">
      <c r="A477" s="18"/>
      <c r="B477" s="18"/>
      <c r="C477" s="18"/>
      <c r="D477" s="18"/>
      <c r="E477" s="18"/>
      <c r="F477" s="18"/>
    </row>
    <row r="478" spans="1:6" ht="15.75" customHeight="1" x14ac:dyDescent="0.25">
      <c r="A478" s="18"/>
      <c r="B478" s="18"/>
      <c r="C478" s="18"/>
      <c r="D478" s="18"/>
      <c r="E478" s="18"/>
      <c r="F478" s="18"/>
    </row>
    <row r="479" spans="1:6" ht="15.75" customHeight="1" x14ac:dyDescent="0.25">
      <c r="A479" s="18"/>
      <c r="B479" s="18"/>
      <c r="C479" s="18"/>
      <c r="D479" s="18"/>
      <c r="E479" s="18"/>
      <c r="F479" s="18"/>
    </row>
    <row r="480" spans="1:6" ht="15.75" customHeight="1" x14ac:dyDescent="0.25">
      <c r="A480" s="18"/>
      <c r="B480" s="18"/>
      <c r="C480" s="18"/>
      <c r="D480" s="18"/>
      <c r="E480" s="18"/>
      <c r="F480" s="18"/>
    </row>
    <row r="481" spans="1:6" ht="15.75" customHeight="1" x14ac:dyDescent="0.25">
      <c r="A481" s="18"/>
      <c r="B481" s="18"/>
      <c r="C481" s="18"/>
      <c r="D481" s="18"/>
      <c r="E481" s="18"/>
      <c r="F481" s="18"/>
    </row>
    <row r="482" spans="1:6" ht="15.75" customHeight="1" x14ac:dyDescent="0.25">
      <c r="A482" s="18"/>
      <c r="B482" s="18"/>
      <c r="C482" s="18"/>
      <c r="D482" s="18"/>
      <c r="E482" s="18"/>
      <c r="F482" s="18"/>
    </row>
    <row r="483" spans="1:6" ht="15.75" customHeight="1" x14ac:dyDescent="0.25">
      <c r="A483" s="18"/>
      <c r="B483" s="18"/>
      <c r="C483" s="18"/>
      <c r="D483" s="18"/>
      <c r="E483" s="18"/>
      <c r="F483" s="18"/>
    </row>
    <row r="484" spans="1:6" ht="15.75" customHeight="1" x14ac:dyDescent="0.25">
      <c r="A484" s="18"/>
      <c r="B484" s="18"/>
      <c r="C484" s="18"/>
      <c r="D484" s="18"/>
      <c r="E484" s="18"/>
      <c r="F484" s="18"/>
    </row>
    <row r="485" spans="1:6" ht="15.75" customHeight="1" x14ac:dyDescent="0.25">
      <c r="A485" s="18"/>
      <c r="B485" s="18"/>
      <c r="C485" s="18"/>
      <c r="D485" s="18"/>
      <c r="E485" s="18"/>
      <c r="F485" s="18"/>
    </row>
    <row r="486" spans="1:6" ht="15.75" customHeight="1" x14ac:dyDescent="0.25">
      <c r="A486" s="18"/>
      <c r="B486" s="18"/>
      <c r="C486" s="18"/>
      <c r="D486" s="18"/>
      <c r="E486" s="18"/>
      <c r="F486" s="18"/>
    </row>
    <row r="487" spans="1:6" ht="15.75" customHeight="1" x14ac:dyDescent="0.25">
      <c r="A487" s="18"/>
      <c r="B487" s="18"/>
      <c r="C487" s="18"/>
      <c r="D487" s="18"/>
      <c r="E487" s="18"/>
      <c r="F487" s="18"/>
    </row>
    <row r="488" spans="1:6" ht="15.75" customHeight="1" x14ac:dyDescent="0.25">
      <c r="A488" s="18"/>
      <c r="B488" s="18"/>
      <c r="C488" s="18"/>
      <c r="D488" s="18"/>
      <c r="E488" s="18"/>
      <c r="F488" s="18"/>
    </row>
    <row r="489" spans="1:6" ht="15.75" customHeight="1" x14ac:dyDescent="0.25">
      <c r="A489" s="18"/>
      <c r="B489" s="18"/>
      <c r="C489" s="18"/>
      <c r="D489" s="18"/>
      <c r="E489" s="18"/>
      <c r="F489" s="18"/>
    </row>
    <row r="490" spans="1:6" ht="15.75" customHeight="1" x14ac:dyDescent="0.25">
      <c r="A490" s="18"/>
      <c r="B490" s="18"/>
      <c r="C490" s="18"/>
      <c r="D490" s="18"/>
      <c r="E490" s="18"/>
      <c r="F490" s="18"/>
    </row>
    <row r="491" spans="1:6" ht="15.75" customHeight="1" x14ac:dyDescent="0.25">
      <c r="A491" s="18"/>
      <c r="B491" s="18"/>
      <c r="C491" s="18"/>
      <c r="D491" s="18"/>
      <c r="E491" s="18"/>
      <c r="F491" s="18"/>
    </row>
    <row r="492" spans="1:6" ht="15.75" customHeight="1" x14ac:dyDescent="0.25">
      <c r="A492" s="18"/>
      <c r="B492" s="18"/>
      <c r="C492" s="18"/>
      <c r="D492" s="18"/>
      <c r="E492" s="18"/>
      <c r="F492" s="18"/>
    </row>
    <row r="493" spans="1:6" ht="15.75" customHeight="1" x14ac:dyDescent="0.25">
      <c r="A493" s="18"/>
      <c r="B493" s="18"/>
      <c r="C493" s="18"/>
      <c r="D493" s="18"/>
      <c r="E493" s="18"/>
      <c r="F493" s="18"/>
    </row>
    <row r="494" spans="1:6" ht="15.75" customHeight="1" x14ac:dyDescent="0.25">
      <c r="A494" s="18"/>
      <c r="B494" s="18"/>
      <c r="C494" s="18"/>
      <c r="D494" s="18"/>
      <c r="E494" s="18"/>
      <c r="F494" s="18"/>
    </row>
    <row r="495" spans="1:6" ht="15.75" customHeight="1" x14ac:dyDescent="0.25">
      <c r="A495" s="18"/>
      <c r="B495" s="18"/>
      <c r="C495" s="18"/>
      <c r="D495" s="18"/>
      <c r="E495" s="18"/>
      <c r="F495" s="18"/>
    </row>
    <row r="496" spans="1:6" ht="15.75" customHeight="1" x14ac:dyDescent="0.25">
      <c r="A496" s="18"/>
      <c r="B496" s="18"/>
      <c r="C496" s="18"/>
      <c r="D496" s="18"/>
      <c r="E496" s="18"/>
      <c r="F496" s="18"/>
    </row>
    <row r="497" spans="1:6" ht="15.75" customHeight="1" x14ac:dyDescent="0.25">
      <c r="A497" s="18"/>
      <c r="B497" s="18"/>
      <c r="C497" s="18"/>
      <c r="D497" s="18"/>
      <c r="E497" s="18"/>
      <c r="F497" s="18"/>
    </row>
    <row r="498" spans="1:6" ht="15.75" customHeight="1" x14ac:dyDescent="0.25">
      <c r="A498" s="18"/>
      <c r="B498" s="18"/>
      <c r="C498" s="18"/>
      <c r="D498" s="18"/>
      <c r="E498" s="18"/>
      <c r="F498" s="18"/>
    </row>
    <row r="499" spans="1:6" ht="15.75" customHeight="1" x14ac:dyDescent="0.25">
      <c r="A499" s="18"/>
      <c r="B499" s="18"/>
      <c r="C499" s="18"/>
      <c r="D499" s="18"/>
      <c r="E499" s="18"/>
      <c r="F499" s="18"/>
    </row>
    <row r="500" spans="1:6" ht="15.75" customHeight="1" x14ac:dyDescent="0.25">
      <c r="A500" s="18"/>
      <c r="B500" s="18"/>
      <c r="C500" s="18"/>
      <c r="D500" s="18"/>
      <c r="E500" s="18"/>
      <c r="F500" s="18"/>
    </row>
    <row r="501" spans="1:6" ht="15.75" customHeight="1" x14ac:dyDescent="0.25">
      <c r="A501" s="18"/>
      <c r="B501" s="18"/>
      <c r="C501" s="18"/>
      <c r="D501" s="18"/>
      <c r="E501" s="18"/>
      <c r="F501" s="18"/>
    </row>
    <row r="502" spans="1:6" ht="15.75" customHeight="1" x14ac:dyDescent="0.25">
      <c r="A502" s="18"/>
      <c r="B502" s="18"/>
      <c r="C502" s="18"/>
      <c r="D502" s="18"/>
      <c r="E502" s="18"/>
      <c r="F502" s="18"/>
    </row>
    <row r="503" spans="1:6" ht="15.75" customHeight="1" x14ac:dyDescent="0.25">
      <c r="A503" s="18"/>
      <c r="B503" s="18"/>
      <c r="C503" s="18"/>
      <c r="D503" s="18"/>
      <c r="E503" s="18"/>
      <c r="F503" s="18"/>
    </row>
    <row r="504" spans="1:6" ht="15.75" customHeight="1" x14ac:dyDescent="0.25">
      <c r="A504" s="18"/>
      <c r="B504" s="18"/>
      <c r="C504" s="18"/>
      <c r="D504" s="18"/>
      <c r="E504" s="18"/>
      <c r="F504" s="18"/>
    </row>
    <row r="505" spans="1:6" ht="15.75" customHeight="1" x14ac:dyDescent="0.25">
      <c r="A505" s="18"/>
      <c r="B505" s="18"/>
      <c r="C505" s="18"/>
      <c r="D505" s="18"/>
      <c r="E505" s="18"/>
      <c r="F505" s="18"/>
    </row>
    <row r="506" spans="1:6" ht="15.75" customHeight="1" x14ac:dyDescent="0.25">
      <c r="A506" s="18"/>
      <c r="B506" s="18"/>
      <c r="C506" s="18"/>
      <c r="D506" s="18"/>
      <c r="E506" s="18"/>
      <c r="F506" s="18"/>
    </row>
    <row r="507" spans="1:6" ht="15.75" customHeight="1" x14ac:dyDescent="0.25">
      <c r="A507" s="18"/>
      <c r="B507" s="18"/>
      <c r="C507" s="18"/>
      <c r="D507" s="18"/>
      <c r="E507" s="18"/>
      <c r="F507" s="18"/>
    </row>
    <row r="508" spans="1:6" ht="15.75" customHeight="1" x14ac:dyDescent="0.25">
      <c r="A508" s="18"/>
      <c r="B508" s="18"/>
      <c r="C508" s="18"/>
      <c r="D508" s="18"/>
      <c r="E508" s="18"/>
      <c r="F508" s="18"/>
    </row>
    <row r="509" spans="1:6" ht="15.75" customHeight="1" x14ac:dyDescent="0.25">
      <c r="A509" s="18"/>
      <c r="B509" s="18"/>
      <c r="C509" s="18"/>
      <c r="D509" s="18"/>
      <c r="E509" s="18"/>
      <c r="F509" s="18"/>
    </row>
    <row r="510" spans="1:6" ht="15.75" customHeight="1" x14ac:dyDescent="0.25">
      <c r="A510" s="18"/>
      <c r="B510" s="18"/>
      <c r="C510" s="18"/>
      <c r="D510" s="18"/>
      <c r="E510" s="18"/>
      <c r="F510" s="18"/>
    </row>
    <row r="511" spans="1:6" ht="15.75" customHeight="1" x14ac:dyDescent="0.25">
      <c r="A511" s="18"/>
      <c r="B511" s="18"/>
      <c r="C511" s="18"/>
      <c r="D511" s="18"/>
      <c r="E511" s="18"/>
      <c r="F511" s="18"/>
    </row>
    <row r="512" spans="1:6" ht="15.75" customHeight="1" x14ac:dyDescent="0.25">
      <c r="A512" s="18"/>
      <c r="B512" s="18"/>
      <c r="C512" s="18"/>
      <c r="D512" s="18"/>
      <c r="E512" s="18"/>
      <c r="F512" s="18"/>
    </row>
    <row r="513" spans="1:6" ht="15.75" customHeight="1" x14ac:dyDescent="0.25">
      <c r="A513" s="18"/>
      <c r="B513" s="18"/>
      <c r="C513" s="18"/>
      <c r="D513" s="18"/>
      <c r="E513" s="18"/>
      <c r="F513" s="18"/>
    </row>
    <row r="514" spans="1:6" ht="15.75" customHeight="1" x14ac:dyDescent="0.25">
      <c r="A514" s="18"/>
      <c r="B514" s="18"/>
      <c r="C514" s="18"/>
      <c r="D514" s="18"/>
      <c r="E514" s="18"/>
      <c r="F514" s="18"/>
    </row>
    <row r="515" spans="1:6" ht="15.75" customHeight="1" x14ac:dyDescent="0.25">
      <c r="A515" s="18"/>
      <c r="B515" s="18"/>
      <c r="C515" s="18"/>
      <c r="D515" s="18"/>
      <c r="E515" s="18"/>
      <c r="F515" s="18"/>
    </row>
    <row r="516" spans="1:6" ht="15.75" customHeight="1" x14ac:dyDescent="0.25">
      <c r="A516" s="18"/>
      <c r="B516" s="18"/>
      <c r="C516" s="18"/>
      <c r="D516" s="18"/>
      <c r="E516" s="18"/>
      <c r="F516" s="18"/>
    </row>
    <row r="517" spans="1:6" ht="15.75" customHeight="1" x14ac:dyDescent="0.25">
      <c r="A517" s="18"/>
      <c r="B517" s="18"/>
      <c r="C517" s="18"/>
      <c r="D517" s="18"/>
      <c r="E517" s="18"/>
      <c r="F517" s="18"/>
    </row>
    <row r="518" spans="1:6" ht="15.75" customHeight="1" x14ac:dyDescent="0.25">
      <c r="A518" s="18"/>
      <c r="B518" s="18"/>
      <c r="C518" s="18"/>
      <c r="D518" s="18"/>
      <c r="E518" s="18"/>
      <c r="F518" s="18"/>
    </row>
    <row r="519" spans="1:6" ht="15.75" customHeight="1" x14ac:dyDescent="0.25">
      <c r="A519" s="18"/>
      <c r="B519" s="18"/>
      <c r="C519" s="18"/>
      <c r="D519" s="18"/>
      <c r="E519" s="18"/>
      <c r="F519" s="18"/>
    </row>
    <row r="520" spans="1:6" ht="15.75" customHeight="1" x14ac:dyDescent="0.25">
      <c r="A520" s="18"/>
      <c r="B520" s="18"/>
      <c r="C520" s="18"/>
      <c r="D520" s="18"/>
      <c r="E520" s="18"/>
      <c r="F520" s="18"/>
    </row>
    <row r="521" spans="1:6" ht="15.75" customHeight="1" x14ac:dyDescent="0.25">
      <c r="A521" s="18"/>
      <c r="B521" s="18"/>
      <c r="C521" s="18"/>
      <c r="D521" s="18"/>
      <c r="E521" s="18"/>
      <c r="F521" s="18"/>
    </row>
    <row r="522" spans="1:6" ht="15.75" customHeight="1" x14ac:dyDescent="0.25">
      <c r="A522" s="18"/>
      <c r="B522" s="18"/>
      <c r="C522" s="18"/>
      <c r="D522" s="18"/>
      <c r="E522" s="18"/>
      <c r="F522" s="18"/>
    </row>
    <row r="523" spans="1:6" ht="15.75" customHeight="1" x14ac:dyDescent="0.25">
      <c r="A523" s="18"/>
      <c r="B523" s="18"/>
      <c r="C523" s="18"/>
      <c r="D523" s="18"/>
      <c r="E523" s="18"/>
      <c r="F523" s="18"/>
    </row>
    <row r="524" spans="1:6" ht="15.75" customHeight="1" x14ac:dyDescent="0.25">
      <c r="A524" s="18"/>
      <c r="B524" s="18"/>
      <c r="C524" s="18"/>
      <c r="D524" s="18"/>
      <c r="E524" s="18"/>
      <c r="F524" s="18"/>
    </row>
    <row r="525" spans="1:6" ht="15.75" customHeight="1" x14ac:dyDescent="0.25">
      <c r="A525" s="18"/>
      <c r="B525" s="18"/>
      <c r="C525" s="18"/>
      <c r="D525" s="18"/>
      <c r="E525" s="18"/>
      <c r="F525" s="18"/>
    </row>
    <row r="526" spans="1:6" ht="15.75" customHeight="1" x14ac:dyDescent="0.25">
      <c r="A526" s="18"/>
      <c r="B526" s="18"/>
      <c r="C526" s="18"/>
      <c r="D526" s="18"/>
      <c r="E526" s="18"/>
      <c r="F526" s="18"/>
    </row>
    <row r="527" spans="1:6" ht="15.75" customHeight="1" x14ac:dyDescent="0.25">
      <c r="A527" s="18"/>
      <c r="B527" s="18"/>
      <c r="C527" s="18"/>
      <c r="D527" s="18"/>
      <c r="E527" s="18"/>
      <c r="F527" s="18"/>
    </row>
    <row r="528" spans="1:6" ht="15.75" customHeight="1" x14ac:dyDescent="0.25">
      <c r="A528" s="18"/>
      <c r="B528" s="18"/>
      <c r="C528" s="18"/>
      <c r="D528" s="18"/>
      <c r="E528" s="18"/>
      <c r="F528" s="18"/>
    </row>
    <row r="529" spans="1:6" ht="15.75" customHeight="1" x14ac:dyDescent="0.25">
      <c r="A529" s="18"/>
      <c r="B529" s="18"/>
      <c r="C529" s="18"/>
      <c r="D529" s="18"/>
      <c r="E529" s="18"/>
      <c r="F529" s="18"/>
    </row>
    <row r="530" spans="1:6" ht="15.75" customHeight="1" x14ac:dyDescent="0.25">
      <c r="A530" s="18"/>
      <c r="B530" s="18"/>
      <c r="C530" s="18"/>
      <c r="D530" s="18"/>
      <c r="E530" s="18"/>
      <c r="F530" s="18"/>
    </row>
    <row r="531" spans="1:6" ht="15.75" customHeight="1" x14ac:dyDescent="0.25">
      <c r="A531" s="18"/>
      <c r="B531" s="18"/>
      <c r="C531" s="18"/>
      <c r="D531" s="18"/>
      <c r="E531" s="18"/>
      <c r="F531" s="18"/>
    </row>
    <row r="532" spans="1:6" ht="15.75" customHeight="1" x14ac:dyDescent="0.25">
      <c r="A532" s="18"/>
      <c r="B532" s="18"/>
      <c r="C532" s="18"/>
      <c r="D532" s="18"/>
      <c r="E532" s="18"/>
      <c r="F532" s="18"/>
    </row>
    <row r="533" spans="1:6" ht="15.75" customHeight="1" x14ac:dyDescent="0.25">
      <c r="A533" s="18"/>
      <c r="B533" s="18"/>
      <c r="C533" s="18"/>
      <c r="D533" s="18"/>
      <c r="E533" s="18"/>
      <c r="F533" s="18"/>
    </row>
    <row r="534" spans="1:6" ht="15.75" customHeight="1" x14ac:dyDescent="0.25">
      <c r="A534" s="18"/>
      <c r="B534" s="18"/>
      <c r="C534" s="18"/>
      <c r="D534" s="18"/>
      <c r="E534" s="18"/>
      <c r="F534" s="18"/>
    </row>
    <row r="535" spans="1:6" ht="15.75" customHeight="1" x14ac:dyDescent="0.25">
      <c r="A535" s="18"/>
      <c r="B535" s="18"/>
      <c r="C535" s="18"/>
      <c r="D535" s="18"/>
      <c r="E535" s="18"/>
      <c r="F535" s="18"/>
    </row>
    <row r="536" spans="1:6" ht="15.75" customHeight="1" x14ac:dyDescent="0.25">
      <c r="A536" s="18"/>
      <c r="B536" s="18"/>
      <c r="C536" s="18"/>
      <c r="D536" s="18"/>
      <c r="E536" s="18"/>
      <c r="F536" s="18"/>
    </row>
    <row r="537" spans="1:6" ht="15.75" customHeight="1" x14ac:dyDescent="0.25">
      <c r="A537" s="18"/>
      <c r="B537" s="18"/>
      <c r="C537" s="18"/>
      <c r="D537" s="18"/>
      <c r="E537" s="18"/>
      <c r="F537" s="18"/>
    </row>
    <row r="538" spans="1:6" ht="15.75" customHeight="1" x14ac:dyDescent="0.25">
      <c r="A538" s="18"/>
      <c r="B538" s="18"/>
      <c r="C538" s="18"/>
      <c r="D538" s="18"/>
      <c r="E538" s="18"/>
      <c r="F538" s="18"/>
    </row>
    <row r="539" spans="1:6" ht="15.75" customHeight="1" x14ac:dyDescent="0.25">
      <c r="A539" s="18"/>
      <c r="B539" s="18"/>
      <c r="C539" s="18"/>
      <c r="D539" s="18"/>
      <c r="E539" s="18"/>
      <c r="F539" s="18"/>
    </row>
    <row r="540" spans="1:6" ht="15.75" customHeight="1" x14ac:dyDescent="0.25">
      <c r="A540" s="18"/>
      <c r="B540" s="18"/>
      <c r="C540" s="18"/>
      <c r="D540" s="18"/>
      <c r="E540" s="18"/>
      <c r="F540" s="18"/>
    </row>
    <row r="541" spans="1:6" ht="15.75" customHeight="1" x14ac:dyDescent="0.25">
      <c r="A541" s="18"/>
      <c r="B541" s="18"/>
      <c r="C541" s="18"/>
      <c r="D541" s="18"/>
      <c r="E541" s="18"/>
      <c r="F541" s="18"/>
    </row>
    <row r="542" spans="1:6" ht="15.75" customHeight="1" x14ac:dyDescent="0.25">
      <c r="A542" s="18"/>
      <c r="B542" s="18"/>
      <c r="C542" s="18"/>
      <c r="D542" s="18"/>
      <c r="E542" s="18"/>
      <c r="F542" s="18"/>
    </row>
    <row r="543" spans="1:6" ht="15.75" customHeight="1" x14ac:dyDescent="0.25">
      <c r="A543" s="18"/>
      <c r="B543" s="18"/>
      <c r="C543" s="18"/>
      <c r="D543" s="18"/>
      <c r="E543" s="18"/>
      <c r="F543" s="18"/>
    </row>
    <row r="544" spans="1:6" ht="15.75" customHeight="1" x14ac:dyDescent="0.25">
      <c r="A544" s="18"/>
      <c r="B544" s="18"/>
      <c r="C544" s="18"/>
      <c r="D544" s="18"/>
      <c r="E544" s="18"/>
      <c r="F544" s="18"/>
    </row>
    <row r="545" spans="1:6" ht="15.75" customHeight="1" x14ac:dyDescent="0.25">
      <c r="A545" s="18"/>
      <c r="B545" s="18"/>
      <c r="C545" s="18"/>
      <c r="D545" s="18"/>
      <c r="E545" s="18"/>
      <c r="F545" s="18"/>
    </row>
    <row r="546" spans="1:6" ht="15.75" customHeight="1" x14ac:dyDescent="0.25">
      <c r="A546" s="18"/>
      <c r="B546" s="18"/>
      <c r="C546" s="18"/>
      <c r="D546" s="18"/>
      <c r="E546" s="18"/>
      <c r="F546" s="18"/>
    </row>
    <row r="547" spans="1:6" ht="15.75" customHeight="1" x14ac:dyDescent="0.25">
      <c r="A547" s="18"/>
      <c r="B547" s="18"/>
      <c r="C547" s="18"/>
      <c r="D547" s="18"/>
      <c r="E547" s="18"/>
      <c r="F547" s="18"/>
    </row>
    <row r="548" spans="1:6" ht="15.75" customHeight="1" x14ac:dyDescent="0.25">
      <c r="A548" s="18"/>
      <c r="B548" s="18"/>
      <c r="C548" s="18"/>
      <c r="D548" s="18"/>
      <c r="E548" s="18"/>
      <c r="F548" s="18"/>
    </row>
    <row r="549" spans="1:6" ht="15.75" customHeight="1" x14ac:dyDescent="0.25">
      <c r="A549" s="18"/>
      <c r="B549" s="18"/>
      <c r="C549" s="18"/>
      <c r="D549" s="18"/>
      <c r="E549" s="18"/>
      <c r="F549" s="18"/>
    </row>
    <row r="550" spans="1:6" ht="15.75" customHeight="1" x14ac:dyDescent="0.25">
      <c r="A550" s="18"/>
      <c r="B550" s="18"/>
      <c r="C550" s="18"/>
      <c r="D550" s="18"/>
      <c r="E550" s="18"/>
      <c r="F550" s="18"/>
    </row>
    <row r="551" spans="1:6" ht="15.75" customHeight="1" x14ac:dyDescent="0.25">
      <c r="A551" s="18"/>
      <c r="B551" s="18"/>
      <c r="C551" s="18"/>
      <c r="D551" s="18"/>
      <c r="E551" s="18"/>
      <c r="F551" s="18"/>
    </row>
    <row r="552" spans="1:6" ht="15.75" customHeight="1" x14ac:dyDescent="0.25">
      <c r="A552" s="18"/>
      <c r="B552" s="18"/>
      <c r="C552" s="18"/>
      <c r="D552" s="18"/>
      <c r="E552" s="18"/>
      <c r="F552" s="18"/>
    </row>
    <row r="553" spans="1:6" ht="15.75" customHeight="1" x14ac:dyDescent="0.25">
      <c r="A553" s="18"/>
      <c r="B553" s="18"/>
      <c r="C553" s="18"/>
      <c r="D553" s="18"/>
      <c r="E553" s="18"/>
      <c r="F553" s="18"/>
    </row>
    <row r="554" spans="1:6" ht="15.75" customHeight="1" x14ac:dyDescent="0.25">
      <c r="A554" s="18"/>
      <c r="B554" s="18"/>
      <c r="C554" s="18"/>
      <c r="D554" s="18"/>
      <c r="E554" s="18"/>
      <c r="F554" s="18"/>
    </row>
    <row r="555" spans="1:6" ht="15.75" customHeight="1" x14ac:dyDescent="0.25">
      <c r="A555" s="18"/>
      <c r="B555" s="18"/>
      <c r="C555" s="18"/>
      <c r="D555" s="18"/>
      <c r="E555" s="18"/>
      <c r="F555" s="18"/>
    </row>
    <row r="556" spans="1:6" ht="15.75" customHeight="1" x14ac:dyDescent="0.25">
      <c r="A556" s="18"/>
      <c r="B556" s="18"/>
      <c r="C556" s="18"/>
      <c r="D556" s="18"/>
      <c r="E556" s="18"/>
      <c r="F556" s="18"/>
    </row>
    <row r="557" spans="1:6" ht="15.75" customHeight="1" x14ac:dyDescent="0.25">
      <c r="A557" s="18"/>
      <c r="B557" s="18"/>
      <c r="C557" s="18"/>
      <c r="D557" s="18"/>
      <c r="E557" s="18"/>
      <c r="F557" s="18"/>
    </row>
    <row r="558" spans="1:6" ht="15.75" customHeight="1" x14ac:dyDescent="0.25">
      <c r="A558" s="18"/>
      <c r="B558" s="18"/>
      <c r="C558" s="18"/>
      <c r="D558" s="18"/>
      <c r="E558" s="18"/>
      <c r="F558" s="18"/>
    </row>
    <row r="559" spans="1:6" ht="15.75" customHeight="1" x14ac:dyDescent="0.25">
      <c r="A559" s="18"/>
      <c r="B559" s="18"/>
      <c r="C559" s="18"/>
      <c r="D559" s="18"/>
      <c r="E559" s="18"/>
      <c r="F559" s="18"/>
    </row>
    <row r="560" spans="1:6" ht="15.75" customHeight="1" x14ac:dyDescent="0.25">
      <c r="A560" s="18"/>
      <c r="B560" s="18"/>
      <c r="C560" s="18"/>
      <c r="D560" s="18"/>
      <c r="E560" s="18"/>
      <c r="F560" s="18"/>
    </row>
    <row r="561" spans="1:6" ht="15.75" customHeight="1" x14ac:dyDescent="0.25">
      <c r="A561" s="18"/>
      <c r="B561" s="18"/>
      <c r="C561" s="18"/>
      <c r="D561" s="18"/>
      <c r="E561" s="18"/>
      <c r="F561" s="18"/>
    </row>
    <row r="562" spans="1:6" ht="15.75" customHeight="1" x14ac:dyDescent="0.25">
      <c r="A562" s="18"/>
      <c r="B562" s="18"/>
      <c r="C562" s="18"/>
      <c r="D562" s="18"/>
      <c r="E562" s="18"/>
      <c r="F562" s="18"/>
    </row>
    <row r="563" spans="1:6" ht="15.75" customHeight="1" x14ac:dyDescent="0.25">
      <c r="A563" s="18"/>
      <c r="B563" s="18"/>
      <c r="C563" s="18"/>
      <c r="D563" s="18"/>
      <c r="E563" s="18"/>
      <c r="F563" s="18"/>
    </row>
    <row r="564" spans="1:6" ht="15.75" customHeight="1" x14ac:dyDescent="0.25">
      <c r="A564" s="18"/>
      <c r="B564" s="18"/>
      <c r="C564" s="18"/>
      <c r="D564" s="18"/>
      <c r="E564" s="18"/>
      <c r="F564" s="18"/>
    </row>
    <row r="565" spans="1:6" ht="15.75" customHeight="1" x14ac:dyDescent="0.25">
      <c r="A565" s="18"/>
      <c r="B565" s="18"/>
      <c r="C565" s="18"/>
      <c r="D565" s="18"/>
      <c r="E565" s="18"/>
      <c r="F565" s="18"/>
    </row>
    <row r="566" spans="1:6" ht="15.75" customHeight="1" x14ac:dyDescent="0.25">
      <c r="A566" s="18"/>
      <c r="B566" s="18"/>
      <c r="C566" s="18"/>
      <c r="D566" s="18"/>
      <c r="E566" s="18"/>
      <c r="F566" s="18"/>
    </row>
    <row r="567" spans="1:6" ht="15.75" customHeight="1" x14ac:dyDescent="0.25">
      <c r="A567" s="18"/>
      <c r="B567" s="18"/>
      <c r="C567" s="18"/>
      <c r="D567" s="18"/>
      <c r="E567" s="18"/>
      <c r="F567" s="18"/>
    </row>
    <row r="568" spans="1:6" ht="15.75" customHeight="1" x14ac:dyDescent="0.25">
      <c r="A568" s="18"/>
      <c r="B568" s="18"/>
      <c r="C568" s="18"/>
      <c r="D568" s="18"/>
      <c r="E568" s="18"/>
      <c r="F568" s="18"/>
    </row>
    <row r="569" spans="1:6" ht="15.75" customHeight="1" x14ac:dyDescent="0.25">
      <c r="A569" s="18"/>
      <c r="B569" s="18"/>
      <c r="C569" s="18"/>
      <c r="D569" s="18"/>
      <c r="E569" s="18"/>
      <c r="F569" s="18"/>
    </row>
    <row r="570" spans="1:6" ht="15.75" customHeight="1" x14ac:dyDescent="0.25">
      <c r="A570" s="18"/>
      <c r="B570" s="18"/>
      <c r="C570" s="18"/>
      <c r="D570" s="18"/>
      <c r="E570" s="18"/>
      <c r="F570" s="18"/>
    </row>
    <row r="571" spans="1:6" ht="15.75" customHeight="1" x14ac:dyDescent="0.25">
      <c r="A571" s="18"/>
      <c r="B571" s="18"/>
      <c r="C571" s="18"/>
      <c r="D571" s="18"/>
      <c r="E571" s="18"/>
      <c r="F571" s="18"/>
    </row>
    <row r="572" spans="1:6" ht="15.75" customHeight="1" x14ac:dyDescent="0.25">
      <c r="A572" s="18"/>
      <c r="B572" s="18"/>
      <c r="C572" s="18"/>
      <c r="D572" s="18"/>
      <c r="E572" s="18"/>
      <c r="F572" s="18"/>
    </row>
    <row r="573" spans="1:6" ht="15.75" customHeight="1" x14ac:dyDescent="0.25">
      <c r="A573" s="18"/>
      <c r="B573" s="18"/>
      <c r="C573" s="18"/>
      <c r="D573" s="18"/>
      <c r="E573" s="18"/>
      <c r="F573" s="18"/>
    </row>
    <row r="574" spans="1:6" ht="15.75" customHeight="1" x14ac:dyDescent="0.25">
      <c r="A574" s="18"/>
      <c r="B574" s="18"/>
      <c r="C574" s="18"/>
      <c r="D574" s="18"/>
      <c r="E574" s="18"/>
      <c r="F574" s="18"/>
    </row>
    <row r="575" spans="1:6" ht="15.75" customHeight="1" x14ac:dyDescent="0.25">
      <c r="A575" s="18"/>
      <c r="B575" s="18"/>
      <c r="C575" s="18"/>
      <c r="D575" s="18"/>
      <c r="E575" s="18"/>
      <c r="F575" s="18"/>
    </row>
    <row r="576" spans="1:6" ht="15.75" customHeight="1" x14ac:dyDescent="0.25">
      <c r="A576" s="18"/>
      <c r="B576" s="18"/>
      <c r="C576" s="18"/>
      <c r="D576" s="18"/>
      <c r="E576" s="18"/>
      <c r="F576" s="18"/>
    </row>
    <row r="577" spans="1:6" ht="15.75" customHeight="1" x14ac:dyDescent="0.25">
      <c r="A577" s="18"/>
      <c r="B577" s="18"/>
      <c r="C577" s="18"/>
      <c r="D577" s="18"/>
      <c r="E577" s="18"/>
      <c r="F577" s="18"/>
    </row>
    <row r="578" spans="1:6" ht="15.75" customHeight="1" x14ac:dyDescent="0.25">
      <c r="A578" s="18"/>
      <c r="B578" s="18"/>
      <c r="C578" s="18"/>
      <c r="D578" s="18"/>
      <c r="E578" s="18"/>
      <c r="F578" s="18"/>
    </row>
    <row r="579" spans="1:6" ht="15.75" customHeight="1" x14ac:dyDescent="0.25">
      <c r="A579" s="18"/>
      <c r="B579" s="18"/>
      <c r="C579" s="18"/>
      <c r="D579" s="18"/>
      <c r="E579" s="18"/>
      <c r="F579" s="18"/>
    </row>
    <row r="580" spans="1:6" ht="15.75" customHeight="1" x14ac:dyDescent="0.25">
      <c r="A580" s="18"/>
      <c r="B580" s="18"/>
      <c r="C580" s="18"/>
      <c r="D580" s="18"/>
      <c r="E580" s="18"/>
      <c r="F580" s="18"/>
    </row>
    <row r="581" spans="1:6" ht="15.75" customHeight="1" x14ac:dyDescent="0.25">
      <c r="A581" s="18"/>
      <c r="B581" s="18"/>
      <c r="C581" s="18"/>
      <c r="D581" s="18"/>
      <c r="E581" s="18"/>
      <c r="F581" s="18"/>
    </row>
    <row r="582" spans="1:6" ht="15.75" customHeight="1" x14ac:dyDescent="0.25">
      <c r="A582" s="18"/>
      <c r="B582" s="18"/>
      <c r="C582" s="18"/>
      <c r="D582" s="18"/>
      <c r="E582" s="18"/>
      <c r="F582" s="18"/>
    </row>
    <row r="583" spans="1:6" ht="15.75" customHeight="1" x14ac:dyDescent="0.25">
      <c r="A583" s="18"/>
      <c r="B583" s="18"/>
      <c r="C583" s="18"/>
      <c r="D583" s="18"/>
      <c r="E583" s="18"/>
      <c r="F583" s="18"/>
    </row>
    <row r="584" spans="1:6" ht="15.75" customHeight="1" x14ac:dyDescent="0.25">
      <c r="A584" s="18"/>
      <c r="B584" s="18"/>
      <c r="C584" s="18"/>
      <c r="D584" s="18"/>
      <c r="E584" s="18"/>
      <c r="F584" s="18"/>
    </row>
    <row r="585" spans="1:6" ht="15.75" customHeight="1" x14ac:dyDescent="0.25">
      <c r="A585" s="18"/>
      <c r="B585" s="18"/>
      <c r="C585" s="18"/>
      <c r="D585" s="18"/>
      <c r="E585" s="18"/>
      <c r="F585" s="18"/>
    </row>
    <row r="586" spans="1:6" ht="15.75" customHeight="1" x14ac:dyDescent="0.25">
      <c r="A586" s="18"/>
      <c r="B586" s="18"/>
      <c r="C586" s="18"/>
      <c r="D586" s="18"/>
      <c r="E586" s="18"/>
      <c r="F586" s="18"/>
    </row>
    <row r="587" spans="1:6" ht="15.75" customHeight="1" x14ac:dyDescent="0.25">
      <c r="A587" s="18"/>
      <c r="B587" s="18"/>
      <c r="C587" s="18"/>
      <c r="D587" s="18"/>
      <c r="E587" s="18"/>
      <c r="F587" s="18"/>
    </row>
    <row r="588" spans="1:6" ht="15.75" customHeight="1" x14ac:dyDescent="0.25">
      <c r="A588" s="18"/>
      <c r="B588" s="18"/>
      <c r="C588" s="18"/>
      <c r="D588" s="18"/>
      <c r="E588" s="18"/>
      <c r="F588" s="18"/>
    </row>
    <row r="589" spans="1:6" ht="15.75" customHeight="1" x14ac:dyDescent="0.25">
      <c r="A589" s="18"/>
      <c r="B589" s="18"/>
      <c r="C589" s="18"/>
      <c r="D589" s="18"/>
      <c r="E589" s="18"/>
      <c r="F589" s="18"/>
    </row>
    <row r="590" spans="1:6" ht="15.75" customHeight="1" x14ac:dyDescent="0.25">
      <c r="A590" s="18"/>
      <c r="B590" s="18"/>
      <c r="C590" s="18"/>
      <c r="D590" s="18"/>
      <c r="E590" s="18"/>
      <c r="F590" s="18"/>
    </row>
    <row r="591" spans="1:6" ht="15.75" customHeight="1" x14ac:dyDescent="0.25">
      <c r="A591" s="18"/>
      <c r="B591" s="18"/>
      <c r="C591" s="18"/>
      <c r="D591" s="18"/>
      <c r="E591" s="18"/>
      <c r="F591" s="18"/>
    </row>
    <row r="592" spans="1:6" ht="15.75" customHeight="1" x14ac:dyDescent="0.25">
      <c r="A592" s="18"/>
      <c r="B592" s="18"/>
      <c r="C592" s="18"/>
      <c r="D592" s="18"/>
      <c r="E592" s="18"/>
      <c r="F592" s="18"/>
    </row>
    <row r="593" spans="1:6" ht="15.75" customHeight="1" x14ac:dyDescent="0.25">
      <c r="A593" s="18"/>
      <c r="B593" s="18"/>
      <c r="C593" s="18"/>
      <c r="D593" s="18"/>
      <c r="E593" s="18"/>
      <c r="F593" s="18"/>
    </row>
    <row r="594" spans="1:6" ht="15.75" customHeight="1" x14ac:dyDescent="0.25">
      <c r="A594" s="18"/>
      <c r="B594" s="18"/>
      <c r="C594" s="18"/>
      <c r="D594" s="18"/>
      <c r="E594" s="18"/>
      <c r="F594" s="18"/>
    </row>
    <row r="595" spans="1:6" ht="15.75" customHeight="1" x14ac:dyDescent="0.25">
      <c r="A595" s="18"/>
      <c r="B595" s="18"/>
      <c r="C595" s="18"/>
      <c r="D595" s="18"/>
      <c r="E595" s="18"/>
      <c r="F595" s="18"/>
    </row>
    <row r="596" spans="1:6" ht="15.75" customHeight="1" x14ac:dyDescent="0.25">
      <c r="A596" s="18"/>
      <c r="B596" s="18"/>
      <c r="C596" s="18"/>
      <c r="D596" s="18"/>
      <c r="E596" s="18"/>
      <c r="F596" s="18"/>
    </row>
    <row r="597" spans="1:6" ht="15.75" customHeight="1" x14ac:dyDescent="0.25">
      <c r="A597" s="18"/>
      <c r="B597" s="18"/>
      <c r="C597" s="18"/>
      <c r="D597" s="18"/>
      <c r="E597" s="18"/>
      <c r="F597" s="18"/>
    </row>
    <row r="598" spans="1:6" ht="15.75" customHeight="1" x14ac:dyDescent="0.25">
      <c r="A598" s="18"/>
      <c r="B598" s="18"/>
      <c r="C598" s="18"/>
      <c r="D598" s="18"/>
      <c r="E598" s="18"/>
      <c r="F598" s="18"/>
    </row>
    <row r="599" spans="1:6" ht="15.75" customHeight="1" x14ac:dyDescent="0.25">
      <c r="A599" s="18"/>
      <c r="B599" s="18"/>
      <c r="C599" s="18"/>
      <c r="D599" s="18"/>
      <c r="E599" s="18"/>
      <c r="F599" s="18"/>
    </row>
    <row r="600" spans="1:6" ht="15.75" customHeight="1" x14ac:dyDescent="0.25">
      <c r="A600" s="18"/>
      <c r="B600" s="18"/>
      <c r="C600" s="18"/>
      <c r="D600" s="18"/>
      <c r="E600" s="18"/>
      <c r="F600" s="18"/>
    </row>
    <row r="601" spans="1:6" ht="15.75" customHeight="1" x14ac:dyDescent="0.25">
      <c r="A601" s="18"/>
      <c r="B601" s="18"/>
      <c r="C601" s="18"/>
      <c r="D601" s="18"/>
      <c r="E601" s="18"/>
      <c r="F601" s="18"/>
    </row>
    <row r="602" spans="1:6" ht="15.75" customHeight="1" x14ac:dyDescent="0.25">
      <c r="A602" s="18"/>
      <c r="B602" s="18"/>
      <c r="C602" s="18"/>
      <c r="D602" s="18"/>
      <c r="E602" s="18"/>
      <c r="F602" s="18"/>
    </row>
    <row r="603" spans="1:6" ht="15.75" customHeight="1" x14ac:dyDescent="0.25">
      <c r="A603" s="18"/>
      <c r="B603" s="18"/>
      <c r="C603" s="18"/>
      <c r="D603" s="18"/>
      <c r="E603" s="18"/>
      <c r="F603" s="18"/>
    </row>
    <row r="604" spans="1:6" ht="15.75" customHeight="1" x14ac:dyDescent="0.25">
      <c r="A604" s="18"/>
      <c r="B604" s="18"/>
      <c r="C604" s="18"/>
      <c r="D604" s="18"/>
      <c r="E604" s="18"/>
      <c r="F604" s="18"/>
    </row>
    <row r="605" spans="1:6" ht="15.75" customHeight="1" x14ac:dyDescent="0.25">
      <c r="A605" s="18"/>
      <c r="B605" s="18"/>
      <c r="C605" s="18"/>
      <c r="D605" s="18"/>
      <c r="E605" s="18"/>
      <c r="F605" s="18"/>
    </row>
    <row r="606" spans="1:6" ht="15.75" customHeight="1" x14ac:dyDescent="0.25">
      <c r="A606" s="18"/>
      <c r="B606" s="18"/>
      <c r="C606" s="18"/>
      <c r="D606" s="18"/>
      <c r="E606" s="18"/>
      <c r="F606" s="18"/>
    </row>
    <row r="607" spans="1:6" ht="15.75" customHeight="1" x14ac:dyDescent="0.25">
      <c r="A607" s="18"/>
      <c r="B607" s="18"/>
      <c r="C607" s="18"/>
      <c r="D607" s="18"/>
      <c r="E607" s="18"/>
      <c r="F607" s="18"/>
    </row>
    <row r="608" spans="1:6" ht="15.75" customHeight="1" x14ac:dyDescent="0.25">
      <c r="A608" s="18"/>
      <c r="B608" s="18"/>
      <c r="C608" s="18"/>
      <c r="D608" s="18"/>
      <c r="E608" s="18"/>
      <c r="F608" s="18"/>
    </row>
    <row r="609" spans="1:6" ht="15.75" customHeight="1" x14ac:dyDescent="0.25">
      <c r="A609" s="18"/>
      <c r="B609" s="18"/>
      <c r="C609" s="18"/>
      <c r="D609" s="18"/>
      <c r="E609" s="18"/>
      <c r="F609" s="18"/>
    </row>
    <row r="610" spans="1:6" ht="15.75" customHeight="1" x14ac:dyDescent="0.25">
      <c r="A610" s="18"/>
      <c r="B610" s="18"/>
      <c r="C610" s="18"/>
      <c r="D610" s="18"/>
      <c r="E610" s="18"/>
      <c r="F610" s="18"/>
    </row>
    <row r="611" spans="1:6" ht="15.75" customHeight="1" x14ac:dyDescent="0.25">
      <c r="A611" s="18"/>
      <c r="B611" s="18"/>
      <c r="C611" s="18"/>
      <c r="D611" s="18"/>
      <c r="E611" s="18"/>
      <c r="F611" s="18"/>
    </row>
    <row r="612" spans="1:6" ht="15.75" customHeight="1" x14ac:dyDescent="0.25">
      <c r="A612" s="18"/>
      <c r="B612" s="18"/>
      <c r="C612" s="18"/>
      <c r="D612" s="18"/>
      <c r="E612" s="18"/>
      <c r="F612" s="18"/>
    </row>
    <row r="613" spans="1:6" ht="15.75" customHeight="1" x14ac:dyDescent="0.25">
      <c r="A613" s="18"/>
      <c r="B613" s="18"/>
      <c r="C613" s="18"/>
      <c r="D613" s="18"/>
      <c r="E613" s="18"/>
      <c r="F613" s="18"/>
    </row>
    <row r="614" spans="1:6" ht="15.75" customHeight="1" x14ac:dyDescent="0.25">
      <c r="A614" s="18"/>
      <c r="B614" s="18"/>
      <c r="C614" s="18"/>
      <c r="D614" s="18"/>
      <c r="E614" s="18"/>
      <c r="F614" s="18"/>
    </row>
    <row r="615" spans="1:6" ht="15.75" customHeight="1" x14ac:dyDescent="0.25">
      <c r="A615" s="18"/>
      <c r="B615" s="18"/>
      <c r="C615" s="18"/>
      <c r="D615" s="18"/>
      <c r="E615" s="18"/>
      <c r="F615" s="18"/>
    </row>
    <row r="616" spans="1:6" ht="15.75" customHeight="1" x14ac:dyDescent="0.25">
      <c r="A616" s="18"/>
      <c r="B616" s="18"/>
      <c r="C616" s="18"/>
      <c r="D616" s="18"/>
      <c r="E616" s="18"/>
      <c r="F616" s="18"/>
    </row>
    <row r="617" spans="1:6" ht="15.75" customHeight="1" x14ac:dyDescent="0.25">
      <c r="A617" s="18"/>
      <c r="B617" s="18"/>
      <c r="C617" s="18"/>
      <c r="D617" s="18"/>
      <c r="E617" s="18"/>
      <c r="F617" s="18"/>
    </row>
    <row r="618" spans="1:6" ht="15.75" customHeight="1" x14ac:dyDescent="0.25">
      <c r="A618" s="18"/>
      <c r="B618" s="18"/>
      <c r="C618" s="18"/>
      <c r="D618" s="18"/>
      <c r="E618" s="18"/>
      <c r="F618" s="18"/>
    </row>
    <row r="619" spans="1:6" ht="15.75" customHeight="1" x14ac:dyDescent="0.25">
      <c r="A619" s="18"/>
      <c r="B619" s="18"/>
      <c r="C619" s="18"/>
      <c r="D619" s="18"/>
      <c r="E619" s="18"/>
      <c r="F619" s="18"/>
    </row>
    <row r="620" spans="1:6" ht="15.75" customHeight="1" x14ac:dyDescent="0.25">
      <c r="A620" s="18"/>
      <c r="B620" s="18"/>
      <c r="C620" s="18"/>
      <c r="D620" s="18"/>
      <c r="E620" s="18"/>
      <c r="F620" s="18"/>
    </row>
    <row r="621" spans="1:6" ht="15.75" customHeight="1" x14ac:dyDescent="0.25">
      <c r="A621" s="18"/>
      <c r="B621" s="18"/>
      <c r="C621" s="18"/>
      <c r="D621" s="18"/>
      <c r="E621" s="18"/>
      <c r="F621" s="18"/>
    </row>
    <row r="622" spans="1:6" ht="15.75" customHeight="1" x14ac:dyDescent="0.25">
      <c r="A622" s="18"/>
      <c r="B622" s="18"/>
      <c r="C622" s="18"/>
      <c r="D622" s="18"/>
      <c r="E622" s="18"/>
      <c r="F622" s="18"/>
    </row>
    <row r="623" spans="1:6" ht="15.75" customHeight="1" x14ac:dyDescent="0.25">
      <c r="A623" s="18"/>
      <c r="B623" s="18"/>
      <c r="C623" s="18"/>
      <c r="D623" s="18"/>
      <c r="E623" s="18"/>
      <c r="F623" s="18"/>
    </row>
    <row r="624" spans="1:6" ht="15.75" customHeight="1" x14ac:dyDescent="0.25">
      <c r="A624" s="18"/>
      <c r="B624" s="18"/>
      <c r="C624" s="18"/>
      <c r="D624" s="18"/>
      <c r="E624" s="18"/>
      <c r="F624" s="18"/>
    </row>
    <row r="625" spans="1:6" ht="15.75" customHeight="1" x14ac:dyDescent="0.25">
      <c r="A625" s="18"/>
      <c r="B625" s="18"/>
      <c r="C625" s="18"/>
      <c r="D625" s="18"/>
      <c r="E625" s="18"/>
      <c r="F625" s="18"/>
    </row>
    <row r="626" spans="1:6" ht="15.75" customHeight="1" x14ac:dyDescent="0.25">
      <c r="A626" s="18"/>
      <c r="B626" s="18"/>
      <c r="C626" s="18"/>
      <c r="D626" s="18"/>
      <c r="E626" s="18"/>
      <c r="F626" s="18"/>
    </row>
    <row r="627" spans="1:6" ht="15.75" customHeight="1" x14ac:dyDescent="0.25">
      <c r="A627" s="18"/>
      <c r="B627" s="18"/>
      <c r="C627" s="18"/>
      <c r="D627" s="18"/>
      <c r="E627" s="18"/>
      <c r="F627" s="18"/>
    </row>
    <row r="628" spans="1:6" ht="15.75" customHeight="1" x14ac:dyDescent="0.25">
      <c r="A628" s="18"/>
      <c r="B628" s="18"/>
      <c r="C628" s="18"/>
      <c r="D628" s="18"/>
      <c r="E628" s="18"/>
      <c r="F628" s="18"/>
    </row>
    <row r="629" spans="1:6" ht="15.75" customHeight="1" x14ac:dyDescent="0.25">
      <c r="A629" s="18"/>
      <c r="B629" s="18"/>
      <c r="C629" s="18"/>
      <c r="D629" s="18"/>
      <c r="E629" s="18"/>
      <c r="F629" s="18"/>
    </row>
    <row r="630" spans="1:6" ht="15.75" customHeight="1" x14ac:dyDescent="0.25">
      <c r="A630" s="18"/>
      <c r="B630" s="18"/>
      <c r="C630" s="18"/>
      <c r="D630" s="18"/>
      <c r="E630" s="18"/>
      <c r="F630" s="18"/>
    </row>
    <row r="631" spans="1:6" ht="15.75" customHeight="1" x14ac:dyDescent="0.25">
      <c r="A631" s="18"/>
      <c r="B631" s="18"/>
      <c r="C631" s="18"/>
      <c r="D631" s="18"/>
      <c r="E631" s="18"/>
      <c r="F631" s="18"/>
    </row>
    <row r="632" spans="1:6" ht="15.75" customHeight="1" x14ac:dyDescent="0.25">
      <c r="A632" s="18"/>
      <c r="B632" s="18"/>
      <c r="C632" s="18"/>
      <c r="D632" s="18"/>
      <c r="E632" s="18"/>
      <c r="F632" s="18"/>
    </row>
    <row r="633" spans="1:6" ht="15.75" customHeight="1" x14ac:dyDescent="0.25">
      <c r="A633" s="18"/>
      <c r="B633" s="18"/>
      <c r="C633" s="18"/>
      <c r="D633" s="18"/>
      <c r="E633" s="18"/>
      <c r="F633" s="18"/>
    </row>
    <row r="634" spans="1:6" ht="15.75" customHeight="1" x14ac:dyDescent="0.25">
      <c r="A634" s="18"/>
      <c r="B634" s="18"/>
      <c r="C634" s="18"/>
      <c r="D634" s="18"/>
      <c r="E634" s="18"/>
      <c r="F634" s="18"/>
    </row>
    <row r="635" spans="1:6" ht="15.75" customHeight="1" x14ac:dyDescent="0.25">
      <c r="A635" s="18"/>
      <c r="B635" s="18"/>
      <c r="C635" s="18"/>
      <c r="D635" s="18"/>
      <c r="E635" s="18"/>
      <c r="F635" s="18"/>
    </row>
    <row r="636" spans="1:6" ht="15.75" customHeight="1" x14ac:dyDescent="0.25">
      <c r="A636" s="18"/>
      <c r="B636" s="18"/>
      <c r="C636" s="18"/>
      <c r="D636" s="18"/>
      <c r="E636" s="18"/>
      <c r="F636" s="18"/>
    </row>
    <row r="637" spans="1:6" ht="15.75" customHeight="1" x14ac:dyDescent="0.25">
      <c r="A637" s="18"/>
      <c r="B637" s="18"/>
      <c r="C637" s="18"/>
      <c r="D637" s="18"/>
      <c r="E637" s="18"/>
      <c r="F637" s="18"/>
    </row>
    <row r="638" spans="1:6" ht="15.75" customHeight="1" x14ac:dyDescent="0.25">
      <c r="A638" s="18"/>
      <c r="B638" s="18"/>
      <c r="C638" s="18"/>
      <c r="D638" s="18"/>
      <c r="E638" s="18"/>
      <c r="F638" s="18"/>
    </row>
    <row r="639" spans="1:6" ht="15.75" customHeight="1" x14ac:dyDescent="0.25">
      <c r="A639" s="18"/>
      <c r="B639" s="18"/>
      <c r="C639" s="18"/>
      <c r="D639" s="18"/>
      <c r="E639" s="18"/>
      <c r="F639" s="18"/>
    </row>
    <row r="640" spans="1:6" ht="15.75" customHeight="1" x14ac:dyDescent="0.25">
      <c r="A640" s="18"/>
      <c r="B640" s="18"/>
      <c r="C640" s="18"/>
      <c r="D640" s="18"/>
      <c r="E640" s="18"/>
      <c r="F640" s="18"/>
    </row>
    <row r="641" spans="1:6" ht="15.75" customHeight="1" x14ac:dyDescent="0.25">
      <c r="A641" s="18"/>
      <c r="B641" s="18"/>
      <c r="C641" s="18"/>
      <c r="D641" s="18"/>
      <c r="E641" s="18"/>
      <c r="F641" s="18"/>
    </row>
    <row r="642" spans="1:6" ht="15.75" customHeight="1" x14ac:dyDescent="0.25">
      <c r="A642" s="18"/>
      <c r="B642" s="18"/>
      <c r="C642" s="18"/>
      <c r="D642" s="18"/>
      <c r="E642" s="18"/>
      <c r="F642" s="18"/>
    </row>
    <row r="643" spans="1:6" ht="15.75" customHeight="1" x14ac:dyDescent="0.25">
      <c r="A643" s="18"/>
      <c r="B643" s="18"/>
      <c r="C643" s="18"/>
      <c r="D643" s="18"/>
      <c r="E643" s="18"/>
      <c r="F643" s="18"/>
    </row>
    <row r="644" spans="1:6" ht="15.75" customHeight="1" x14ac:dyDescent="0.25">
      <c r="A644" s="18"/>
      <c r="B644" s="18"/>
      <c r="C644" s="18"/>
      <c r="D644" s="18"/>
      <c r="E644" s="18"/>
      <c r="F644" s="18"/>
    </row>
    <row r="645" spans="1:6" ht="15.75" customHeight="1" x14ac:dyDescent="0.25">
      <c r="A645" s="18"/>
      <c r="B645" s="18"/>
      <c r="C645" s="18"/>
      <c r="D645" s="18"/>
      <c r="E645" s="18"/>
      <c r="F645" s="18"/>
    </row>
    <row r="646" spans="1:6" ht="15.75" customHeight="1" x14ac:dyDescent="0.25">
      <c r="A646" s="18"/>
      <c r="B646" s="18"/>
      <c r="C646" s="18"/>
      <c r="D646" s="18"/>
      <c r="E646" s="18"/>
      <c r="F646" s="18"/>
    </row>
    <row r="647" spans="1:6" ht="15.75" customHeight="1" x14ac:dyDescent="0.25">
      <c r="A647" s="18"/>
      <c r="B647" s="18"/>
      <c r="C647" s="18"/>
      <c r="D647" s="18"/>
      <c r="E647" s="18"/>
      <c r="F647" s="18"/>
    </row>
    <row r="648" spans="1:6" ht="15.75" customHeight="1" x14ac:dyDescent="0.25">
      <c r="A648" s="18"/>
      <c r="B648" s="18"/>
      <c r="C648" s="18"/>
      <c r="D648" s="18"/>
      <c r="E648" s="18"/>
      <c r="F648" s="18"/>
    </row>
    <row r="649" spans="1:6" ht="15.75" customHeight="1" x14ac:dyDescent="0.25">
      <c r="A649" s="18"/>
      <c r="B649" s="18"/>
      <c r="C649" s="18"/>
      <c r="D649" s="18"/>
      <c r="E649" s="18"/>
      <c r="F649" s="18"/>
    </row>
    <row r="650" spans="1:6" ht="15.75" customHeight="1" x14ac:dyDescent="0.25">
      <c r="A650" s="18"/>
      <c r="B650" s="18"/>
      <c r="C650" s="18"/>
      <c r="D650" s="18"/>
      <c r="E650" s="18"/>
      <c r="F650" s="18"/>
    </row>
    <row r="651" spans="1:6" ht="15.75" customHeight="1" x14ac:dyDescent="0.25">
      <c r="A651" s="18"/>
      <c r="B651" s="18"/>
      <c r="C651" s="18"/>
      <c r="D651" s="18"/>
      <c r="E651" s="18"/>
      <c r="F651" s="18"/>
    </row>
    <row r="652" spans="1:6" ht="15.75" customHeight="1" x14ac:dyDescent="0.25">
      <c r="A652" s="18"/>
      <c r="B652" s="18"/>
      <c r="C652" s="18"/>
      <c r="D652" s="18"/>
      <c r="E652" s="18"/>
      <c r="F652" s="18"/>
    </row>
    <row r="653" spans="1:6" ht="15.75" customHeight="1" x14ac:dyDescent="0.25">
      <c r="A653" s="18"/>
      <c r="B653" s="18"/>
      <c r="C653" s="18"/>
      <c r="D653" s="18"/>
      <c r="E653" s="18"/>
      <c r="F653" s="18"/>
    </row>
    <row r="654" spans="1:6" ht="15.75" customHeight="1" x14ac:dyDescent="0.25">
      <c r="A654" s="18"/>
      <c r="B654" s="18"/>
      <c r="C654" s="18"/>
      <c r="D654" s="18"/>
      <c r="E654" s="18"/>
      <c r="F654" s="18"/>
    </row>
    <row r="655" spans="1:6" ht="15.75" customHeight="1" x14ac:dyDescent="0.25">
      <c r="A655" s="18"/>
      <c r="B655" s="18"/>
      <c r="C655" s="18"/>
      <c r="D655" s="18"/>
      <c r="E655" s="18"/>
      <c r="F655" s="18"/>
    </row>
    <row r="656" spans="1:6" ht="15.75" customHeight="1" x14ac:dyDescent="0.25">
      <c r="A656" s="18"/>
      <c r="B656" s="18"/>
      <c r="C656" s="18"/>
      <c r="D656" s="18"/>
      <c r="E656" s="18"/>
      <c r="F656" s="18"/>
    </row>
    <row r="657" spans="1:6" ht="15.75" customHeight="1" x14ac:dyDescent="0.25">
      <c r="A657" s="18"/>
      <c r="B657" s="18"/>
      <c r="C657" s="18"/>
      <c r="D657" s="18"/>
      <c r="E657" s="18"/>
      <c r="F657" s="18"/>
    </row>
    <row r="658" spans="1:6" ht="15.75" customHeight="1" x14ac:dyDescent="0.25">
      <c r="A658" s="18"/>
      <c r="B658" s="18"/>
      <c r="C658" s="18"/>
      <c r="D658" s="18"/>
      <c r="E658" s="18"/>
      <c r="F658" s="18"/>
    </row>
    <row r="659" spans="1:6" ht="15.75" customHeight="1" x14ac:dyDescent="0.25">
      <c r="A659" s="18"/>
      <c r="B659" s="18"/>
      <c r="C659" s="18"/>
      <c r="D659" s="18"/>
      <c r="E659" s="18"/>
      <c r="F659" s="18"/>
    </row>
    <row r="660" spans="1:6" ht="15.75" customHeight="1" x14ac:dyDescent="0.25">
      <c r="A660" s="18"/>
      <c r="B660" s="18"/>
      <c r="C660" s="18"/>
      <c r="D660" s="18"/>
      <c r="E660" s="18"/>
      <c r="F660" s="18"/>
    </row>
    <row r="661" spans="1:6" ht="15.75" customHeight="1" x14ac:dyDescent="0.25">
      <c r="A661" s="18"/>
      <c r="B661" s="18"/>
      <c r="C661" s="18"/>
      <c r="D661" s="18"/>
      <c r="E661" s="18"/>
      <c r="F661" s="18"/>
    </row>
    <row r="662" spans="1:6" ht="15.75" customHeight="1" x14ac:dyDescent="0.25">
      <c r="A662" s="18"/>
      <c r="B662" s="18"/>
      <c r="C662" s="18"/>
      <c r="D662" s="18"/>
      <c r="E662" s="18"/>
      <c r="F662" s="18"/>
    </row>
    <row r="663" spans="1:6" ht="15.75" customHeight="1" x14ac:dyDescent="0.25">
      <c r="A663" s="18"/>
      <c r="B663" s="18"/>
      <c r="C663" s="18"/>
      <c r="D663" s="18"/>
      <c r="E663" s="18"/>
      <c r="F663" s="18"/>
    </row>
    <row r="664" spans="1:6" ht="15.75" customHeight="1" x14ac:dyDescent="0.25">
      <c r="A664" s="18"/>
      <c r="B664" s="18"/>
      <c r="C664" s="18"/>
      <c r="D664" s="18"/>
      <c r="E664" s="18"/>
      <c r="F664" s="18"/>
    </row>
    <row r="665" spans="1:6" ht="15.75" customHeight="1" x14ac:dyDescent="0.25">
      <c r="A665" s="18"/>
      <c r="B665" s="18"/>
      <c r="C665" s="18"/>
      <c r="D665" s="18"/>
      <c r="E665" s="18"/>
      <c r="F665" s="18"/>
    </row>
    <row r="666" spans="1:6" ht="15.75" customHeight="1" x14ac:dyDescent="0.25">
      <c r="A666" s="18"/>
      <c r="B666" s="18"/>
      <c r="C666" s="18"/>
      <c r="D666" s="18"/>
      <c r="E666" s="18"/>
      <c r="F666" s="18"/>
    </row>
    <row r="667" spans="1:6" ht="15.75" customHeight="1" x14ac:dyDescent="0.25">
      <c r="A667" s="18"/>
      <c r="B667" s="18"/>
      <c r="C667" s="18"/>
      <c r="D667" s="18"/>
      <c r="E667" s="18"/>
      <c r="F667" s="18"/>
    </row>
    <row r="668" spans="1:6" ht="15.75" customHeight="1" x14ac:dyDescent="0.25">
      <c r="A668" s="18"/>
      <c r="B668" s="18"/>
      <c r="C668" s="18"/>
      <c r="D668" s="18"/>
      <c r="E668" s="18"/>
      <c r="F668" s="18"/>
    </row>
    <row r="669" spans="1:6" ht="15.75" customHeight="1" x14ac:dyDescent="0.25">
      <c r="A669" s="18"/>
      <c r="B669" s="18"/>
      <c r="C669" s="18"/>
      <c r="D669" s="18"/>
      <c r="E669" s="18"/>
      <c r="F669" s="18"/>
    </row>
    <row r="670" spans="1:6" ht="15.75" customHeight="1" x14ac:dyDescent="0.25">
      <c r="A670" s="18"/>
      <c r="B670" s="18"/>
      <c r="C670" s="18"/>
      <c r="D670" s="18"/>
      <c r="E670" s="18"/>
      <c r="F670" s="18"/>
    </row>
    <row r="671" spans="1:6" ht="15.75" customHeight="1" x14ac:dyDescent="0.25">
      <c r="A671" s="18"/>
      <c r="B671" s="18"/>
      <c r="C671" s="18"/>
      <c r="D671" s="18"/>
      <c r="E671" s="18"/>
      <c r="F671" s="18"/>
    </row>
    <row r="672" spans="1:6" ht="15.75" customHeight="1" x14ac:dyDescent="0.25">
      <c r="A672" s="18"/>
      <c r="B672" s="18"/>
      <c r="C672" s="18"/>
      <c r="D672" s="18"/>
      <c r="E672" s="18"/>
      <c r="F672" s="18"/>
    </row>
    <row r="673" spans="1:6" ht="15.75" customHeight="1" x14ac:dyDescent="0.25">
      <c r="A673" s="18"/>
      <c r="B673" s="18"/>
      <c r="C673" s="18"/>
      <c r="D673" s="18"/>
      <c r="E673" s="18"/>
      <c r="F673" s="18"/>
    </row>
    <row r="674" spans="1:6" ht="15.75" customHeight="1" x14ac:dyDescent="0.25">
      <c r="A674" s="18"/>
      <c r="B674" s="18"/>
      <c r="C674" s="18"/>
      <c r="D674" s="18"/>
      <c r="E674" s="18"/>
      <c r="F674" s="18"/>
    </row>
    <row r="675" spans="1:6" ht="15.75" customHeight="1" x14ac:dyDescent="0.25">
      <c r="A675" s="18"/>
      <c r="B675" s="18"/>
      <c r="C675" s="18"/>
      <c r="D675" s="18"/>
      <c r="E675" s="18"/>
      <c r="F675" s="18"/>
    </row>
    <row r="676" spans="1:6" ht="15.75" customHeight="1" x14ac:dyDescent="0.25">
      <c r="A676" s="18"/>
      <c r="B676" s="18"/>
      <c r="C676" s="18"/>
      <c r="D676" s="18"/>
      <c r="E676" s="18"/>
      <c r="F676" s="18"/>
    </row>
    <row r="677" spans="1:6" ht="15.75" customHeight="1" x14ac:dyDescent="0.25">
      <c r="A677" s="18"/>
      <c r="B677" s="18"/>
      <c r="C677" s="18"/>
      <c r="D677" s="18"/>
      <c r="E677" s="18"/>
      <c r="F677" s="18"/>
    </row>
    <row r="678" spans="1:6" ht="15.75" customHeight="1" x14ac:dyDescent="0.25">
      <c r="A678" s="18"/>
      <c r="B678" s="18"/>
      <c r="C678" s="18"/>
      <c r="D678" s="18"/>
      <c r="E678" s="18"/>
      <c r="F678" s="18"/>
    </row>
    <row r="679" spans="1:6" ht="15.75" customHeight="1" x14ac:dyDescent="0.25">
      <c r="A679" s="18"/>
      <c r="B679" s="18"/>
      <c r="C679" s="18"/>
      <c r="D679" s="18"/>
      <c r="E679" s="18"/>
      <c r="F679" s="18"/>
    </row>
    <row r="680" spans="1:6" ht="15.75" customHeight="1" x14ac:dyDescent="0.25">
      <c r="A680" s="18"/>
      <c r="B680" s="18"/>
      <c r="C680" s="18"/>
      <c r="D680" s="18"/>
      <c r="E680" s="18"/>
      <c r="F680" s="18"/>
    </row>
    <row r="681" spans="1:6" ht="15.75" customHeight="1" x14ac:dyDescent="0.25">
      <c r="A681" s="18"/>
      <c r="B681" s="18"/>
      <c r="C681" s="18"/>
      <c r="D681" s="18"/>
      <c r="E681" s="18"/>
      <c r="F681" s="18"/>
    </row>
    <row r="682" spans="1:6" ht="15.75" customHeight="1" x14ac:dyDescent="0.25">
      <c r="A682" s="18"/>
      <c r="B682" s="18"/>
      <c r="C682" s="18"/>
      <c r="D682" s="18"/>
      <c r="E682" s="18"/>
      <c r="F682" s="18"/>
    </row>
    <row r="683" spans="1:6" ht="15.75" customHeight="1" x14ac:dyDescent="0.25">
      <c r="A683" s="18"/>
      <c r="B683" s="18"/>
      <c r="C683" s="18"/>
      <c r="D683" s="18"/>
      <c r="E683" s="18"/>
      <c r="F683" s="18"/>
    </row>
    <row r="684" spans="1:6" ht="15.75" customHeight="1" x14ac:dyDescent="0.25">
      <c r="A684" s="18"/>
      <c r="B684" s="18"/>
      <c r="C684" s="18"/>
      <c r="D684" s="18"/>
      <c r="E684" s="18"/>
      <c r="F684" s="18"/>
    </row>
    <row r="685" spans="1:6" ht="15.75" customHeight="1" x14ac:dyDescent="0.25">
      <c r="A685" s="18"/>
      <c r="B685" s="18"/>
      <c r="C685" s="18"/>
      <c r="D685" s="18"/>
      <c r="E685" s="18"/>
      <c r="F685" s="18"/>
    </row>
    <row r="686" spans="1:6" ht="15.75" customHeight="1" x14ac:dyDescent="0.25">
      <c r="A686" s="18"/>
      <c r="B686" s="18"/>
      <c r="C686" s="18"/>
      <c r="D686" s="18"/>
      <c r="E686" s="18"/>
      <c r="F686" s="18"/>
    </row>
    <row r="687" spans="1:6" ht="15.75" customHeight="1" x14ac:dyDescent="0.25">
      <c r="A687" s="18"/>
      <c r="B687" s="18"/>
      <c r="C687" s="18"/>
      <c r="D687" s="18"/>
      <c r="E687" s="18"/>
      <c r="F687" s="18"/>
    </row>
    <row r="688" spans="1:6" ht="15.75" customHeight="1" x14ac:dyDescent="0.25">
      <c r="A688" s="18"/>
      <c r="B688" s="18"/>
      <c r="C688" s="18"/>
      <c r="D688" s="18"/>
      <c r="E688" s="18"/>
      <c r="F688" s="18"/>
    </row>
    <row r="689" spans="1:6" ht="15.75" customHeight="1" x14ac:dyDescent="0.25">
      <c r="A689" s="18"/>
      <c r="B689" s="18"/>
      <c r="C689" s="18"/>
      <c r="D689" s="18"/>
      <c r="E689" s="18"/>
      <c r="F689" s="18"/>
    </row>
    <row r="690" spans="1:6" ht="15.75" customHeight="1" x14ac:dyDescent="0.25">
      <c r="A690" s="18"/>
      <c r="B690" s="18"/>
      <c r="C690" s="18"/>
      <c r="D690" s="18"/>
      <c r="E690" s="18"/>
      <c r="F690" s="18"/>
    </row>
    <row r="691" spans="1:6" ht="15.75" customHeight="1" x14ac:dyDescent="0.25">
      <c r="A691" s="18"/>
      <c r="B691" s="18"/>
      <c r="C691" s="18"/>
      <c r="D691" s="18"/>
      <c r="E691" s="18"/>
      <c r="F691" s="18"/>
    </row>
    <row r="692" spans="1:6" ht="15.75" customHeight="1" x14ac:dyDescent="0.25">
      <c r="A692" s="18"/>
      <c r="B692" s="18"/>
      <c r="C692" s="18"/>
      <c r="D692" s="18"/>
      <c r="E692" s="18"/>
      <c r="F692" s="18"/>
    </row>
    <row r="693" spans="1:6" ht="15.75" customHeight="1" x14ac:dyDescent="0.25">
      <c r="A693" s="18"/>
      <c r="B693" s="18"/>
      <c r="C693" s="18"/>
      <c r="D693" s="18"/>
      <c r="E693" s="18"/>
      <c r="F693" s="18"/>
    </row>
    <row r="694" spans="1:6" ht="15.75" customHeight="1" x14ac:dyDescent="0.25">
      <c r="A694" s="18"/>
      <c r="B694" s="18"/>
      <c r="C694" s="18"/>
      <c r="D694" s="18"/>
      <c r="E694" s="18"/>
      <c r="F694" s="18"/>
    </row>
    <row r="695" spans="1:6" ht="15.75" customHeight="1" x14ac:dyDescent="0.25">
      <c r="A695" s="18"/>
      <c r="B695" s="18"/>
      <c r="C695" s="18"/>
      <c r="D695" s="18"/>
      <c r="E695" s="18"/>
      <c r="F695" s="18"/>
    </row>
    <row r="696" spans="1:6" ht="15.75" customHeight="1" x14ac:dyDescent="0.25">
      <c r="A696" s="18"/>
      <c r="B696" s="18"/>
      <c r="C696" s="18"/>
      <c r="D696" s="18"/>
      <c r="E696" s="18"/>
      <c r="F696" s="18"/>
    </row>
    <row r="697" spans="1:6" ht="15.75" customHeight="1" x14ac:dyDescent="0.25">
      <c r="A697" s="18"/>
      <c r="B697" s="18"/>
      <c r="C697" s="18"/>
      <c r="D697" s="18"/>
      <c r="E697" s="18"/>
      <c r="F697" s="18"/>
    </row>
    <row r="698" spans="1:6" ht="15.75" customHeight="1" x14ac:dyDescent="0.25">
      <c r="A698" s="18"/>
      <c r="B698" s="18"/>
      <c r="C698" s="18"/>
      <c r="D698" s="18"/>
      <c r="E698" s="18"/>
      <c r="F698" s="18"/>
    </row>
    <row r="699" spans="1:6" ht="15.75" customHeight="1" x14ac:dyDescent="0.25">
      <c r="A699" s="18"/>
      <c r="B699" s="18"/>
      <c r="C699" s="18"/>
      <c r="D699" s="18"/>
      <c r="E699" s="18"/>
      <c r="F699" s="18"/>
    </row>
    <row r="700" spans="1:6" ht="15.75" customHeight="1" x14ac:dyDescent="0.25">
      <c r="A700" s="18"/>
      <c r="B700" s="18"/>
      <c r="C700" s="18"/>
      <c r="D700" s="18"/>
      <c r="E700" s="18"/>
      <c r="F700" s="18"/>
    </row>
    <row r="701" spans="1:6" ht="15.75" customHeight="1" x14ac:dyDescent="0.25">
      <c r="A701" s="18"/>
      <c r="B701" s="18"/>
      <c r="C701" s="18"/>
      <c r="D701" s="18"/>
      <c r="E701" s="18"/>
      <c r="F701" s="18"/>
    </row>
    <row r="702" spans="1:6" ht="15.75" customHeight="1" x14ac:dyDescent="0.25">
      <c r="A702" s="18"/>
      <c r="B702" s="18"/>
      <c r="C702" s="18"/>
      <c r="D702" s="18"/>
      <c r="E702" s="18"/>
      <c r="F702" s="18"/>
    </row>
    <row r="703" spans="1:6" ht="15.75" customHeight="1" x14ac:dyDescent="0.25">
      <c r="A703" s="18"/>
      <c r="B703" s="18"/>
      <c r="C703" s="18"/>
      <c r="D703" s="18"/>
      <c r="E703" s="18"/>
      <c r="F703" s="18"/>
    </row>
    <row r="704" spans="1:6" ht="15.75" customHeight="1" x14ac:dyDescent="0.25">
      <c r="A704" s="18"/>
      <c r="B704" s="18"/>
      <c r="C704" s="18"/>
      <c r="D704" s="18"/>
      <c r="E704" s="18"/>
      <c r="F704" s="18"/>
    </row>
    <row r="705" spans="1:6" ht="15.75" customHeight="1" x14ac:dyDescent="0.25">
      <c r="A705" s="18"/>
      <c r="B705" s="18"/>
      <c r="C705" s="18"/>
      <c r="D705" s="18"/>
      <c r="E705" s="18"/>
      <c r="F705" s="18"/>
    </row>
    <row r="706" spans="1:6" ht="15.75" customHeight="1" x14ac:dyDescent="0.25">
      <c r="A706" s="18"/>
      <c r="B706" s="18"/>
      <c r="C706" s="18"/>
      <c r="D706" s="18"/>
      <c r="E706" s="18"/>
      <c r="F706" s="18"/>
    </row>
    <row r="707" spans="1:6" ht="15.75" customHeight="1" x14ac:dyDescent="0.25">
      <c r="A707" s="18"/>
      <c r="B707" s="18"/>
      <c r="C707" s="18"/>
      <c r="D707" s="18"/>
      <c r="E707" s="18"/>
      <c r="F707" s="18"/>
    </row>
    <row r="708" spans="1:6" ht="15.75" customHeight="1" x14ac:dyDescent="0.25">
      <c r="A708" s="18"/>
      <c r="B708" s="18"/>
      <c r="C708" s="18"/>
      <c r="D708" s="18"/>
      <c r="E708" s="18"/>
      <c r="F708" s="18"/>
    </row>
    <row r="709" spans="1:6" ht="15.75" customHeight="1" x14ac:dyDescent="0.25">
      <c r="A709" s="18"/>
      <c r="B709" s="18"/>
      <c r="C709" s="18"/>
      <c r="D709" s="18"/>
      <c r="E709" s="18"/>
      <c r="F709" s="18"/>
    </row>
    <row r="710" spans="1:6" ht="15.75" customHeight="1" x14ac:dyDescent="0.25">
      <c r="A710" s="18"/>
      <c r="B710" s="18"/>
      <c r="C710" s="18"/>
      <c r="D710" s="18"/>
      <c r="E710" s="18"/>
      <c r="F710" s="18"/>
    </row>
    <row r="711" spans="1:6" ht="15.75" customHeight="1" x14ac:dyDescent="0.25">
      <c r="A711" s="18"/>
      <c r="B711" s="18"/>
      <c r="C711" s="18"/>
      <c r="D711" s="18"/>
      <c r="E711" s="18"/>
      <c r="F711" s="18"/>
    </row>
    <row r="712" spans="1:6" ht="15.75" customHeight="1" x14ac:dyDescent="0.25">
      <c r="A712" s="18"/>
      <c r="B712" s="18"/>
      <c r="C712" s="18"/>
      <c r="D712" s="18"/>
      <c r="E712" s="18"/>
      <c r="F712" s="18"/>
    </row>
    <row r="713" spans="1:6" ht="15.75" customHeight="1" x14ac:dyDescent="0.25">
      <c r="A713" s="18"/>
      <c r="B713" s="18"/>
      <c r="C713" s="18"/>
      <c r="D713" s="18"/>
      <c r="E713" s="18"/>
      <c r="F713" s="18"/>
    </row>
    <row r="714" spans="1:6" ht="15.75" customHeight="1" x14ac:dyDescent="0.25">
      <c r="A714" s="18"/>
      <c r="B714" s="18"/>
      <c r="C714" s="18"/>
      <c r="D714" s="18"/>
      <c r="E714" s="18"/>
      <c r="F714" s="18"/>
    </row>
    <row r="715" spans="1:6" ht="15.75" customHeight="1" x14ac:dyDescent="0.25">
      <c r="A715" s="18"/>
      <c r="B715" s="18"/>
      <c r="C715" s="18"/>
      <c r="D715" s="18"/>
      <c r="E715" s="18"/>
      <c r="F715" s="18"/>
    </row>
    <row r="716" spans="1:6" ht="15.75" customHeight="1" x14ac:dyDescent="0.25">
      <c r="A716" s="18"/>
      <c r="B716" s="18"/>
      <c r="C716" s="18"/>
      <c r="D716" s="18"/>
      <c r="E716" s="18"/>
      <c r="F716" s="18"/>
    </row>
    <row r="717" spans="1:6" ht="15.75" customHeight="1" x14ac:dyDescent="0.25">
      <c r="A717" s="18"/>
      <c r="B717" s="18"/>
      <c r="C717" s="18"/>
      <c r="D717" s="18"/>
      <c r="E717" s="18"/>
      <c r="F717" s="18"/>
    </row>
    <row r="718" spans="1:6" ht="15.75" customHeight="1" x14ac:dyDescent="0.25">
      <c r="A718" s="18"/>
      <c r="B718" s="18"/>
      <c r="C718" s="18"/>
      <c r="D718" s="18"/>
      <c r="E718" s="18"/>
      <c r="F718" s="18"/>
    </row>
    <row r="719" spans="1:6" ht="15.75" customHeight="1" x14ac:dyDescent="0.25">
      <c r="A719" s="18"/>
      <c r="B719" s="18"/>
      <c r="C719" s="18"/>
      <c r="D719" s="18"/>
      <c r="E719" s="18"/>
      <c r="F719" s="18"/>
    </row>
    <row r="720" spans="1:6" ht="15.75" customHeight="1" x14ac:dyDescent="0.25">
      <c r="A720" s="18"/>
      <c r="B720" s="18"/>
      <c r="C720" s="18"/>
      <c r="D720" s="18"/>
      <c r="E720" s="18"/>
      <c r="F720" s="18"/>
    </row>
    <row r="721" spans="1:6" ht="15.75" customHeight="1" x14ac:dyDescent="0.25">
      <c r="A721" s="18"/>
      <c r="B721" s="18"/>
      <c r="C721" s="18"/>
      <c r="D721" s="18"/>
      <c r="E721" s="18"/>
      <c r="F721" s="18"/>
    </row>
    <row r="722" spans="1:6" ht="15.75" customHeight="1" x14ac:dyDescent="0.25">
      <c r="A722" s="18"/>
      <c r="B722" s="18"/>
      <c r="C722" s="18"/>
      <c r="D722" s="18"/>
      <c r="E722" s="18"/>
      <c r="F722" s="18"/>
    </row>
    <row r="723" spans="1:6" ht="15.75" customHeight="1" x14ac:dyDescent="0.25">
      <c r="A723" s="18"/>
      <c r="B723" s="18"/>
      <c r="C723" s="18"/>
      <c r="D723" s="18"/>
      <c r="E723" s="18"/>
      <c r="F723" s="18"/>
    </row>
    <row r="724" spans="1:6" ht="15.75" customHeight="1" x14ac:dyDescent="0.25">
      <c r="A724" s="18"/>
      <c r="B724" s="18"/>
      <c r="C724" s="18"/>
      <c r="D724" s="18"/>
      <c r="E724" s="18"/>
      <c r="F724" s="18"/>
    </row>
    <row r="725" spans="1:6" ht="15.75" customHeight="1" x14ac:dyDescent="0.25">
      <c r="A725" s="18"/>
      <c r="B725" s="18"/>
      <c r="C725" s="18"/>
      <c r="D725" s="18"/>
      <c r="E725" s="18"/>
      <c r="F725" s="18"/>
    </row>
    <row r="726" spans="1:6" ht="15.75" customHeight="1" x14ac:dyDescent="0.25">
      <c r="A726" s="18"/>
      <c r="B726" s="18"/>
      <c r="C726" s="18"/>
      <c r="D726" s="18"/>
      <c r="E726" s="18"/>
      <c r="F726" s="18"/>
    </row>
    <row r="727" spans="1:6" ht="15.75" customHeight="1" x14ac:dyDescent="0.25">
      <c r="A727" s="18"/>
      <c r="B727" s="18"/>
      <c r="C727" s="18"/>
      <c r="D727" s="18"/>
      <c r="E727" s="18"/>
      <c r="F727" s="18"/>
    </row>
    <row r="728" spans="1:6" ht="15.75" customHeight="1" x14ac:dyDescent="0.25">
      <c r="A728" s="18"/>
      <c r="B728" s="18"/>
      <c r="C728" s="18"/>
      <c r="D728" s="18"/>
      <c r="E728" s="18"/>
      <c r="F728" s="18"/>
    </row>
    <row r="729" spans="1:6" ht="15.75" customHeight="1" x14ac:dyDescent="0.25">
      <c r="A729" s="18"/>
      <c r="B729" s="18"/>
      <c r="C729" s="18"/>
      <c r="D729" s="18"/>
      <c r="E729" s="18"/>
      <c r="F729" s="18"/>
    </row>
    <row r="730" spans="1:6" ht="15.75" customHeight="1" x14ac:dyDescent="0.25">
      <c r="A730" s="18"/>
      <c r="B730" s="18"/>
      <c r="C730" s="18"/>
      <c r="D730" s="18"/>
      <c r="E730" s="18"/>
      <c r="F730" s="18"/>
    </row>
    <row r="731" spans="1:6" ht="15.75" customHeight="1" x14ac:dyDescent="0.25">
      <c r="A731" s="18"/>
      <c r="B731" s="18"/>
      <c r="C731" s="18"/>
      <c r="D731" s="18"/>
      <c r="E731" s="18"/>
      <c r="F731" s="18"/>
    </row>
    <row r="732" spans="1:6" ht="15.75" customHeight="1" x14ac:dyDescent="0.25">
      <c r="A732" s="18"/>
      <c r="B732" s="18"/>
      <c r="C732" s="18"/>
      <c r="D732" s="18"/>
      <c r="E732" s="18"/>
      <c r="F732" s="18"/>
    </row>
    <row r="733" spans="1:6" ht="15.75" customHeight="1" x14ac:dyDescent="0.25">
      <c r="A733" s="18"/>
      <c r="B733" s="18"/>
      <c r="C733" s="18"/>
      <c r="D733" s="18"/>
      <c r="E733" s="18"/>
      <c r="F733" s="18"/>
    </row>
    <row r="734" spans="1:6" ht="15.75" customHeight="1" x14ac:dyDescent="0.25">
      <c r="A734" s="18"/>
      <c r="B734" s="18"/>
      <c r="C734" s="18"/>
      <c r="D734" s="18"/>
      <c r="E734" s="18"/>
      <c r="F734" s="18"/>
    </row>
    <row r="735" spans="1:6" ht="15.75" customHeight="1" x14ac:dyDescent="0.25">
      <c r="A735" s="18"/>
      <c r="B735" s="18"/>
      <c r="C735" s="18"/>
      <c r="D735" s="18"/>
      <c r="E735" s="18"/>
      <c r="F735" s="18"/>
    </row>
    <row r="736" spans="1:6" ht="15.75" customHeight="1" x14ac:dyDescent="0.25">
      <c r="A736" s="18"/>
      <c r="B736" s="18"/>
      <c r="C736" s="18"/>
      <c r="D736" s="18"/>
      <c r="E736" s="18"/>
      <c r="F736" s="18"/>
    </row>
    <row r="737" spans="1:6" ht="15.75" customHeight="1" x14ac:dyDescent="0.25">
      <c r="A737" s="18"/>
      <c r="B737" s="18"/>
      <c r="C737" s="18"/>
      <c r="D737" s="18"/>
      <c r="E737" s="18"/>
      <c r="F737" s="18"/>
    </row>
    <row r="738" spans="1:6" ht="15.75" customHeight="1" x14ac:dyDescent="0.25">
      <c r="A738" s="18"/>
      <c r="B738" s="18"/>
      <c r="C738" s="18"/>
      <c r="D738" s="18"/>
      <c r="E738" s="18"/>
      <c r="F738" s="18"/>
    </row>
    <row r="739" spans="1:6" ht="15.75" customHeight="1" x14ac:dyDescent="0.25">
      <c r="A739" s="18"/>
      <c r="B739" s="18"/>
      <c r="C739" s="18"/>
      <c r="D739" s="18"/>
      <c r="E739" s="18"/>
      <c r="F739" s="18"/>
    </row>
    <row r="740" spans="1:6" ht="15.75" customHeight="1" x14ac:dyDescent="0.25">
      <c r="A740" s="18"/>
      <c r="B740" s="18"/>
      <c r="C740" s="18"/>
      <c r="D740" s="18"/>
      <c r="E740" s="18"/>
      <c r="F740" s="18"/>
    </row>
    <row r="741" spans="1:6" ht="15.75" customHeight="1" x14ac:dyDescent="0.25">
      <c r="A741" s="18"/>
      <c r="B741" s="18"/>
      <c r="C741" s="18"/>
      <c r="D741" s="18"/>
      <c r="E741" s="18"/>
      <c r="F741" s="18"/>
    </row>
    <row r="742" spans="1:6" ht="15.75" customHeight="1" x14ac:dyDescent="0.25">
      <c r="A742" s="18"/>
      <c r="B742" s="18"/>
      <c r="C742" s="18"/>
      <c r="D742" s="18"/>
      <c r="E742" s="18"/>
      <c r="F742" s="18"/>
    </row>
    <row r="743" spans="1:6" ht="15.75" customHeight="1" x14ac:dyDescent="0.25">
      <c r="A743" s="18"/>
      <c r="B743" s="18"/>
      <c r="C743" s="18"/>
      <c r="D743" s="18"/>
      <c r="E743" s="18"/>
      <c r="F743" s="18"/>
    </row>
    <row r="744" spans="1:6" ht="15.75" customHeight="1" x14ac:dyDescent="0.25">
      <c r="A744" s="18"/>
      <c r="B744" s="18"/>
      <c r="C744" s="18"/>
      <c r="D744" s="18"/>
      <c r="E744" s="18"/>
      <c r="F744" s="18"/>
    </row>
    <row r="745" spans="1:6" ht="15.75" customHeight="1" x14ac:dyDescent="0.25">
      <c r="A745" s="18"/>
      <c r="B745" s="18"/>
      <c r="C745" s="18"/>
      <c r="D745" s="18"/>
      <c r="E745" s="18"/>
      <c r="F745" s="18"/>
    </row>
    <row r="746" spans="1:6" ht="15.75" customHeight="1" x14ac:dyDescent="0.25">
      <c r="A746" s="18"/>
      <c r="B746" s="18"/>
      <c r="C746" s="18"/>
      <c r="D746" s="18"/>
      <c r="E746" s="18"/>
      <c r="F746" s="18"/>
    </row>
    <row r="747" spans="1:6" ht="15.75" customHeight="1" x14ac:dyDescent="0.25">
      <c r="A747" s="18"/>
      <c r="B747" s="18"/>
      <c r="C747" s="18"/>
      <c r="D747" s="18"/>
      <c r="E747" s="18"/>
      <c r="F747" s="18"/>
    </row>
    <row r="748" spans="1:6" ht="15.75" customHeight="1" x14ac:dyDescent="0.25">
      <c r="A748" s="18"/>
      <c r="B748" s="18"/>
      <c r="C748" s="18"/>
      <c r="D748" s="18"/>
      <c r="E748" s="18"/>
      <c r="F748" s="18"/>
    </row>
    <row r="749" spans="1:6" ht="15.75" customHeight="1" x14ac:dyDescent="0.25">
      <c r="A749" s="18"/>
      <c r="B749" s="18"/>
      <c r="C749" s="18"/>
      <c r="D749" s="18"/>
      <c r="E749" s="18"/>
      <c r="F749" s="18"/>
    </row>
    <row r="750" spans="1:6" ht="15.75" customHeight="1" x14ac:dyDescent="0.25">
      <c r="A750" s="18"/>
      <c r="B750" s="18"/>
      <c r="C750" s="18"/>
      <c r="D750" s="18"/>
      <c r="E750" s="18"/>
      <c r="F750" s="18"/>
    </row>
    <row r="751" spans="1:6" ht="15.75" customHeight="1" x14ac:dyDescent="0.25">
      <c r="A751" s="18"/>
      <c r="B751" s="18"/>
      <c r="C751" s="18"/>
      <c r="D751" s="18"/>
      <c r="E751" s="18"/>
      <c r="F751" s="18"/>
    </row>
    <row r="752" spans="1:6" ht="15.75" customHeight="1" x14ac:dyDescent="0.25">
      <c r="A752" s="18"/>
      <c r="B752" s="18"/>
      <c r="C752" s="18"/>
      <c r="D752" s="18"/>
      <c r="E752" s="18"/>
      <c r="F752" s="18"/>
    </row>
    <row r="753" spans="1:6" ht="15.75" customHeight="1" x14ac:dyDescent="0.25">
      <c r="A753" s="18"/>
      <c r="B753" s="18"/>
      <c r="C753" s="18"/>
      <c r="D753" s="18"/>
      <c r="E753" s="18"/>
      <c r="F753" s="18"/>
    </row>
    <row r="754" spans="1:6" ht="15.75" customHeight="1" x14ac:dyDescent="0.25">
      <c r="A754" s="18"/>
      <c r="B754" s="18"/>
      <c r="C754" s="18"/>
      <c r="D754" s="18"/>
      <c r="E754" s="18"/>
      <c r="F754" s="18"/>
    </row>
    <row r="755" spans="1:6" ht="15.75" customHeight="1" x14ac:dyDescent="0.25">
      <c r="A755" s="18"/>
      <c r="B755" s="18"/>
      <c r="C755" s="18"/>
      <c r="D755" s="18"/>
      <c r="E755" s="18"/>
      <c r="F755" s="18"/>
    </row>
    <row r="756" spans="1:6" ht="15.75" customHeight="1" x14ac:dyDescent="0.25">
      <c r="A756" s="18"/>
      <c r="B756" s="18"/>
      <c r="C756" s="18"/>
      <c r="D756" s="18"/>
      <c r="E756" s="18"/>
      <c r="F756" s="18"/>
    </row>
    <row r="757" spans="1:6" ht="15.75" customHeight="1" x14ac:dyDescent="0.25">
      <c r="A757" s="18"/>
      <c r="B757" s="18"/>
      <c r="C757" s="18"/>
      <c r="D757" s="18"/>
      <c r="E757" s="18"/>
      <c r="F757" s="18"/>
    </row>
    <row r="758" spans="1:6" ht="15.75" customHeight="1" x14ac:dyDescent="0.25">
      <c r="A758" s="18"/>
      <c r="B758" s="18"/>
      <c r="C758" s="18"/>
      <c r="D758" s="18"/>
      <c r="E758" s="18"/>
      <c r="F758" s="18"/>
    </row>
    <row r="759" spans="1:6" ht="15.75" customHeight="1" x14ac:dyDescent="0.25">
      <c r="A759" s="18"/>
      <c r="B759" s="18"/>
      <c r="C759" s="18"/>
      <c r="D759" s="18"/>
      <c r="E759" s="18"/>
      <c r="F759" s="18"/>
    </row>
    <row r="760" spans="1:6" ht="15.75" customHeight="1" x14ac:dyDescent="0.25">
      <c r="A760" s="18"/>
      <c r="B760" s="18"/>
      <c r="C760" s="18"/>
      <c r="D760" s="18"/>
      <c r="E760" s="18"/>
      <c r="F760" s="18"/>
    </row>
    <row r="761" spans="1:6" ht="15.75" customHeight="1" x14ac:dyDescent="0.25">
      <c r="A761" s="18"/>
      <c r="B761" s="18"/>
      <c r="C761" s="18"/>
      <c r="D761" s="18"/>
      <c r="E761" s="18"/>
      <c r="F761" s="18"/>
    </row>
    <row r="762" spans="1:6" ht="15.75" customHeight="1" x14ac:dyDescent="0.25">
      <c r="A762" s="18"/>
      <c r="B762" s="18"/>
      <c r="C762" s="18"/>
      <c r="D762" s="18"/>
      <c r="E762" s="18"/>
      <c r="F762" s="18"/>
    </row>
    <row r="763" spans="1:6" ht="15.75" customHeight="1" x14ac:dyDescent="0.25">
      <c r="A763" s="18"/>
      <c r="B763" s="18"/>
      <c r="C763" s="18"/>
      <c r="D763" s="18"/>
      <c r="E763" s="18"/>
      <c r="F763" s="18"/>
    </row>
    <row r="764" spans="1:6" ht="15.75" customHeight="1" x14ac:dyDescent="0.25">
      <c r="A764" s="18"/>
      <c r="B764" s="18"/>
      <c r="C764" s="18"/>
      <c r="D764" s="18"/>
      <c r="E764" s="18"/>
      <c r="F764" s="18"/>
    </row>
    <row r="765" spans="1:6" ht="15.75" customHeight="1" x14ac:dyDescent="0.25">
      <c r="A765" s="18"/>
      <c r="B765" s="18"/>
      <c r="C765" s="18"/>
      <c r="D765" s="18"/>
      <c r="E765" s="18"/>
      <c r="F765" s="18"/>
    </row>
    <row r="766" spans="1:6" ht="15.75" customHeight="1" x14ac:dyDescent="0.25">
      <c r="A766" s="18"/>
      <c r="B766" s="18"/>
      <c r="C766" s="18"/>
      <c r="D766" s="18"/>
      <c r="E766" s="18"/>
      <c r="F766" s="18"/>
    </row>
    <row r="767" spans="1:6" ht="15.75" customHeight="1" x14ac:dyDescent="0.25">
      <c r="A767" s="18"/>
      <c r="B767" s="18"/>
      <c r="C767" s="18"/>
      <c r="D767" s="18"/>
      <c r="E767" s="18"/>
      <c r="F767" s="18"/>
    </row>
    <row r="768" spans="1:6" ht="15.75" customHeight="1" x14ac:dyDescent="0.25">
      <c r="A768" s="18"/>
      <c r="B768" s="18"/>
      <c r="C768" s="18"/>
      <c r="D768" s="18"/>
      <c r="E768" s="18"/>
      <c r="F768" s="18"/>
    </row>
    <row r="769" spans="1:6" ht="15.75" customHeight="1" x14ac:dyDescent="0.25">
      <c r="A769" s="18"/>
      <c r="B769" s="18"/>
      <c r="C769" s="18"/>
      <c r="D769" s="18"/>
      <c r="E769" s="18"/>
      <c r="F769" s="18"/>
    </row>
    <row r="770" spans="1:6" ht="15.75" customHeight="1" x14ac:dyDescent="0.25">
      <c r="A770" s="18"/>
      <c r="B770" s="18"/>
      <c r="C770" s="18"/>
      <c r="D770" s="18"/>
      <c r="E770" s="18"/>
      <c r="F770" s="18"/>
    </row>
    <row r="771" spans="1:6" ht="15.75" customHeight="1" x14ac:dyDescent="0.25">
      <c r="A771" s="18"/>
      <c r="B771" s="18"/>
      <c r="C771" s="18"/>
      <c r="D771" s="18"/>
      <c r="E771" s="18"/>
      <c r="F771" s="18"/>
    </row>
    <row r="772" spans="1:6" ht="15.75" customHeight="1" x14ac:dyDescent="0.25">
      <c r="A772" s="18"/>
      <c r="B772" s="18"/>
      <c r="C772" s="18"/>
      <c r="D772" s="18"/>
      <c r="E772" s="18"/>
      <c r="F772" s="18"/>
    </row>
    <row r="773" spans="1:6" ht="15.75" customHeight="1" x14ac:dyDescent="0.25">
      <c r="A773" s="18"/>
      <c r="B773" s="18"/>
      <c r="C773" s="18"/>
      <c r="D773" s="18"/>
      <c r="E773" s="18"/>
      <c r="F773" s="18"/>
    </row>
    <row r="774" spans="1:6" ht="15.75" customHeight="1" x14ac:dyDescent="0.25">
      <c r="A774" s="18"/>
      <c r="B774" s="18"/>
      <c r="C774" s="18"/>
      <c r="D774" s="18"/>
      <c r="E774" s="18"/>
      <c r="F774" s="18"/>
    </row>
    <row r="775" spans="1:6" ht="15.75" customHeight="1" x14ac:dyDescent="0.25">
      <c r="A775" s="18"/>
      <c r="B775" s="18"/>
      <c r="C775" s="18"/>
      <c r="D775" s="18"/>
      <c r="E775" s="18"/>
      <c r="F775" s="18"/>
    </row>
    <row r="776" spans="1:6" ht="15.75" customHeight="1" x14ac:dyDescent="0.25">
      <c r="A776" s="18"/>
      <c r="B776" s="18"/>
      <c r="C776" s="18"/>
      <c r="D776" s="18"/>
      <c r="E776" s="18"/>
      <c r="F776" s="18"/>
    </row>
    <row r="777" spans="1:6" ht="15.75" customHeight="1" x14ac:dyDescent="0.25">
      <c r="A777" s="18"/>
      <c r="B777" s="18"/>
      <c r="C777" s="18"/>
      <c r="D777" s="18"/>
      <c r="E777" s="18"/>
      <c r="F777" s="18"/>
    </row>
    <row r="778" spans="1:6" ht="15.75" customHeight="1" x14ac:dyDescent="0.25">
      <c r="A778" s="18"/>
      <c r="B778" s="18"/>
      <c r="C778" s="18"/>
      <c r="D778" s="18"/>
      <c r="E778" s="18"/>
      <c r="F778" s="18"/>
    </row>
    <row r="779" spans="1:6" ht="15.75" customHeight="1" x14ac:dyDescent="0.25">
      <c r="A779" s="18"/>
      <c r="B779" s="18"/>
      <c r="C779" s="18"/>
      <c r="D779" s="18"/>
      <c r="E779" s="18"/>
      <c r="F779" s="18"/>
    </row>
    <row r="780" spans="1:6" ht="15.75" customHeight="1" x14ac:dyDescent="0.25">
      <c r="A780" s="18"/>
      <c r="B780" s="18"/>
      <c r="C780" s="18"/>
      <c r="D780" s="18"/>
      <c r="E780" s="18"/>
      <c r="F780" s="18"/>
    </row>
    <row r="781" spans="1:6" ht="15.75" customHeight="1" x14ac:dyDescent="0.25">
      <c r="A781" s="18"/>
      <c r="B781" s="18"/>
      <c r="C781" s="18"/>
      <c r="D781" s="18"/>
      <c r="E781" s="18"/>
      <c r="F781" s="18"/>
    </row>
    <row r="782" spans="1:6" ht="15.75" customHeight="1" x14ac:dyDescent="0.25">
      <c r="A782" s="18"/>
      <c r="B782" s="18"/>
      <c r="C782" s="18"/>
      <c r="D782" s="18"/>
      <c r="E782" s="18"/>
      <c r="F782" s="18"/>
    </row>
    <row r="783" spans="1:6" ht="15.75" customHeight="1" x14ac:dyDescent="0.25">
      <c r="A783" s="18"/>
      <c r="B783" s="18"/>
      <c r="C783" s="18"/>
      <c r="D783" s="18"/>
      <c r="E783" s="18"/>
      <c r="F783" s="18"/>
    </row>
    <row r="784" spans="1:6" ht="15.75" customHeight="1" x14ac:dyDescent="0.25">
      <c r="A784" s="18"/>
      <c r="B784" s="18"/>
      <c r="C784" s="18"/>
      <c r="D784" s="18"/>
      <c r="E784" s="18"/>
      <c r="F784" s="18"/>
    </row>
    <row r="785" spans="1:6" ht="15.75" customHeight="1" x14ac:dyDescent="0.25">
      <c r="A785" s="18"/>
      <c r="B785" s="18"/>
      <c r="C785" s="18"/>
      <c r="D785" s="18"/>
      <c r="E785" s="18"/>
      <c r="F785" s="18"/>
    </row>
    <row r="786" spans="1:6" ht="15.75" customHeight="1" x14ac:dyDescent="0.25">
      <c r="A786" s="18"/>
      <c r="B786" s="18"/>
      <c r="C786" s="18"/>
      <c r="D786" s="18"/>
      <c r="E786" s="18"/>
      <c r="F786" s="18"/>
    </row>
    <row r="787" spans="1:6" ht="15.75" customHeight="1" x14ac:dyDescent="0.25">
      <c r="A787" s="18"/>
      <c r="B787" s="18"/>
      <c r="C787" s="18"/>
      <c r="D787" s="18"/>
      <c r="E787" s="18"/>
      <c r="F787" s="18"/>
    </row>
    <row r="788" spans="1:6" ht="15.75" customHeight="1" x14ac:dyDescent="0.25">
      <c r="A788" s="18"/>
      <c r="B788" s="18"/>
      <c r="C788" s="18"/>
      <c r="D788" s="18"/>
      <c r="E788" s="18"/>
      <c r="F788" s="18"/>
    </row>
    <row r="789" spans="1:6" ht="15.75" customHeight="1" x14ac:dyDescent="0.25">
      <c r="A789" s="18"/>
      <c r="B789" s="18"/>
      <c r="C789" s="18"/>
      <c r="D789" s="18"/>
      <c r="E789" s="18"/>
      <c r="F789" s="18"/>
    </row>
    <row r="790" spans="1:6" ht="15.75" customHeight="1" x14ac:dyDescent="0.25">
      <c r="A790" s="18"/>
      <c r="B790" s="18"/>
      <c r="C790" s="18"/>
      <c r="D790" s="18"/>
      <c r="E790" s="18"/>
      <c r="F790" s="18"/>
    </row>
    <row r="791" spans="1:6" ht="15.75" customHeight="1" x14ac:dyDescent="0.25">
      <c r="A791" s="18"/>
      <c r="B791" s="18"/>
      <c r="C791" s="18"/>
      <c r="D791" s="18"/>
      <c r="E791" s="18"/>
      <c r="F791" s="18"/>
    </row>
    <row r="792" spans="1:6" ht="15.75" customHeight="1" x14ac:dyDescent="0.25">
      <c r="A792" s="18"/>
      <c r="B792" s="18"/>
      <c r="C792" s="18"/>
      <c r="D792" s="18"/>
      <c r="E792" s="18"/>
      <c r="F792" s="18"/>
    </row>
    <row r="793" spans="1:6" ht="15.75" customHeight="1" x14ac:dyDescent="0.25">
      <c r="A793" s="18"/>
      <c r="B793" s="18"/>
      <c r="C793" s="18"/>
      <c r="D793" s="18"/>
      <c r="E793" s="18"/>
      <c r="F793" s="18"/>
    </row>
    <row r="794" spans="1:6" ht="15.75" customHeight="1" x14ac:dyDescent="0.25">
      <c r="A794" s="18"/>
      <c r="B794" s="18"/>
      <c r="C794" s="18"/>
      <c r="D794" s="18"/>
      <c r="E794" s="18"/>
      <c r="F794" s="18"/>
    </row>
    <row r="795" spans="1:6" ht="15.75" customHeight="1" x14ac:dyDescent="0.25">
      <c r="A795" s="18"/>
      <c r="B795" s="18"/>
      <c r="C795" s="18"/>
      <c r="D795" s="18"/>
      <c r="E795" s="18"/>
      <c r="F795" s="18"/>
    </row>
    <row r="796" spans="1:6" ht="15.75" customHeight="1" x14ac:dyDescent="0.25">
      <c r="A796" s="18"/>
      <c r="B796" s="18"/>
      <c r="C796" s="18"/>
      <c r="D796" s="18"/>
      <c r="E796" s="18"/>
      <c r="F796" s="18"/>
    </row>
    <row r="797" spans="1:6" ht="15.75" customHeight="1" x14ac:dyDescent="0.25">
      <c r="A797" s="18"/>
      <c r="B797" s="18"/>
      <c r="C797" s="18"/>
      <c r="D797" s="18"/>
      <c r="E797" s="18"/>
      <c r="F797" s="18"/>
    </row>
    <row r="798" spans="1:6" ht="15.75" customHeight="1" x14ac:dyDescent="0.25">
      <c r="A798" s="18"/>
      <c r="B798" s="18"/>
      <c r="C798" s="18"/>
      <c r="D798" s="18"/>
      <c r="E798" s="18"/>
      <c r="F798" s="18"/>
    </row>
    <row r="799" spans="1:6" ht="15.75" customHeight="1" x14ac:dyDescent="0.25">
      <c r="A799" s="18"/>
      <c r="B799" s="18"/>
      <c r="C799" s="18"/>
      <c r="D799" s="18"/>
      <c r="E799" s="18"/>
      <c r="F799" s="18"/>
    </row>
    <row r="800" spans="1:6" ht="15.75" customHeight="1" x14ac:dyDescent="0.25">
      <c r="A800" s="18"/>
      <c r="B800" s="18"/>
      <c r="C800" s="18"/>
      <c r="D800" s="18"/>
      <c r="E800" s="18"/>
      <c r="F800" s="18"/>
    </row>
    <row r="801" spans="1:6" ht="15.75" customHeight="1" x14ac:dyDescent="0.25">
      <c r="A801" s="18"/>
      <c r="B801" s="18"/>
      <c r="C801" s="18"/>
      <c r="D801" s="18"/>
      <c r="E801" s="18"/>
      <c r="F801" s="18"/>
    </row>
    <row r="802" spans="1:6" ht="15.75" customHeight="1" x14ac:dyDescent="0.25">
      <c r="A802" s="18"/>
      <c r="B802" s="18"/>
      <c r="C802" s="18"/>
      <c r="D802" s="18"/>
      <c r="E802" s="18"/>
      <c r="F802" s="18"/>
    </row>
    <row r="803" spans="1:6" ht="15.75" customHeight="1" x14ac:dyDescent="0.25">
      <c r="A803" s="18"/>
      <c r="B803" s="18"/>
      <c r="C803" s="18"/>
      <c r="D803" s="18"/>
      <c r="E803" s="18"/>
      <c r="F803" s="18"/>
    </row>
    <row r="804" spans="1:6" ht="15.75" customHeight="1" x14ac:dyDescent="0.25">
      <c r="A804" s="18"/>
      <c r="B804" s="18"/>
      <c r="C804" s="18"/>
      <c r="D804" s="18"/>
      <c r="E804" s="18"/>
      <c r="F804" s="18"/>
    </row>
    <row r="805" spans="1:6" ht="15.75" customHeight="1" x14ac:dyDescent="0.25">
      <c r="A805" s="18"/>
      <c r="B805" s="18"/>
      <c r="C805" s="18"/>
      <c r="D805" s="18"/>
      <c r="E805" s="18"/>
      <c r="F805" s="18"/>
    </row>
    <row r="806" spans="1:6" ht="15.75" customHeight="1" x14ac:dyDescent="0.25">
      <c r="A806" s="18"/>
      <c r="B806" s="18"/>
      <c r="C806" s="18"/>
      <c r="D806" s="18"/>
      <c r="E806" s="18"/>
      <c r="F806" s="18"/>
    </row>
    <row r="807" spans="1:6" ht="15.75" customHeight="1" x14ac:dyDescent="0.25">
      <c r="A807" s="18"/>
      <c r="B807" s="18"/>
      <c r="C807" s="18"/>
      <c r="D807" s="18"/>
      <c r="E807" s="18"/>
      <c r="F807" s="18"/>
    </row>
    <row r="808" spans="1:6" ht="15.75" customHeight="1" x14ac:dyDescent="0.25">
      <c r="A808" s="18"/>
      <c r="B808" s="18"/>
      <c r="C808" s="18"/>
      <c r="D808" s="18"/>
      <c r="E808" s="18"/>
      <c r="F808" s="18"/>
    </row>
    <row r="809" spans="1:6" ht="15.75" customHeight="1" x14ac:dyDescent="0.25">
      <c r="A809" s="18"/>
      <c r="B809" s="18"/>
      <c r="C809" s="18"/>
      <c r="D809" s="18"/>
      <c r="E809" s="18"/>
      <c r="F809" s="18"/>
    </row>
    <row r="810" spans="1:6" ht="15.75" customHeight="1" x14ac:dyDescent="0.25">
      <c r="A810" s="18"/>
      <c r="B810" s="18"/>
      <c r="C810" s="18"/>
      <c r="D810" s="18"/>
      <c r="E810" s="18"/>
      <c r="F810" s="18"/>
    </row>
    <row r="811" spans="1:6" ht="15.75" customHeight="1" x14ac:dyDescent="0.25">
      <c r="A811" s="18"/>
      <c r="B811" s="18"/>
      <c r="C811" s="18"/>
      <c r="D811" s="18"/>
      <c r="E811" s="18"/>
      <c r="F811" s="18"/>
    </row>
    <row r="812" spans="1:6" ht="15.75" customHeight="1" x14ac:dyDescent="0.25">
      <c r="A812" s="18"/>
      <c r="B812" s="18"/>
      <c r="C812" s="18"/>
      <c r="D812" s="18"/>
      <c r="E812" s="18"/>
      <c r="F812" s="18"/>
    </row>
    <row r="813" spans="1:6" ht="15.75" customHeight="1" x14ac:dyDescent="0.25">
      <c r="A813" s="18"/>
      <c r="B813" s="18"/>
      <c r="C813" s="18"/>
      <c r="D813" s="18"/>
      <c r="E813" s="18"/>
      <c r="F813" s="18"/>
    </row>
    <row r="814" spans="1:6" ht="15.75" customHeight="1" x14ac:dyDescent="0.25">
      <c r="A814" s="18"/>
      <c r="B814" s="18"/>
      <c r="C814" s="18"/>
      <c r="D814" s="18"/>
      <c r="E814" s="18"/>
      <c r="F814" s="18"/>
    </row>
    <row r="815" spans="1:6" ht="15.75" customHeight="1" x14ac:dyDescent="0.25">
      <c r="A815" s="18"/>
      <c r="B815" s="18"/>
      <c r="C815" s="18"/>
      <c r="D815" s="18"/>
      <c r="E815" s="18"/>
      <c r="F815" s="18"/>
    </row>
    <row r="816" spans="1:6" ht="15.75" customHeight="1" x14ac:dyDescent="0.25">
      <c r="A816" s="18"/>
      <c r="B816" s="18"/>
      <c r="C816" s="18"/>
      <c r="D816" s="18"/>
      <c r="E816" s="18"/>
      <c r="F816" s="18"/>
    </row>
    <row r="817" spans="1:6" ht="15.75" customHeight="1" x14ac:dyDescent="0.25">
      <c r="A817" s="18"/>
      <c r="B817" s="18"/>
      <c r="C817" s="18"/>
      <c r="D817" s="18"/>
      <c r="E817" s="18"/>
      <c r="F817" s="18"/>
    </row>
    <row r="818" spans="1:6" ht="15.75" customHeight="1" x14ac:dyDescent="0.25">
      <c r="A818" s="18"/>
      <c r="B818" s="18"/>
      <c r="C818" s="18"/>
      <c r="D818" s="18"/>
      <c r="E818" s="18"/>
      <c r="F818" s="18"/>
    </row>
    <row r="819" spans="1:6" ht="15.75" customHeight="1" x14ac:dyDescent="0.25">
      <c r="A819" s="18"/>
      <c r="B819" s="18"/>
      <c r="C819" s="18"/>
      <c r="D819" s="18"/>
      <c r="E819" s="18"/>
      <c r="F819" s="18"/>
    </row>
    <row r="820" spans="1:6" ht="15.75" customHeight="1" x14ac:dyDescent="0.25">
      <c r="A820" s="18"/>
      <c r="B820" s="18"/>
      <c r="C820" s="18"/>
      <c r="D820" s="18"/>
      <c r="E820" s="18"/>
      <c r="F820" s="18"/>
    </row>
    <row r="821" spans="1:6" ht="15.75" customHeight="1" x14ac:dyDescent="0.25">
      <c r="A821" s="18"/>
      <c r="B821" s="18"/>
      <c r="C821" s="18"/>
      <c r="D821" s="18"/>
      <c r="E821" s="18"/>
      <c r="F821" s="18"/>
    </row>
    <row r="822" spans="1:6" ht="15.75" customHeight="1" x14ac:dyDescent="0.25">
      <c r="A822" s="18"/>
      <c r="B822" s="18"/>
      <c r="C822" s="18"/>
      <c r="D822" s="18"/>
      <c r="E822" s="18"/>
      <c r="F822" s="18"/>
    </row>
    <row r="823" spans="1:6" ht="15.75" customHeight="1" x14ac:dyDescent="0.25">
      <c r="A823" s="18"/>
      <c r="B823" s="18"/>
      <c r="C823" s="18"/>
      <c r="D823" s="18"/>
      <c r="E823" s="18"/>
      <c r="F823" s="18"/>
    </row>
    <row r="824" spans="1:6" ht="15.75" customHeight="1" x14ac:dyDescent="0.25">
      <c r="A824" s="18"/>
      <c r="B824" s="18"/>
      <c r="C824" s="18"/>
      <c r="D824" s="18"/>
      <c r="E824" s="18"/>
      <c r="F824" s="18"/>
    </row>
    <row r="825" spans="1:6" ht="15.75" customHeight="1" x14ac:dyDescent="0.25">
      <c r="A825" s="18"/>
      <c r="B825" s="18"/>
      <c r="C825" s="18"/>
      <c r="D825" s="18"/>
      <c r="E825" s="18"/>
      <c r="F825" s="18"/>
    </row>
    <row r="826" spans="1:6" ht="15.75" customHeight="1" x14ac:dyDescent="0.25">
      <c r="A826" s="18"/>
      <c r="B826" s="18"/>
      <c r="C826" s="18"/>
      <c r="D826" s="18"/>
      <c r="E826" s="18"/>
      <c r="F826" s="18"/>
    </row>
    <row r="827" spans="1:6" ht="15.75" customHeight="1" x14ac:dyDescent="0.25">
      <c r="A827" s="18"/>
      <c r="B827" s="18"/>
      <c r="C827" s="18"/>
      <c r="D827" s="18"/>
      <c r="E827" s="18"/>
      <c r="F827" s="18"/>
    </row>
    <row r="828" spans="1:6" ht="15.75" customHeight="1" x14ac:dyDescent="0.25">
      <c r="A828" s="18"/>
      <c r="B828" s="18"/>
      <c r="C828" s="18"/>
      <c r="D828" s="18"/>
      <c r="E828" s="18"/>
      <c r="F828" s="18"/>
    </row>
    <row r="829" spans="1:6" ht="15.75" customHeight="1" x14ac:dyDescent="0.25">
      <c r="A829" s="18"/>
      <c r="B829" s="18"/>
      <c r="C829" s="18"/>
      <c r="D829" s="18"/>
      <c r="E829" s="18"/>
      <c r="F829" s="18"/>
    </row>
    <row r="830" spans="1:6" ht="15.75" customHeight="1" x14ac:dyDescent="0.25">
      <c r="A830" s="18"/>
      <c r="B830" s="18"/>
      <c r="C830" s="18"/>
      <c r="D830" s="18"/>
      <c r="E830" s="18"/>
      <c r="F830" s="18"/>
    </row>
    <row r="831" spans="1:6" ht="15.75" customHeight="1" x14ac:dyDescent="0.25">
      <c r="A831" s="18"/>
      <c r="B831" s="18"/>
      <c r="C831" s="18"/>
      <c r="D831" s="18"/>
      <c r="E831" s="18"/>
      <c r="F831" s="18"/>
    </row>
    <row r="832" spans="1:6" ht="15.75" customHeight="1" x14ac:dyDescent="0.25">
      <c r="A832" s="18"/>
      <c r="B832" s="18"/>
      <c r="C832" s="18"/>
      <c r="D832" s="18"/>
      <c r="E832" s="18"/>
      <c r="F832" s="18"/>
    </row>
    <row r="833" spans="1:6" ht="15.75" customHeight="1" x14ac:dyDescent="0.25">
      <c r="A833" s="18"/>
      <c r="B833" s="18"/>
      <c r="C833" s="18"/>
      <c r="D833" s="18"/>
      <c r="E833" s="18"/>
      <c r="F833" s="18"/>
    </row>
    <row r="834" spans="1:6" ht="15.75" customHeight="1" x14ac:dyDescent="0.25">
      <c r="A834" s="18"/>
      <c r="B834" s="18"/>
      <c r="C834" s="18"/>
      <c r="D834" s="18"/>
      <c r="E834" s="18"/>
      <c r="F834" s="18"/>
    </row>
    <row r="835" spans="1:6" ht="15.75" customHeight="1" x14ac:dyDescent="0.25">
      <c r="A835" s="18"/>
      <c r="B835" s="18"/>
      <c r="C835" s="18"/>
      <c r="D835" s="18"/>
      <c r="E835" s="18"/>
      <c r="F835" s="18"/>
    </row>
    <row r="836" spans="1:6" ht="15.75" customHeight="1" x14ac:dyDescent="0.25">
      <c r="A836" s="18"/>
      <c r="B836" s="18"/>
      <c r="C836" s="18"/>
      <c r="D836" s="18"/>
      <c r="E836" s="18"/>
      <c r="F836" s="18"/>
    </row>
    <row r="837" spans="1:6" ht="15.75" customHeight="1" x14ac:dyDescent="0.25">
      <c r="A837" s="18"/>
      <c r="B837" s="18"/>
      <c r="C837" s="18"/>
      <c r="D837" s="18"/>
      <c r="E837" s="18"/>
      <c r="F837" s="18"/>
    </row>
    <row r="838" spans="1:6" ht="15.75" customHeight="1" x14ac:dyDescent="0.25">
      <c r="A838" s="18"/>
      <c r="B838" s="18"/>
      <c r="C838" s="18"/>
      <c r="D838" s="18"/>
      <c r="E838" s="18"/>
      <c r="F838" s="18"/>
    </row>
    <row r="839" spans="1:6" ht="15.75" customHeight="1" x14ac:dyDescent="0.25">
      <c r="A839" s="18"/>
      <c r="B839" s="18"/>
      <c r="C839" s="18"/>
      <c r="D839" s="18"/>
      <c r="E839" s="18"/>
      <c r="F839" s="18"/>
    </row>
    <row r="840" spans="1:6" ht="15.75" customHeight="1" x14ac:dyDescent="0.25">
      <c r="A840" s="18"/>
      <c r="B840" s="18"/>
      <c r="C840" s="18"/>
      <c r="D840" s="18"/>
      <c r="E840" s="18"/>
      <c r="F840" s="18"/>
    </row>
    <row r="841" spans="1:6" ht="15.75" customHeight="1" x14ac:dyDescent="0.25">
      <c r="A841" s="18"/>
      <c r="B841" s="18"/>
      <c r="C841" s="18"/>
      <c r="D841" s="18"/>
      <c r="E841" s="18"/>
      <c r="F841" s="18"/>
    </row>
    <row r="842" spans="1:6" ht="15.75" customHeight="1" x14ac:dyDescent="0.25">
      <c r="A842" s="18"/>
      <c r="B842" s="18"/>
      <c r="C842" s="18"/>
      <c r="D842" s="18"/>
      <c r="E842" s="18"/>
      <c r="F842" s="18"/>
    </row>
    <row r="843" spans="1:6" ht="15.75" customHeight="1" x14ac:dyDescent="0.25">
      <c r="A843" s="18"/>
      <c r="B843" s="18"/>
      <c r="C843" s="18"/>
      <c r="D843" s="18"/>
      <c r="E843" s="18"/>
      <c r="F843" s="18"/>
    </row>
    <row r="844" spans="1:6" ht="15.75" customHeight="1" x14ac:dyDescent="0.25">
      <c r="A844" s="18"/>
      <c r="B844" s="18"/>
      <c r="C844" s="18"/>
      <c r="D844" s="18"/>
      <c r="E844" s="18"/>
      <c r="F844" s="18"/>
    </row>
    <row r="845" spans="1:6" ht="15.75" customHeight="1" x14ac:dyDescent="0.25">
      <c r="A845" s="18"/>
      <c r="B845" s="18"/>
      <c r="C845" s="18"/>
      <c r="D845" s="18"/>
      <c r="E845" s="18"/>
      <c r="F845" s="18"/>
    </row>
    <row r="846" spans="1:6" ht="15.75" customHeight="1" x14ac:dyDescent="0.25">
      <c r="A846" s="18"/>
      <c r="B846" s="18"/>
      <c r="C846" s="18"/>
      <c r="D846" s="18"/>
      <c r="E846" s="18"/>
      <c r="F846" s="18"/>
    </row>
    <row r="847" spans="1:6" ht="15.75" customHeight="1" x14ac:dyDescent="0.25">
      <c r="A847" s="18"/>
      <c r="B847" s="18"/>
      <c r="C847" s="18"/>
      <c r="D847" s="18"/>
      <c r="E847" s="18"/>
      <c r="F847" s="18"/>
    </row>
    <row r="848" spans="1:6" ht="15.75" customHeight="1" x14ac:dyDescent="0.25">
      <c r="A848" s="18"/>
      <c r="B848" s="18"/>
      <c r="C848" s="18"/>
      <c r="D848" s="18"/>
      <c r="E848" s="18"/>
      <c r="F848" s="18"/>
    </row>
    <row r="849" spans="1:6" ht="15.75" customHeight="1" x14ac:dyDescent="0.25">
      <c r="A849" s="18"/>
      <c r="B849" s="18"/>
      <c r="C849" s="18"/>
      <c r="D849" s="18"/>
      <c r="E849" s="18"/>
      <c r="F849" s="18"/>
    </row>
    <row r="850" spans="1:6" ht="15.75" customHeight="1" x14ac:dyDescent="0.25">
      <c r="A850" s="18"/>
      <c r="B850" s="18"/>
      <c r="C850" s="18"/>
      <c r="D850" s="18"/>
      <c r="E850" s="18"/>
      <c r="F850" s="18"/>
    </row>
    <row r="851" spans="1:6" ht="15.75" customHeight="1" x14ac:dyDescent="0.25">
      <c r="A851" s="18"/>
      <c r="B851" s="18"/>
      <c r="C851" s="18"/>
      <c r="D851" s="18"/>
      <c r="E851" s="18"/>
      <c r="F851" s="18"/>
    </row>
    <row r="852" spans="1:6" ht="15.75" customHeight="1" x14ac:dyDescent="0.25">
      <c r="A852" s="18"/>
      <c r="B852" s="18"/>
      <c r="C852" s="18"/>
      <c r="D852" s="18"/>
      <c r="E852" s="18"/>
      <c r="F852" s="18"/>
    </row>
    <row r="853" spans="1:6" ht="15.75" customHeight="1" x14ac:dyDescent="0.25">
      <c r="A853" s="18"/>
      <c r="B853" s="18"/>
      <c r="C853" s="18"/>
      <c r="D853" s="18"/>
      <c r="E853" s="18"/>
      <c r="F853" s="18"/>
    </row>
    <row r="854" spans="1:6" ht="15.75" customHeight="1" x14ac:dyDescent="0.25">
      <c r="A854" s="18"/>
      <c r="B854" s="18"/>
      <c r="C854" s="18"/>
      <c r="D854" s="18"/>
      <c r="E854" s="18"/>
      <c r="F854" s="18"/>
    </row>
    <row r="855" spans="1:6" ht="15.75" customHeight="1" x14ac:dyDescent="0.25">
      <c r="A855" s="18"/>
      <c r="B855" s="18"/>
      <c r="C855" s="18"/>
      <c r="D855" s="18"/>
      <c r="E855" s="18"/>
      <c r="F855" s="18"/>
    </row>
    <row r="856" spans="1:6" ht="15.75" customHeight="1" x14ac:dyDescent="0.25">
      <c r="A856" s="18"/>
      <c r="B856" s="18"/>
      <c r="C856" s="18"/>
      <c r="D856" s="18"/>
      <c r="E856" s="18"/>
      <c r="F856" s="18"/>
    </row>
    <row r="857" spans="1:6" ht="15.75" customHeight="1" x14ac:dyDescent="0.25">
      <c r="A857" s="18"/>
      <c r="B857" s="18"/>
      <c r="C857" s="18"/>
      <c r="D857" s="18"/>
      <c r="E857" s="18"/>
      <c r="F857" s="18"/>
    </row>
    <row r="858" spans="1:6" ht="15.75" customHeight="1" x14ac:dyDescent="0.25">
      <c r="A858" s="18"/>
      <c r="B858" s="18"/>
      <c r="C858" s="18"/>
      <c r="D858" s="18"/>
      <c r="E858" s="18"/>
      <c r="F858" s="18"/>
    </row>
    <row r="859" spans="1:6" ht="15.75" customHeight="1" x14ac:dyDescent="0.25">
      <c r="A859" s="18"/>
      <c r="B859" s="18"/>
      <c r="C859" s="18"/>
      <c r="D859" s="18"/>
      <c r="E859" s="18"/>
      <c r="F859" s="18"/>
    </row>
    <row r="860" spans="1:6" ht="15.75" customHeight="1" x14ac:dyDescent="0.25">
      <c r="A860" s="18"/>
      <c r="B860" s="18"/>
      <c r="C860" s="18"/>
      <c r="D860" s="18"/>
      <c r="E860" s="18"/>
      <c r="F860" s="18"/>
    </row>
    <row r="861" spans="1:6" ht="15.75" customHeight="1" x14ac:dyDescent="0.25">
      <c r="A861" s="18"/>
      <c r="B861" s="18"/>
      <c r="C861" s="18"/>
      <c r="D861" s="18"/>
      <c r="E861" s="18"/>
      <c r="F861" s="18"/>
    </row>
    <row r="862" spans="1:6" ht="15.75" customHeight="1" x14ac:dyDescent="0.25">
      <c r="A862" s="18"/>
      <c r="B862" s="18"/>
      <c r="C862" s="18"/>
      <c r="D862" s="18"/>
      <c r="E862" s="18"/>
      <c r="F862" s="18"/>
    </row>
    <row r="863" spans="1:6" ht="15.75" customHeight="1" x14ac:dyDescent="0.25">
      <c r="A863" s="18"/>
      <c r="B863" s="18"/>
      <c r="C863" s="18"/>
      <c r="D863" s="18"/>
      <c r="E863" s="18"/>
      <c r="F863" s="18"/>
    </row>
    <row r="864" spans="1:6" ht="15.75" customHeight="1" x14ac:dyDescent="0.25">
      <c r="A864" s="18"/>
      <c r="B864" s="18"/>
      <c r="C864" s="18"/>
      <c r="D864" s="18"/>
      <c r="E864" s="18"/>
      <c r="F864" s="18"/>
    </row>
    <row r="865" spans="1:6" ht="15.75" customHeight="1" x14ac:dyDescent="0.25">
      <c r="A865" s="18"/>
      <c r="B865" s="18"/>
      <c r="C865" s="18"/>
      <c r="D865" s="18"/>
      <c r="E865" s="18"/>
      <c r="F865" s="18"/>
    </row>
    <row r="866" spans="1:6" ht="15.75" customHeight="1" x14ac:dyDescent="0.25">
      <c r="A866" s="18"/>
      <c r="B866" s="18"/>
      <c r="C866" s="18"/>
      <c r="D866" s="18"/>
      <c r="E866" s="18"/>
      <c r="F866" s="18"/>
    </row>
    <row r="867" spans="1:6" ht="15.75" customHeight="1" x14ac:dyDescent="0.25">
      <c r="A867" s="18"/>
      <c r="B867" s="18"/>
      <c r="C867" s="18"/>
      <c r="D867" s="18"/>
      <c r="E867" s="18"/>
      <c r="F867" s="18"/>
    </row>
    <row r="868" spans="1:6" ht="15.75" customHeight="1" x14ac:dyDescent="0.25">
      <c r="A868" s="18"/>
      <c r="B868" s="18"/>
      <c r="C868" s="18"/>
      <c r="D868" s="18"/>
      <c r="E868" s="18"/>
      <c r="F868" s="18"/>
    </row>
    <row r="869" spans="1:6" ht="15.75" customHeight="1" x14ac:dyDescent="0.25">
      <c r="A869" s="18"/>
      <c r="B869" s="18"/>
      <c r="C869" s="18"/>
      <c r="D869" s="18"/>
      <c r="E869" s="18"/>
      <c r="F869" s="18"/>
    </row>
    <row r="870" spans="1:6" ht="15.75" customHeight="1" x14ac:dyDescent="0.25">
      <c r="A870" s="18"/>
      <c r="B870" s="18"/>
      <c r="C870" s="18"/>
      <c r="D870" s="18"/>
      <c r="E870" s="18"/>
      <c r="F870" s="18"/>
    </row>
    <row r="871" spans="1:6" ht="15.75" customHeight="1" x14ac:dyDescent="0.25">
      <c r="A871" s="18"/>
      <c r="B871" s="18"/>
      <c r="C871" s="18"/>
      <c r="D871" s="18"/>
      <c r="E871" s="18"/>
      <c r="F871" s="18"/>
    </row>
    <row r="872" spans="1:6" ht="15.75" customHeight="1" x14ac:dyDescent="0.25">
      <c r="A872" s="18"/>
      <c r="B872" s="18"/>
      <c r="C872" s="18"/>
      <c r="D872" s="18"/>
      <c r="E872" s="18"/>
      <c r="F872" s="18"/>
    </row>
    <row r="873" spans="1:6" ht="15.75" customHeight="1" x14ac:dyDescent="0.25">
      <c r="A873" s="18"/>
      <c r="B873" s="18"/>
      <c r="C873" s="18"/>
      <c r="D873" s="18"/>
      <c r="E873" s="18"/>
      <c r="F873" s="18"/>
    </row>
    <row r="874" spans="1:6" ht="15.75" customHeight="1" x14ac:dyDescent="0.25">
      <c r="A874" s="18"/>
      <c r="B874" s="18"/>
      <c r="C874" s="18"/>
      <c r="D874" s="18"/>
      <c r="E874" s="18"/>
      <c r="F874" s="18"/>
    </row>
    <row r="875" spans="1:6" ht="15.75" customHeight="1" x14ac:dyDescent="0.25">
      <c r="A875" s="18"/>
      <c r="B875" s="18"/>
      <c r="C875" s="18"/>
      <c r="D875" s="18"/>
      <c r="E875" s="18"/>
      <c r="F875" s="18"/>
    </row>
    <row r="876" spans="1:6" ht="15.75" customHeight="1" x14ac:dyDescent="0.25">
      <c r="A876" s="18"/>
      <c r="B876" s="18"/>
      <c r="C876" s="18"/>
      <c r="D876" s="18"/>
      <c r="E876" s="18"/>
      <c r="F876" s="18"/>
    </row>
    <row r="877" spans="1:6" ht="15.75" customHeight="1" x14ac:dyDescent="0.25">
      <c r="A877" s="18"/>
      <c r="B877" s="18"/>
      <c r="C877" s="18"/>
      <c r="D877" s="18"/>
      <c r="E877" s="18"/>
      <c r="F877" s="18"/>
    </row>
    <row r="878" spans="1:6" ht="15.75" customHeight="1" x14ac:dyDescent="0.25">
      <c r="A878" s="18"/>
      <c r="B878" s="18"/>
      <c r="C878" s="18"/>
      <c r="D878" s="18"/>
      <c r="E878" s="18"/>
      <c r="F878" s="18"/>
    </row>
    <row r="879" spans="1:6" ht="15.75" customHeight="1" x14ac:dyDescent="0.25">
      <c r="A879" s="18"/>
      <c r="B879" s="18"/>
      <c r="C879" s="18"/>
      <c r="D879" s="18"/>
      <c r="E879" s="18"/>
      <c r="F879" s="18"/>
    </row>
    <row r="880" spans="1:6" ht="15.75" customHeight="1" x14ac:dyDescent="0.25">
      <c r="A880" s="18"/>
      <c r="B880" s="18"/>
      <c r="C880" s="18"/>
      <c r="D880" s="18"/>
      <c r="E880" s="18"/>
      <c r="F880" s="18"/>
    </row>
    <row r="881" spans="1:6" ht="15.75" customHeight="1" x14ac:dyDescent="0.25">
      <c r="A881" s="18"/>
      <c r="B881" s="18"/>
      <c r="C881" s="18"/>
      <c r="D881" s="18"/>
      <c r="E881" s="18"/>
      <c r="F881" s="18"/>
    </row>
    <row r="882" spans="1:6" ht="15.75" customHeight="1" x14ac:dyDescent="0.25">
      <c r="A882" s="18"/>
      <c r="B882" s="18"/>
      <c r="C882" s="18"/>
      <c r="D882" s="18"/>
      <c r="E882" s="18"/>
      <c r="F882" s="18"/>
    </row>
    <row r="883" spans="1:6" ht="15.75" customHeight="1" x14ac:dyDescent="0.25">
      <c r="A883" s="18"/>
      <c r="B883" s="18"/>
      <c r="C883" s="18"/>
      <c r="D883" s="18"/>
      <c r="E883" s="18"/>
      <c r="F883" s="18"/>
    </row>
    <row r="884" spans="1:6" ht="15.75" customHeight="1" x14ac:dyDescent="0.25">
      <c r="A884" s="18"/>
      <c r="B884" s="18"/>
      <c r="C884" s="18"/>
      <c r="D884" s="18"/>
      <c r="E884" s="18"/>
      <c r="F884" s="18"/>
    </row>
    <row r="885" spans="1:6" ht="15.75" customHeight="1" x14ac:dyDescent="0.25">
      <c r="A885" s="18"/>
      <c r="B885" s="18"/>
      <c r="C885" s="18"/>
      <c r="D885" s="18"/>
      <c r="E885" s="18"/>
      <c r="F885" s="18"/>
    </row>
    <row r="886" spans="1:6" ht="15.75" customHeight="1" x14ac:dyDescent="0.25">
      <c r="A886" s="18"/>
      <c r="B886" s="18"/>
      <c r="C886" s="18"/>
      <c r="D886" s="18"/>
      <c r="E886" s="18"/>
      <c r="F886" s="18"/>
    </row>
    <row r="887" spans="1:6" ht="15.75" customHeight="1" x14ac:dyDescent="0.25">
      <c r="A887" s="18"/>
      <c r="B887" s="18"/>
      <c r="C887" s="18"/>
      <c r="D887" s="18"/>
      <c r="E887" s="18"/>
      <c r="F887" s="18"/>
    </row>
    <row r="888" spans="1:6" ht="15.75" customHeight="1" x14ac:dyDescent="0.25">
      <c r="A888" s="18"/>
      <c r="B888" s="18"/>
      <c r="C888" s="18"/>
      <c r="D888" s="18"/>
      <c r="E888" s="18"/>
      <c r="F888" s="18"/>
    </row>
    <row r="889" spans="1:6" ht="15.75" customHeight="1" x14ac:dyDescent="0.25">
      <c r="A889" s="18"/>
      <c r="B889" s="18"/>
      <c r="C889" s="18"/>
      <c r="D889" s="18"/>
      <c r="E889" s="18"/>
      <c r="F889" s="18"/>
    </row>
    <row r="890" spans="1:6" ht="15.75" customHeight="1" x14ac:dyDescent="0.25">
      <c r="A890" s="18"/>
      <c r="B890" s="18"/>
      <c r="C890" s="18"/>
      <c r="D890" s="18"/>
      <c r="E890" s="18"/>
      <c r="F890" s="18"/>
    </row>
    <row r="891" spans="1:6" ht="15.75" customHeight="1" x14ac:dyDescent="0.25">
      <c r="A891" s="18"/>
      <c r="B891" s="18"/>
      <c r="C891" s="18"/>
      <c r="D891" s="18"/>
      <c r="E891" s="18"/>
      <c r="F891" s="18"/>
    </row>
    <row r="892" spans="1:6" ht="15.75" customHeight="1" x14ac:dyDescent="0.25">
      <c r="A892" s="18"/>
      <c r="B892" s="18"/>
      <c r="C892" s="18"/>
      <c r="D892" s="18"/>
      <c r="E892" s="18"/>
      <c r="F892" s="18"/>
    </row>
    <row r="893" spans="1:6" ht="15.75" customHeight="1" x14ac:dyDescent="0.25">
      <c r="A893" s="18"/>
      <c r="B893" s="18"/>
      <c r="C893" s="18"/>
      <c r="D893" s="18"/>
      <c r="E893" s="18"/>
      <c r="F893" s="18"/>
    </row>
    <row r="894" spans="1:6" ht="15.75" customHeight="1" x14ac:dyDescent="0.25">
      <c r="A894" s="18"/>
      <c r="B894" s="18"/>
      <c r="C894" s="18"/>
      <c r="D894" s="18"/>
      <c r="E894" s="18"/>
      <c r="F894" s="18"/>
    </row>
    <row r="895" spans="1:6" ht="15.75" customHeight="1" x14ac:dyDescent="0.25">
      <c r="A895" s="18"/>
      <c r="B895" s="18"/>
      <c r="C895" s="18"/>
      <c r="D895" s="18"/>
      <c r="E895" s="18"/>
      <c r="F895" s="18"/>
    </row>
    <row r="896" spans="1:6" ht="15.75" customHeight="1" x14ac:dyDescent="0.25">
      <c r="A896" s="18"/>
      <c r="B896" s="18"/>
      <c r="C896" s="18"/>
      <c r="D896" s="18"/>
      <c r="E896" s="18"/>
      <c r="F896" s="18"/>
    </row>
    <row r="897" spans="1:6" ht="15.75" customHeight="1" x14ac:dyDescent="0.25">
      <c r="A897" s="18"/>
      <c r="B897" s="18"/>
      <c r="C897" s="18"/>
      <c r="D897" s="18"/>
      <c r="E897" s="18"/>
      <c r="F897" s="18"/>
    </row>
    <row r="898" spans="1:6" ht="15.75" customHeight="1" x14ac:dyDescent="0.25">
      <c r="A898" s="18"/>
      <c r="B898" s="18"/>
      <c r="C898" s="18"/>
      <c r="D898" s="18"/>
      <c r="E898" s="18"/>
      <c r="F898" s="18"/>
    </row>
    <row r="899" spans="1:6" ht="15.75" customHeight="1" x14ac:dyDescent="0.25">
      <c r="A899" s="18"/>
      <c r="B899" s="18"/>
      <c r="C899" s="18"/>
      <c r="D899" s="18"/>
      <c r="E899" s="18"/>
      <c r="F899" s="18"/>
    </row>
    <row r="900" spans="1:6" ht="15.75" customHeight="1" x14ac:dyDescent="0.25">
      <c r="A900" s="18"/>
      <c r="B900" s="18"/>
      <c r="C900" s="18"/>
      <c r="D900" s="18"/>
      <c r="E900" s="18"/>
      <c r="F900" s="18"/>
    </row>
    <row r="901" spans="1:6" ht="15.75" customHeight="1" x14ac:dyDescent="0.25">
      <c r="A901" s="18"/>
      <c r="B901" s="18"/>
      <c r="C901" s="18"/>
      <c r="D901" s="18"/>
      <c r="E901" s="18"/>
      <c r="F901" s="18"/>
    </row>
    <row r="902" spans="1:6" ht="15.75" customHeight="1" x14ac:dyDescent="0.25">
      <c r="A902" s="18"/>
      <c r="B902" s="18"/>
      <c r="C902" s="18"/>
      <c r="D902" s="18"/>
      <c r="E902" s="18"/>
      <c r="F902" s="18"/>
    </row>
    <row r="903" spans="1:6" ht="15.75" customHeight="1" x14ac:dyDescent="0.25">
      <c r="A903" s="18"/>
      <c r="B903" s="18"/>
      <c r="C903" s="18"/>
      <c r="D903" s="18"/>
      <c r="E903" s="18"/>
      <c r="F903" s="18"/>
    </row>
    <row r="904" spans="1:6" ht="15.75" customHeight="1" x14ac:dyDescent="0.25">
      <c r="A904" s="18"/>
      <c r="B904" s="18"/>
      <c r="C904" s="18"/>
      <c r="D904" s="18"/>
      <c r="E904" s="18"/>
      <c r="F904" s="18"/>
    </row>
    <row r="905" spans="1:6" ht="15.75" customHeight="1" x14ac:dyDescent="0.25">
      <c r="A905" s="18"/>
      <c r="B905" s="18"/>
      <c r="C905" s="18"/>
      <c r="D905" s="18"/>
      <c r="E905" s="18"/>
      <c r="F905" s="18"/>
    </row>
    <row r="906" spans="1:6" ht="15.75" customHeight="1" x14ac:dyDescent="0.25">
      <c r="A906" s="18"/>
      <c r="B906" s="18"/>
      <c r="C906" s="18"/>
      <c r="D906" s="18"/>
      <c r="E906" s="18"/>
      <c r="F906" s="18"/>
    </row>
    <row r="907" spans="1:6" ht="15.75" customHeight="1" x14ac:dyDescent="0.25">
      <c r="A907" s="18"/>
      <c r="B907" s="18"/>
      <c r="C907" s="18"/>
      <c r="D907" s="18"/>
      <c r="E907" s="18"/>
      <c r="F907" s="18"/>
    </row>
    <row r="908" spans="1:6" ht="15.75" customHeight="1" x14ac:dyDescent="0.25">
      <c r="A908" s="18"/>
      <c r="B908" s="18"/>
      <c r="C908" s="18"/>
      <c r="D908" s="18"/>
      <c r="E908" s="18"/>
      <c r="F908" s="18"/>
    </row>
    <row r="909" spans="1:6" ht="15.75" customHeight="1" x14ac:dyDescent="0.25">
      <c r="A909" s="18"/>
      <c r="B909" s="18"/>
      <c r="C909" s="18"/>
      <c r="D909" s="18"/>
      <c r="E909" s="18"/>
      <c r="F909" s="18"/>
    </row>
    <row r="910" spans="1:6" ht="15.75" customHeight="1" x14ac:dyDescent="0.25">
      <c r="A910" s="18"/>
      <c r="B910" s="18"/>
      <c r="C910" s="18"/>
      <c r="D910" s="18"/>
      <c r="E910" s="18"/>
      <c r="F910" s="18"/>
    </row>
    <row r="911" spans="1:6" ht="15.75" customHeight="1" x14ac:dyDescent="0.25">
      <c r="A911" s="18"/>
      <c r="B911" s="18"/>
      <c r="C911" s="18"/>
      <c r="D911" s="18"/>
      <c r="E911" s="18"/>
      <c r="F911" s="18"/>
    </row>
    <row r="912" spans="1:6" ht="15.75" customHeight="1" x14ac:dyDescent="0.25">
      <c r="A912" s="18"/>
      <c r="B912" s="18"/>
      <c r="C912" s="18"/>
      <c r="D912" s="18"/>
      <c r="E912" s="18"/>
      <c r="F912" s="18"/>
    </row>
    <row r="913" spans="1:6" ht="15.75" customHeight="1" x14ac:dyDescent="0.25">
      <c r="A913" s="18"/>
      <c r="B913" s="18"/>
      <c r="C913" s="18"/>
      <c r="D913" s="18"/>
      <c r="E913" s="18"/>
      <c r="F913" s="18"/>
    </row>
    <row r="914" spans="1:6" ht="15.75" customHeight="1" x14ac:dyDescent="0.25">
      <c r="A914" s="18"/>
      <c r="B914" s="18"/>
      <c r="C914" s="18"/>
      <c r="D914" s="18"/>
      <c r="E914" s="18"/>
      <c r="F914" s="18"/>
    </row>
    <row r="915" spans="1:6" ht="15.75" customHeight="1" x14ac:dyDescent="0.25">
      <c r="A915" s="18"/>
      <c r="B915" s="18"/>
      <c r="C915" s="18"/>
      <c r="D915" s="18"/>
      <c r="E915" s="18"/>
      <c r="F915" s="18"/>
    </row>
    <row r="916" spans="1:6" ht="15.75" customHeight="1" x14ac:dyDescent="0.25">
      <c r="A916" s="18"/>
      <c r="B916" s="18"/>
      <c r="C916" s="18"/>
      <c r="D916" s="18"/>
      <c r="E916" s="18"/>
      <c r="F916" s="18"/>
    </row>
    <row r="917" spans="1:6" ht="15.75" customHeight="1" x14ac:dyDescent="0.25">
      <c r="A917" s="18"/>
      <c r="B917" s="18"/>
      <c r="C917" s="18"/>
      <c r="D917" s="18"/>
      <c r="E917" s="18"/>
      <c r="F917" s="18"/>
    </row>
    <row r="918" spans="1:6" ht="15.75" customHeight="1" x14ac:dyDescent="0.25">
      <c r="A918" s="18"/>
      <c r="B918" s="18"/>
      <c r="C918" s="18"/>
      <c r="D918" s="18"/>
      <c r="E918" s="18"/>
      <c r="F918" s="18"/>
    </row>
    <row r="919" spans="1:6" ht="15.75" customHeight="1" x14ac:dyDescent="0.25">
      <c r="A919" s="18"/>
      <c r="B919" s="18"/>
      <c r="C919" s="18"/>
      <c r="D919" s="18"/>
      <c r="E919" s="18"/>
      <c r="F919" s="18"/>
    </row>
    <row r="920" spans="1:6" ht="15.75" customHeight="1" x14ac:dyDescent="0.25">
      <c r="A920" s="18"/>
      <c r="B920" s="18"/>
      <c r="C920" s="18"/>
      <c r="D920" s="18"/>
      <c r="E920" s="18"/>
      <c r="F920" s="18"/>
    </row>
    <row r="921" spans="1:6" ht="15.75" customHeight="1" x14ac:dyDescent="0.25">
      <c r="A921" s="18"/>
      <c r="B921" s="18"/>
      <c r="C921" s="18"/>
      <c r="D921" s="18"/>
      <c r="E921" s="18"/>
      <c r="F921" s="18"/>
    </row>
    <row r="922" spans="1:6" ht="15.75" customHeight="1" x14ac:dyDescent="0.25">
      <c r="A922" s="18"/>
      <c r="B922" s="18"/>
      <c r="C922" s="18"/>
      <c r="D922" s="18"/>
      <c r="E922" s="18"/>
      <c r="F922" s="18"/>
    </row>
    <row r="923" spans="1:6" ht="15.75" customHeight="1" x14ac:dyDescent="0.25">
      <c r="A923" s="18"/>
      <c r="B923" s="18"/>
      <c r="C923" s="18"/>
      <c r="D923" s="18"/>
      <c r="E923" s="18"/>
      <c r="F923" s="18"/>
    </row>
    <row r="924" spans="1:6" ht="15.75" customHeight="1" x14ac:dyDescent="0.25">
      <c r="A924" s="18"/>
      <c r="B924" s="18"/>
      <c r="C924" s="18"/>
      <c r="D924" s="18"/>
      <c r="E924" s="18"/>
      <c r="F924" s="18"/>
    </row>
    <row r="925" spans="1:6" ht="15.75" customHeight="1" x14ac:dyDescent="0.25">
      <c r="A925" s="18"/>
      <c r="B925" s="18"/>
      <c r="C925" s="18"/>
      <c r="D925" s="18"/>
      <c r="E925" s="18"/>
      <c r="F925" s="18"/>
    </row>
    <row r="926" spans="1:6" ht="15.75" customHeight="1" x14ac:dyDescent="0.25">
      <c r="A926" s="18"/>
      <c r="B926" s="18"/>
      <c r="C926" s="18"/>
      <c r="D926" s="18"/>
      <c r="E926" s="18"/>
      <c r="F926" s="18"/>
    </row>
    <row r="927" spans="1:6" ht="15.75" customHeight="1" x14ac:dyDescent="0.25">
      <c r="A927" s="18"/>
      <c r="B927" s="18"/>
      <c r="C927" s="18"/>
      <c r="D927" s="18"/>
      <c r="E927" s="18"/>
      <c r="F927" s="18"/>
    </row>
    <row r="928" spans="1:6" ht="15.75" customHeight="1" x14ac:dyDescent="0.25">
      <c r="A928" s="18"/>
      <c r="B928" s="18"/>
      <c r="C928" s="18"/>
      <c r="D928" s="18"/>
      <c r="E928" s="18"/>
      <c r="F928" s="18"/>
    </row>
    <row r="929" spans="1:6" ht="15.75" customHeight="1" x14ac:dyDescent="0.25">
      <c r="A929" s="18"/>
      <c r="B929" s="18"/>
      <c r="C929" s="18"/>
      <c r="D929" s="18"/>
      <c r="E929" s="18"/>
      <c r="F929" s="18"/>
    </row>
    <row r="930" spans="1:6" ht="15.75" customHeight="1" x14ac:dyDescent="0.25">
      <c r="A930" s="18"/>
      <c r="B930" s="18"/>
      <c r="C930" s="18"/>
      <c r="D930" s="18"/>
      <c r="E930" s="18"/>
      <c r="F930" s="18"/>
    </row>
    <row r="931" spans="1:6" ht="15.75" customHeight="1" x14ac:dyDescent="0.25">
      <c r="A931" s="18"/>
      <c r="B931" s="18"/>
      <c r="C931" s="18"/>
      <c r="D931" s="18"/>
      <c r="E931" s="18"/>
      <c r="F931" s="18"/>
    </row>
  </sheetData>
  <autoFilter ref="B1:O446" xr:uid="{00000000-0001-0000-1100-000000000000}">
    <sortState xmlns:xlrd2="http://schemas.microsoft.com/office/spreadsheetml/2017/richdata2" ref="B2:O446">
      <sortCondition ref="E1:E446"/>
    </sortState>
  </autoFilter>
  <phoneticPr fontId="19" type="noConversion"/>
  <conditionalFormatting sqref="F2:F446">
    <cfRule type="cellIs" dxfId="24" priority="26" operator="equal">
      <formula>"KELUAR"</formula>
    </cfRule>
  </conditionalFormatting>
  <conditionalFormatting sqref="B107:B138">
    <cfRule type="duplicateValues" dxfId="23" priority="22"/>
  </conditionalFormatting>
  <conditionalFormatting sqref="B106">
    <cfRule type="duplicateValues" dxfId="22" priority="21"/>
  </conditionalFormatting>
  <conditionalFormatting sqref="B140:B149 B151:B171">
    <cfRule type="duplicateValues" dxfId="21" priority="20"/>
  </conditionalFormatting>
  <conditionalFormatting sqref="B150">
    <cfRule type="duplicateValues" dxfId="20" priority="19"/>
  </conditionalFormatting>
  <conditionalFormatting sqref="B139">
    <cfRule type="duplicateValues" dxfId="19" priority="18"/>
  </conditionalFormatting>
  <conditionalFormatting sqref="B194">
    <cfRule type="duplicateValues" dxfId="18" priority="14"/>
  </conditionalFormatting>
  <conditionalFormatting sqref="B194">
    <cfRule type="duplicateValues" dxfId="17" priority="13"/>
  </conditionalFormatting>
  <conditionalFormatting sqref="B187:B193">
    <cfRule type="duplicateValues" dxfId="16" priority="15"/>
  </conditionalFormatting>
  <conditionalFormatting sqref="B187:B195">
    <cfRule type="duplicateValues" dxfId="15" priority="16"/>
  </conditionalFormatting>
  <conditionalFormatting sqref="B196:B199">
    <cfRule type="duplicateValues" dxfId="14" priority="11"/>
  </conditionalFormatting>
  <conditionalFormatting sqref="B196:B199">
    <cfRule type="duplicateValues" dxfId="13" priority="12"/>
  </conditionalFormatting>
  <conditionalFormatting sqref="B200:B201">
    <cfRule type="duplicateValues" dxfId="12" priority="9"/>
  </conditionalFormatting>
  <conditionalFormatting sqref="B200:B201">
    <cfRule type="duplicateValues" dxfId="11" priority="10"/>
  </conditionalFormatting>
  <conditionalFormatting sqref="B202:B203">
    <cfRule type="duplicateValues" dxfId="10" priority="8"/>
  </conditionalFormatting>
  <conditionalFormatting sqref="B172:B186">
    <cfRule type="duplicateValues" dxfId="9" priority="17"/>
  </conditionalFormatting>
  <conditionalFormatting sqref="B204:B226">
    <cfRule type="duplicateValues" dxfId="8" priority="7"/>
  </conditionalFormatting>
  <conditionalFormatting sqref="B227:B235">
    <cfRule type="duplicateValues" dxfId="7" priority="6"/>
  </conditionalFormatting>
  <conditionalFormatting sqref="B236">
    <cfRule type="duplicateValues" dxfId="6" priority="5"/>
  </conditionalFormatting>
  <conditionalFormatting sqref="B237:B270">
    <cfRule type="duplicateValues" dxfId="5" priority="4"/>
  </conditionalFormatting>
  <conditionalFormatting sqref="B237:B270">
    <cfRule type="duplicateValues" dxfId="4" priority="3"/>
  </conditionalFormatting>
  <conditionalFormatting sqref="B373:B406">
    <cfRule type="duplicateValues" dxfId="3" priority="2"/>
  </conditionalFormatting>
  <conditionalFormatting sqref="B74:B105">
    <cfRule type="duplicateValues" dxfId="2" priority="33"/>
  </conditionalFormatting>
  <conditionalFormatting sqref="B407:B431">
    <cfRule type="duplicateValues" dxfId="1" priority="36"/>
  </conditionalFormatting>
  <conditionalFormatting sqref="B2:C2 B3:B14 C3:C446">
    <cfRule type="duplicateValues" dxfId="0" priority="37"/>
  </conditionalFormatting>
  <pageMargins left="0.23622047244094491" right="0.23622047244094491" top="0.35433070866141736" bottom="0.35433070866141736" header="0.31496062992125984" footer="0.31496062992125984"/>
  <pageSetup paperSize="10000" scale="76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978"/>
  <sheetViews>
    <sheetView topLeftCell="M336" workbookViewId="0">
      <selection activeCell="Q347" sqref="Q347"/>
    </sheetView>
  </sheetViews>
  <sheetFormatPr defaultColWidth="14.42578125" defaultRowHeight="15" customHeight="1" x14ac:dyDescent="0.25"/>
  <cols>
    <col min="1" max="1" width="4" customWidth="1"/>
    <col min="2" max="2" width="18.7109375" customWidth="1"/>
    <col min="3" max="3" width="45" bestFit="1" customWidth="1"/>
    <col min="4" max="4" width="21.85546875" customWidth="1"/>
    <col min="5" max="5" width="17" customWidth="1"/>
    <col min="6" max="6" width="5.7109375" customWidth="1"/>
    <col min="7" max="7" width="36.42578125" bestFit="1" customWidth="1"/>
    <col min="8" max="8" width="22.140625" customWidth="1"/>
    <col min="9" max="9" width="25.140625" customWidth="1"/>
    <col min="10" max="10" width="5.5703125" customWidth="1"/>
    <col min="11" max="11" width="5.140625" customWidth="1"/>
    <col min="12" max="13" width="17.5703125" customWidth="1"/>
    <col min="14" max="14" width="23.5703125" customWidth="1"/>
    <col min="15" max="15" width="20.7109375" customWidth="1"/>
    <col min="16" max="16" width="40" customWidth="1"/>
    <col min="17" max="17" width="28.7109375" customWidth="1"/>
    <col min="18" max="18" width="15.5703125" customWidth="1"/>
    <col min="19" max="19" width="5.85546875" customWidth="1"/>
    <col min="20" max="26" width="8.7109375" customWidth="1"/>
  </cols>
  <sheetData>
    <row r="1" spans="1:26" x14ac:dyDescent="0.25">
      <c r="A1" s="42" t="s">
        <v>597</v>
      </c>
      <c r="B1" s="42" t="s">
        <v>598</v>
      </c>
      <c r="C1" s="42" t="s">
        <v>599</v>
      </c>
      <c r="D1" s="42" t="s">
        <v>600</v>
      </c>
      <c r="E1" s="42" t="s">
        <v>601</v>
      </c>
      <c r="F1" s="42" t="s">
        <v>602</v>
      </c>
      <c r="G1" s="42" t="s">
        <v>603</v>
      </c>
      <c r="H1" s="42" t="s">
        <v>604</v>
      </c>
      <c r="I1" s="42" t="s">
        <v>605</v>
      </c>
      <c r="J1" s="42" t="s">
        <v>80</v>
      </c>
      <c r="K1" s="42" t="s">
        <v>606</v>
      </c>
      <c r="L1" s="42" t="s">
        <v>607</v>
      </c>
      <c r="M1" s="42" t="s">
        <v>608</v>
      </c>
      <c r="N1" s="42" t="s">
        <v>609</v>
      </c>
      <c r="O1" s="42" t="s">
        <v>610</v>
      </c>
      <c r="P1" s="42" t="s">
        <v>611</v>
      </c>
      <c r="Q1" s="42" t="s">
        <v>612</v>
      </c>
      <c r="R1" s="42" t="s">
        <v>613</v>
      </c>
      <c r="S1" s="42" t="s">
        <v>614</v>
      </c>
      <c r="T1" s="42"/>
      <c r="U1" s="42"/>
      <c r="V1" s="42"/>
      <c r="W1" s="42"/>
      <c r="X1" s="42"/>
      <c r="Y1" s="42"/>
      <c r="Z1" s="42"/>
    </row>
    <row r="2" spans="1:26" x14ac:dyDescent="0.25">
      <c r="A2" s="43" t="s">
        <v>84</v>
      </c>
      <c r="B2" s="43" t="s">
        <v>615</v>
      </c>
      <c r="C2" s="43" t="s">
        <v>616</v>
      </c>
      <c r="D2" s="43" t="s">
        <v>617</v>
      </c>
      <c r="E2" s="43" t="s">
        <v>618</v>
      </c>
      <c r="F2" s="43" t="s">
        <v>619</v>
      </c>
      <c r="G2" s="43" t="s">
        <v>620</v>
      </c>
      <c r="H2" s="43" t="s">
        <v>621</v>
      </c>
      <c r="I2" s="43" t="s">
        <v>622</v>
      </c>
      <c r="J2" s="43" t="s">
        <v>86</v>
      </c>
      <c r="K2" s="43" t="s">
        <v>623</v>
      </c>
      <c r="L2" s="43" t="s">
        <v>624</v>
      </c>
      <c r="M2" s="43" t="s">
        <v>625</v>
      </c>
      <c r="N2" s="43" t="s">
        <v>617</v>
      </c>
      <c r="O2" s="43" t="s">
        <v>626</v>
      </c>
      <c r="P2" s="43" t="s">
        <v>627</v>
      </c>
      <c r="Q2" s="43" t="s">
        <v>628</v>
      </c>
      <c r="R2" s="43"/>
      <c r="S2" s="43" t="s">
        <v>629</v>
      </c>
      <c r="T2" s="43"/>
      <c r="U2" s="43"/>
      <c r="V2" s="43"/>
      <c r="W2" s="43"/>
      <c r="X2" s="43"/>
      <c r="Y2" s="43"/>
      <c r="Z2" s="43"/>
    </row>
    <row r="3" spans="1:26" x14ac:dyDescent="0.25">
      <c r="A3" s="43" t="s">
        <v>85</v>
      </c>
      <c r="B3" s="43" t="s">
        <v>630</v>
      </c>
      <c r="C3" s="43" t="s">
        <v>631</v>
      </c>
      <c r="D3" s="43" t="s">
        <v>617</v>
      </c>
      <c r="E3" s="43" t="s">
        <v>632</v>
      </c>
      <c r="F3" s="43" t="s">
        <v>619</v>
      </c>
      <c r="G3" s="43" t="s">
        <v>633</v>
      </c>
      <c r="H3" s="43" t="s">
        <v>634</v>
      </c>
      <c r="I3" s="43" t="s">
        <v>635</v>
      </c>
      <c r="J3" s="43" t="s">
        <v>86</v>
      </c>
      <c r="K3" s="43" t="s">
        <v>623</v>
      </c>
      <c r="L3" s="43" t="s">
        <v>636</v>
      </c>
      <c r="M3" s="43" t="s">
        <v>625</v>
      </c>
      <c r="N3" s="43" t="s">
        <v>617</v>
      </c>
      <c r="O3" s="43" t="s">
        <v>626</v>
      </c>
      <c r="P3" s="43" t="s">
        <v>637</v>
      </c>
      <c r="Q3" s="43" t="s">
        <v>638</v>
      </c>
      <c r="R3" s="43"/>
      <c r="S3" s="43" t="s">
        <v>629</v>
      </c>
      <c r="T3" s="43"/>
      <c r="U3" s="43"/>
      <c r="V3" s="43"/>
      <c r="W3" s="43"/>
      <c r="X3" s="43"/>
      <c r="Y3" s="43"/>
      <c r="Z3" s="43"/>
    </row>
    <row r="4" spans="1:26" x14ac:dyDescent="0.25">
      <c r="A4" s="43" t="s">
        <v>86</v>
      </c>
      <c r="B4" s="43" t="s">
        <v>639</v>
      </c>
      <c r="C4" s="43" t="s">
        <v>4060</v>
      </c>
      <c r="D4" s="43" t="s">
        <v>617</v>
      </c>
      <c r="E4" s="43" t="s">
        <v>640</v>
      </c>
      <c r="F4" s="43" t="s">
        <v>619</v>
      </c>
      <c r="G4" s="43" t="s">
        <v>641</v>
      </c>
      <c r="H4" s="43" t="s">
        <v>642</v>
      </c>
      <c r="I4" s="43" t="s">
        <v>643</v>
      </c>
      <c r="J4" s="43" t="s">
        <v>88</v>
      </c>
      <c r="K4" s="43" t="s">
        <v>623</v>
      </c>
      <c r="L4" s="43" t="s">
        <v>644</v>
      </c>
      <c r="M4" s="43" t="s">
        <v>645</v>
      </c>
      <c r="N4" s="43" t="s">
        <v>617</v>
      </c>
      <c r="O4" s="43" t="s">
        <v>626</v>
      </c>
      <c r="P4" s="43" t="s">
        <v>646</v>
      </c>
      <c r="Q4" s="43" t="s">
        <v>647</v>
      </c>
      <c r="R4" s="43"/>
      <c r="S4" s="43" t="s">
        <v>648</v>
      </c>
      <c r="T4" s="43"/>
      <c r="U4" s="43"/>
      <c r="V4" s="43"/>
      <c r="W4" s="43"/>
      <c r="X4" s="43"/>
      <c r="Y4" s="43"/>
      <c r="Z4" s="43"/>
    </row>
    <row r="5" spans="1:26" x14ac:dyDescent="0.25">
      <c r="A5" s="43" t="s">
        <v>87</v>
      </c>
      <c r="B5" s="43" t="s">
        <v>649</v>
      </c>
      <c r="C5" s="43" t="s">
        <v>650</v>
      </c>
      <c r="D5" s="43" t="s">
        <v>617</v>
      </c>
      <c r="E5" s="43" t="s">
        <v>651</v>
      </c>
      <c r="F5" s="43" t="s">
        <v>619</v>
      </c>
      <c r="G5" s="43" t="s">
        <v>652</v>
      </c>
      <c r="H5" s="43" t="s">
        <v>653</v>
      </c>
      <c r="I5" s="43" t="s">
        <v>654</v>
      </c>
      <c r="J5" s="43" t="s">
        <v>87</v>
      </c>
      <c r="K5" s="43" t="s">
        <v>623</v>
      </c>
      <c r="L5" s="43" t="s">
        <v>655</v>
      </c>
      <c r="M5" s="43" t="s">
        <v>617</v>
      </c>
      <c r="N5" s="43" t="s">
        <v>617</v>
      </c>
      <c r="O5" s="43" t="s">
        <v>626</v>
      </c>
      <c r="P5" s="43" t="s">
        <v>656</v>
      </c>
      <c r="Q5" s="43" t="s">
        <v>657</v>
      </c>
      <c r="R5" s="43"/>
      <c r="S5" s="43" t="s">
        <v>629</v>
      </c>
      <c r="T5" s="43"/>
      <c r="U5" s="43"/>
      <c r="V5" s="43"/>
      <c r="W5" s="43"/>
      <c r="X5" s="43"/>
      <c r="Y5" s="43"/>
      <c r="Z5" s="43"/>
    </row>
    <row r="6" spans="1:26" x14ac:dyDescent="0.25">
      <c r="A6" s="43" t="s">
        <v>88</v>
      </c>
      <c r="B6" s="43" t="s">
        <v>658</v>
      </c>
      <c r="C6" s="43" t="s">
        <v>659</v>
      </c>
      <c r="D6" s="43" t="s">
        <v>617</v>
      </c>
      <c r="E6" s="43" t="s">
        <v>660</v>
      </c>
      <c r="F6" s="43" t="s">
        <v>619</v>
      </c>
      <c r="G6" s="43" t="s">
        <v>661</v>
      </c>
      <c r="H6" s="43" t="s">
        <v>653</v>
      </c>
      <c r="I6" s="43" t="s">
        <v>662</v>
      </c>
      <c r="J6" s="43" t="s">
        <v>89</v>
      </c>
      <c r="K6" s="43" t="s">
        <v>623</v>
      </c>
      <c r="L6" s="43" t="s">
        <v>663</v>
      </c>
      <c r="M6" s="43" t="s">
        <v>664</v>
      </c>
      <c r="N6" s="43" t="s">
        <v>617</v>
      </c>
      <c r="O6" s="43" t="s">
        <v>626</v>
      </c>
      <c r="P6" s="43" t="s">
        <v>665</v>
      </c>
      <c r="Q6" s="43" t="s">
        <v>666</v>
      </c>
      <c r="R6" s="43"/>
      <c r="S6" s="43" t="s">
        <v>648</v>
      </c>
      <c r="T6" s="43"/>
      <c r="U6" s="43"/>
      <c r="V6" s="43"/>
      <c r="W6" s="43"/>
      <c r="X6" s="43"/>
      <c r="Y6" s="43"/>
      <c r="Z6" s="43"/>
    </row>
    <row r="7" spans="1:26" x14ac:dyDescent="0.25">
      <c r="A7" s="43" t="s">
        <v>89</v>
      </c>
      <c r="B7" s="43" t="s">
        <v>667</v>
      </c>
      <c r="C7" s="43" t="s">
        <v>668</v>
      </c>
      <c r="D7" s="43" t="s">
        <v>617</v>
      </c>
      <c r="E7" s="43" t="s">
        <v>669</v>
      </c>
      <c r="F7" s="43" t="s">
        <v>619</v>
      </c>
      <c r="G7" s="43" t="s">
        <v>670</v>
      </c>
      <c r="H7" s="43" t="s">
        <v>653</v>
      </c>
      <c r="I7" s="43" t="s">
        <v>671</v>
      </c>
      <c r="J7" s="43" t="s">
        <v>86</v>
      </c>
      <c r="K7" s="43" t="s">
        <v>623</v>
      </c>
      <c r="L7" s="43" t="s">
        <v>672</v>
      </c>
      <c r="M7" s="43" t="s">
        <v>617</v>
      </c>
      <c r="N7" s="43" t="s">
        <v>617</v>
      </c>
      <c r="O7" s="43" t="s">
        <v>626</v>
      </c>
      <c r="P7" s="43" t="s">
        <v>656</v>
      </c>
      <c r="Q7" s="43" t="s">
        <v>673</v>
      </c>
      <c r="R7" s="43"/>
      <c r="S7" s="43" t="s">
        <v>629</v>
      </c>
      <c r="T7" s="43"/>
      <c r="U7" s="43"/>
      <c r="V7" s="43"/>
      <c r="W7" s="43"/>
      <c r="X7" s="43"/>
      <c r="Y7" s="43"/>
      <c r="Z7" s="43"/>
    </row>
    <row r="8" spans="1:26" x14ac:dyDescent="0.25">
      <c r="A8" s="43" t="s">
        <v>90</v>
      </c>
      <c r="B8" s="43" t="s">
        <v>674</v>
      </c>
      <c r="C8" s="43" t="s">
        <v>675</v>
      </c>
      <c r="D8" s="43" t="s">
        <v>617</v>
      </c>
      <c r="E8" s="43" t="s">
        <v>676</v>
      </c>
      <c r="F8" s="43" t="s">
        <v>619</v>
      </c>
      <c r="G8" s="43" t="s">
        <v>677</v>
      </c>
      <c r="H8" s="43" t="s">
        <v>678</v>
      </c>
      <c r="I8" s="43" t="s">
        <v>679</v>
      </c>
      <c r="J8" s="43" t="s">
        <v>84</v>
      </c>
      <c r="K8" s="43"/>
      <c r="L8" s="43" t="s">
        <v>680</v>
      </c>
      <c r="M8" s="43" t="s">
        <v>617</v>
      </c>
      <c r="N8" s="43" t="s">
        <v>617</v>
      </c>
      <c r="O8" s="43" t="s">
        <v>626</v>
      </c>
      <c r="P8" s="43" t="s">
        <v>681</v>
      </c>
      <c r="Q8" s="43" t="s">
        <v>682</v>
      </c>
      <c r="R8" s="43"/>
      <c r="S8" s="43" t="s">
        <v>648</v>
      </c>
      <c r="T8" s="43"/>
      <c r="U8" s="43"/>
      <c r="V8" s="43"/>
      <c r="W8" s="43"/>
      <c r="X8" s="43"/>
      <c r="Y8" s="43"/>
      <c r="Z8" s="43"/>
    </row>
    <row r="9" spans="1:26" x14ac:dyDescent="0.25">
      <c r="A9" s="43" t="s">
        <v>91</v>
      </c>
      <c r="B9" s="43" t="s">
        <v>683</v>
      </c>
      <c r="C9" s="43" t="s">
        <v>684</v>
      </c>
      <c r="D9" s="43" t="s">
        <v>617</v>
      </c>
      <c r="E9" s="43" t="s">
        <v>685</v>
      </c>
      <c r="F9" s="43" t="s">
        <v>619</v>
      </c>
      <c r="G9" s="43" t="s">
        <v>686</v>
      </c>
      <c r="H9" s="43" t="s">
        <v>653</v>
      </c>
      <c r="I9" s="43" t="s">
        <v>687</v>
      </c>
      <c r="J9" s="43" t="s">
        <v>84</v>
      </c>
      <c r="K9" s="43" t="s">
        <v>623</v>
      </c>
      <c r="L9" s="43" t="s">
        <v>644</v>
      </c>
      <c r="M9" s="43" t="s">
        <v>645</v>
      </c>
      <c r="N9" s="43" t="s">
        <v>617</v>
      </c>
      <c r="O9" s="43" t="s">
        <v>626</v>
      </c>
      <c r="P9" s="43" t="s">
        <v>688</v>
      </c>
      <c r="Q9" s="43" t="s">
        <v>689</v>
      </c>
      <c r="R9" s="43"/>
      <c r="S9" s="43" t="s">
        <v>648</v>
      </c>
      <c r="T9" s="43"/>
      <c r="U9" s="43"/>
      <c r="V9" s="43"/>
      <c r="W9" s="43"/>
      <c r="X9" s="43"/>
      <c r="Y9" s="43"/>
      <c r="Z9" s="43"/>
    </row>
    <row r="10" spans="1:26" x14ac:dyDescent="0.25">
      <c r="A10" s="43" t="s">
        <v>92</v>
      </c>
      <c r="B10" s="43" t="s">
        <v>690</v>
      </c>
      <c r="C10" s="43" t="s">
        <v>691</v>
      </c>
      <c r="D10" s="43" t="s">
        <v>617</v>
      </c>
      <c r="E10" s="43" t="s">
        <v>692</v>
      </c>
      <c r="F10" s="43" t="s">
        <v>619</v>
      </c>
      <c r="G10" s="43" t="s">
        <v>693</v>
      </c>
      <c r="H10" s="43" t="s">
        <v>653</v>
      </c>
      <c r="I10" s="43" t="s">
        <v>694</v>
      </c>
      <c r="J10" s="43" t="s">
        <v>85</v>
      </c>
      <c r="K10" s="43" t="s">
        <v>623</v>
      </c>
      <c r="L10" s="43" t="s">
        <v>695</v>
      </c>
      <c r="M10" s="43" t="s">
        <v>664</v>
      </c>
      <c r="N10" s="43" t="s">
        <v>617</v>
      </c>
      <c r="O10" s="43" t="s">
        <v>626</v>
      </c>
      <c r="P10" s="43" t="s">
        <v>665</v>
      </c>
      <c r="Q10" s="43" t="s">
        <v>696</v>
      </c>
      <c r="R10" s="43"/>
      <c r="S10" s="43" t="s">
        <v>648</v>
      </c>
      <c r="T10" s="43"/>
      <c r="U10" s="43"/>
      <c r="V10" s="43"/>
      <c r="W10" s="43"/>
      <c r="X10" s="43"/>
      <c r="Y10" s="43"/>
      <c r="Z10" s="43"/>
    </row>
    <row r="11" spans="1:26" x14ac:dyDescent="0.25">
      <c r="A11" s="43" t="s">
        <v>93</v>
      </c>
      <c r="B11" s="43" t="s">
        <v>697</v>
      </c>
      <c r="C11" s="43" t="s">
        <v>698</v>
      </c>
      <c r="D11" s="43" t="s">
        <v>617</v>
      </c>
      <c r="E11" s="43" t="s">
        <v>699</v>
      </c>
      <c r="F11" s="43" t="s">
        <v>619</v>
      </c>
      <c r="G11" s="43" t="s">
        <v>700</v>
      </c>
      <c r="H11" s="43" t="s">
        <v>653</v>
      </c>
      <c r="I11" s="43" t="s">
        <v>701</v>
      </c>
      <c r="J11" s="43" t="s">
        <v>88</v>
      </c>
      <c r="K11" s="43" t="s">
        <v>623</v>
      </c>
      <c r="L11" s="43" t="s">
        <v>655</v>
      </c>
      <c r="M11" s="43" t="s">
        <v>617</v>
      </c>
      <c r="N11" s="43" t="s">
        <v>617</v>
      </c>
      <c r="O11" s="43" t="s">
        <v>626</v>
      </c>
      <c r="P11" s="43" t="s">
        <v>702</v>
      </c>
      <c r="Q11" s="43" t="s">
        <v>703</v>
      </c>
      <c r="R11" s="43"/>
      <c r="S11" s="43" t="s">
        <v>629</v>
      </c>
      <c r="T11" s="43"/>
      <c r="U11" s="43"/>
      <c r="V11" s="43"/>
      <c r="W11" s="43"/>
      <c r="X11" s="43"/>
      <c r="Y11" s="43"/>
      <c r="Z11" s="43"/>
    </row>
    <row r="12" spans="1:26" x14ac:dyDescent="0.25">
      <c r="A12" s="43" t="s">
        <v>94</v>
      </c>
      <c r="B12" s="43" t="s">
        <v>704</v>
      </c>
      <c r="C12" s="43" t="s">
        <v>705</v>
      </c>
      <c r="D12" s="43" t="s">
        <v>617</v>
      </c>
      <c r="E12" s="43" t="s">
        <v>706</v>
      </c>
      <c r="F12" s="43" t="s">
        <v>619</v>
      </c>
      <c r="G12" s="43" t="s">
        <v>707</v>
      </c>
      <c r="H12" s="43" t="s">
        <v>653</v>
      </c>
      <c r="I12" s="43" t="s">
        <v>701</v>
      </c>
      <c r="J12" s="43" t="s">
        <v>88</v>
      </c>
      <c r="K12" s="43" t="s">
        <v>623</v>
      </c>
      <c r="L12" s="43" t="s">
        <v>655</v>
      </c>
      <c r="M12" s="43" t="s">
        <v>617</v>
      </c>
      <c r="N12" s="43" t="s">
        <v>617</v>
      </c>
      <c r="O12" s="43" t="s">
        <v>626</v>
      </c>
      <c r="P12" s="43" t="s">
        <v>656</v>
      </c>
      <c r="Q12" s="43" t="s">
        <v>708</v>
      </c>
      <c r="R12" s="43"/>
      <c r="S12" s="43" t="s">
        <v>629</v>
      </c>
      <c r="T12" s="43"/>
      <c r="U12" s="43"/>
      <c r="V12" s="43"/>
      <c r="W12" s="43"/>
      <c r="X12" s="43"/>
      <c r="Y12" s="43"/>
      <c r="Z12" s="43"/>
    </row>
    <row r="13" spans="1:26" x14ac:dyDescent="0.25">
      <c r="A13" s="43" t="s">
        <v>95</v>
      </c>
      <c r="B13" s="43" t="s">
        <v>709</v>
      </c>
      <c r="C13" s="43" t="s">
        <v>710</v>
      </c>
      <c r="D13" s="43" t="s">
        <v>617</v>
      </c>
      <c r="E13" s="43" t="s">
        <v>711</v>
      </c>
      <c r="F13" s="43" t="s">
        <v>619</v>
      </c>
      <c r="G13" s="43" t="s">
        <v>712</v>
      </c>
      <c r="H13" s="43" t="s">
        <v>653</v>
      </c>
      <c r="I13" s="43" t="s">
        <v>713</v>
      </c>
      <c r="J13" s="43" t="s">
        <v>86</v>
      </c>
      <c r="K13" s="43" t="s">
        <v>623</v>
      </c>
      <c r="L13" s="43" t="s">
        <v>672</v>
      </c>
      <c r="M13" s="43" t="s">
        <v>617</v>
      </c>
      <c r="N13" s="43" t="s">
        <v>617</v>
      </c>
      <c r="O13" s="43" t="s">
        <v>626</v>
      </c>
      <c r="P13" s="43" t="s">
        <v>714</v>
      </c>
      <c r="Q13" s="43" t="s">
        <v>715</v>
      </c>
      <c r="R13" s="43"/>
      <c r="S13" s="43" t="s">
        <v>629</v>
      </c>
      <c r="T13" s="43"/>
      <c r="U13" s="43"/>
      <c r="V13" s="43"/>
      <c r="W13" s="43"/>
      <c r="X13" s="43"/>
      <c r="Y13" s="43"/>
      <c r="Z13" s="43"/>
    </row>
    <row r="14" spans="1:26" x14ac:dyDescent="0.25">
      <c r="A14" s="43" t="s">
        <v>96</v>
      </c>
      <c r="B14" s="43" t="s">
        <v>716</v>
      </c>
      <c r="C14" s="43" t="s">
        <v>717</v>
      </c>
      <c r="D14" s="43" t="s">
        <v>617</v>
      </c>
      <c r="E14" s="43" t="s">
        <v>718</v>
      </c>
      <c r="F14" s="43" t="s">
        <v>619</v>
      </c>
      <c r="G14" s="43" t="s">
        <v>719</v>
      </c>
      <c r="H14" s="43" t="s">
        <v>653</v>
      </c>
      <c r="I14" s="43" t="s">
        <v>720</v>
      </c>
      <c r="J14" s="43" t="s">
        <v>84</v>
      </c>
      <c r="K14" s="43" t="s">
        <v>623</v>
      </c>
      <c r="L14" s="43" t="s">
        <v>680</v>
      </c>
      <c r="M14" s="43" t="s">
        <v>617</v>
      </c>
      <c r="N14" s="43" t="s">
        <v>617</v>
      </c>
      <c r="O14" s="43" t="s">
        <v>626</v>
      </c>
      <c r="P14" s="43" t="s">
        <v>721</v>
      </c>
      <c r="Q14" s="43" t="s">
        <v>722</v>
      </c>
      <c r="R14" s="43"/>
      <c r="S14" s="43" t="s">
        <v>648</v>
      </c>
      <c r="T14" s="43"/>
      <c r="U14" s="43"/>
      <c r="V14" s="43"/>
      <c r="W14" s="43"/>
      <c r="X14" s="43"/>
      <c r="Y14" s="43"/>
      <c r="Z14" s="43"/>
    </row>
    <row r="15" spans="1:26" x14ac:dyDescent="0.25">
      <c r="A15" s="43" t="s">
        <v>97</v>
      </c>
      <c r="B15" s="43" t="s">
        <v>723</v>
      </c>
      <c r="C15" s="43" t="s">
        <v>724</v>
      </c>
      <c r="D15" s="43" t="s">
        <v>617</v>
      </c>
      <c r="E15" s="43" t="s">
        <v>725</v>
      </c>
      <c r="F15" s="43" t="s">
        <v>619</v>
      </c>
      <c r="G15" s="43" t="s">
        <v>726</v>
      </c>
      <c r="H15" s="43" t="s">
        <v>653</v>
      </c>
      <c r="I15" s="43" t="s">
        <v>727</v>
      </c>
      <c r="J15" s="43" t="s">
        <v>87</v>
      </c>
      <c r="K15" s="43" t="s">
        <v>623</v>
      </c>
      <c r="L15" s="43" t="s">
        <v>728</v>
      </c>
      <c r="M15" s="43" t="s">
        <v>617</v>
      </c>
      <c r="N15" s="43" t="s">
        <v>617</v>
      </c>
      <c r="O15" s="43" t="s">
        <v>626</v>
      </c>
      <c r="P15" s="43" t="s">
        <v>714</v>
      </c>
      <c r="Q15" s="43" t="s">
        <v>729</v>
      </c>
      <c r="R15" s="43"/>
      <c r="S15" s="43" t="s">
        <v>730</v>
      </c>
      <c r="T15" s="43"/>
      <c r="U15" s="43"/>
      <c r="V15" s="43"/>
      <c r="W15" s="43"/>
      <c r="X15" s="43"/>
      <c r="Y15" s="43"/>
      <c r="Z15" s="43"/>
    </row>
    <row r="16" spans="1:26" x14ac:dyDescent="0.25">
      <c r="A16" s="43" t="s">
        <v>98</v>
      </c>
      <c r="B16" s="43" t="s">
        <v>731</v>
      </c>
      <c r="C16" s="43" t="s">
        <v>732</v>
      </c>
      <c r="D16" s="43" t="s">
        <v>617</v>
      </c>
      <c r="E16" s="43" t="s">
        <v>733</v>
      </c>
      <c r="F16" s="43" t="s">
        <v>619</v>
      </c>
      <c r="G16" s="43" t="s">
        <v>734</v>
      </c>
      <c r="H16" s="43" t="s">
        <v>735</v>
      </c>
      <c r="I16" s="43" t="s">
        <v>736</v>
      </c>
      <c r="J16" s="43" t="s">
        <v>85</v>
      </c>
      <c r="K16" s="43" t="s">
        <v>623</v>
      </c>
      <c r="L16" s="43" t="s">
        <v>655</v>
      </c>
      <c r="M16" s="43" t="s">
        <v>617</v>
      </c>
      <c r="N16" s="43" t="s">
        <v>617</v>
      </c>
      <c r="O16" s="43" t="s">
        <v>626</v>
      </c>
      <c r="P16" s="43" t="s">
        <v>637</v>
      </c>
      <c r="Q16" s="43" t="s">
        <v>737</v>
      </c>
      <c r="R16" s="43"/>
      <c r="S16" s="43" t="s">
        <v>730</v>
      </c>
      <c r="T16" s="43"/>
      <c r="U16" s="43"/>
      <c r="V16" s="43"/>
      <c r="W16" s="43"/>
      <c r="X16" s="43"/>
      <c r="Y16" s="43"/>
      <c r="Z16" s="43"/>
    </row>
    <row r="17" spans="1:26" x14ac:dyDescent="0.25">
      <c r="A17" s="43" t="s">
        <v>99</v>
      </c>
      <c r="B17" s="43" t="s">
        <v>738</v>
      </c>
      <c r="C17" s="43" t="s">
        <v>739</v>
      </c>
      <c r="D17" s="43" t="s">
        <v>617</v>
      </c>
      <c r="E17" s="43" t="s">
        <v>706</v>
      </c>
      <c r="F17" s="43" t="s">
        <v>740</v>
      </c>
      <c r="G17" s="43" t="s">
        <v>741</v>
      </c>
      <c r="H17" s="43" t="s">
        <v>653</v>
      </c>
      <c r="I17" s="43" t="s">
        <v>742</v>
      </c>
      <c r="J17" s="43" t="s">
        <v>88</v>
      </c>
      <c r="K17" s="43" t="s">
        <v>623</v>
      </c>
      <c r="L17" s="43" t="s">
        <v>743</v>
      </c>
      <c r="M17" s="43" t="s">
        <v>744</v>
      </c>
      <c r="N17" s="43" t="s">
        <v>617</v>
      </c>
      <c r="O17" s="43" t="s">
        <v>626</v>
      </c>
      <c r="P17" s="43" t="s">
        <v>745</v>
      </c>
      <c r="Q17" s="43" t="s">
        <v>746</v>
      </c>
      <c r="R17" s="43"/>
      <c r="S17" s="43" t="s">
        <v>648</v>
      </c>
      <c r="T17" s="43"/>
      <c r="U17" s="43"/>
      <c r="V17" s="43"/>
      <c r="W17" s="43"/>
      <c r="X17" s="43"/>
      <c r="Y17" s="43"/>
      <c r="Z17" s="43"/>
    </row>
    <row r="18" spans="1:26" x14ac:dyDescent="0.25">
      <c r="A18" s="43" t="s">
        <v>100</v>
      </c>
      <c r="B18" s="43" t="s">
        <v>747</v>
      </c>
      <c r="C18" s="43" t="s">
        <v>748</v>
      </c>
      <c r="D18" s="43" t="s">
        <v>749</v>
      </c>
      <c r="E18" s="43" t="s">
        <v>750</v>
      </c>
      <c r="F18" s="43" t="s">
        <v>619</v>
      </c>
      <c r="G18" s="43" t="s">
        <v>751</v>
      </c>
      <c r="H18" s="43" t="s">
        <v>735</v>
      </c>
      <c r="I18" s="43" t="s">
        <v>752</v>
      </c>
      <c r="J18" s="43" t="s">
        <v>87</v>
      </c>
      <c r="K18" s="43" t="s">
        <v>623</v>
      </c>
      <c r="L18" s="43" t="s">
        <v>680</v>
      </c>
      <c r="M18" s="43" t="s">
        <v>617</v>
      </c>
      <c r="N18" s="43" t="s">
        <v>617</v>
      </c>
      <c r="O18" s="43" t="s">
        <v>626</v>
      </c>
      <c r="P18" s="43" t="s">
        <v>753</v>
      </c>
      <c r="Q18" s="43" t="s">
        <v>754</v>
      </c>
      <c r="R18" s="43"/>
      <c r="S18" s="43" t="s">
        <v>629</v>
      </c>
      <c r="T18" s="43"/>
      <c r="U18" s="43"/>
      <c r="V18" s="43"/>
      <c r="W18" s="43"/>
      <c r="X18" s="43"/>
      <c r="Y18" s="43"/>
      <c r="Z18" s="43"/>
    </row>
    <row r="19" spans="1:26" x14ac:dyDescent="0.25">
      <c r="A19" s="43" t="s">
        <v>101</v>
      </c>
      <c r="B19" s="43" t="s">
        <v>755</v>
      </c>
      <c r="C19" s="43" t="s">
        <v>756</v>
      </c>
      <c r="D19" s="43" t="s">
        <v>617</v>
      </c>
      <c r="E19" s="43" t="s">
        <v>757</v>
      </c>
      <c r="F19" s="43" t="s">
        <v>619</v>
      </c>
      <c r="G19" s="43" t="s">
        <v>758</v>
      </c>
      <c r="H19" s="43" t="s">
        <v>653</v>
      </c>
      <c r="I19" s="43" t="s">
        <v>759</v>
      </c>
      <c r="J19" s="43" t="s">
        <v>84</v>
      </c>
      <c r="K19" s="43" t="s">
        <v>623</v>
      </c>
      <c r="L19" s="43" t="s">
        <v>760</v>
      </c>
      <c r="M19" s="43" t="s">
        <v>664</v>
      </c>
      <c r="N19" s="43" t="s">
        <v>617</v>
      </c>
      <c r="O19" s="43" t="s">
        <v>626</v>
      </c>
      <c r="P19" s="43" t="s">
        <v>665</v>
      </c>
      <c r="Q19" s="43" t="s">
        <v>761</v>
      </c>
      <c r="R19" s="43"/>
      <c r="S19" s="43" t="s">
        <v>629</v>
      </c>
      <c r="T19" s="43"/>
      <c r="U19" s="43"/>
      <c r="V19" s="43"/>
      <c r="W19" s="43"/>
      <c r="X19" s="43"/>
      <c r="Y19" s="43"/>
      <c r="Z19" s="43"/>
    </row>
    <row r="20" spans="1:26" ht="15.75" customHeight="1" x14ac:dyDescent="0.25">
      <c r="A20" s="43" t="s">
        <v>102</v>
      </c>
      <c r="B20" s="43" t="s">
        <v>762</v>
      </c>
      <c r="C20" s="43" t="s">
        <v>763</v>
      </c>
      <c r="D20" s="43" t="s">
        <v>617</v>
      </c>
      <c r="E20" s="43" t="s">
        <v>764</v>
      </c>
      <c r="F20" s="43" t="s">
        <v>619</v>
      </c>
      <c r="G20" s="43" t="s">
        <v>765</v>
      </c>
      <c r="H20" s="43" t="s">
        <v>653</v>
      </c>
      <c r="I20" s="43" t="s">
        <v>766</v>
      </c>
      <c r="J20" s="43" t="s">
        <v>86</v>
      </c>
      <c r="K20" s="43" t="s">
        <v>623</v>
      </c>
      <c r="L20" s="43" t="s">
        <v>680</v>
      </c>
      <c r="M20" s="43" t="s">
        <v>617</v>
      </c>
      <c r="N20" s="43" t="s">
        <v>617</v>
      </c>
      <c r="O20" s="43" t="s">
        <v>626</v>
      </c>
      <c r="P20" s="43" t="s">
        <v>656</v>
      </c>
      <c r="Q20" s="43" t="s">
        <v>767</v>
      </c>
      <c r="R20" s="43"/>
      <c r="S20" s="43" t="s">
        <v>629</v>
      </c>
      <c r="T20" s="43"/>
      <c r="U20" s="43"/>
      <c r="V20" s="43"/>
      <c r="W20" s="43"/>
      <c r="X20" s="43"/>
      <c r="Y20" s="43"/>
      <c r="Z20" s="43"/>
    </row>
    <row r="21" spans="1:26" ht="15.75" customHeight="1" x14ac:dyDescent="0.25">
      <c r="A21" s="43" t="s">
        <v>103</v>
      </c>
      <c r="B21" s="43" t="s">
        <v>768</v>
      </c>
      <c r="C21" s="43" t="s">
        <v>769</v>
      </c>
      <c r="D21" s="43" t="s">
        <v>617</v>
      </c>
      <c r="E21" s="43" t="s">
        <v>770</v>
      </c>
      <c r="F21" s="43" t="s">
        <v>619</v>
      </c>
      <c r="G21" s="43" t="s">
        <v>771</v>
      </c>
      <c r="H21" s="43" t="s">
        <v>653</v>
      </c>
      <c r="I21" s="43" t="s">
        <v>772</v>
      </c>
      <c r="J21" s="43" t="s">
        <v>84</v>
      </c>
      <c r="K21" s="43" t="s">
        <v>623</v>
      </c>
      <c r="L21" s="43" t="s">
        <v>743</v>
      </c>
      <c r="M21" s="43" t="s">
        <v>744</v>
      </c>
      <c r="N21" s="43" t="s">
        <v>617</v>
      </c>
      <c r="O21" s="43" t="s">
        <v>626</v>
      </c>
      <c r="P21" s="43" t="s">
        <v>745</v>
      </c>
      <c r="Q21" s="43" t="s">
        <v>773</v>
      </c>
      <c r="R21" s="43"/>
      <c r="S21" s="43" t="s">
        <v>648</v>
      </c>
      <c r="T21" s="43"/>
      <c r="U21" s="43"/>
      <c r="V21" s="43"/>
      <c r="W21" s="43"/>
      <c r="X21" s="43"/>
      <c r="Y21" s="43"/>
      <c r="Z21" s="43"/>
    </row>
    <row r="22" spans="1:26" ht="15.75" customHeight="1" x14ac:dyDescent="0.25">
      <c r="A22" s="43" t="s">
        <v>104</v>
      </c>
      <c r="B22" s="43" t="s">
        <v>774</v>
      </c>
      <c r="C22" s="43" t="s">
        <v>775</v>
      </c>
      <c r="D22" s="43" t="s">
        <v>617</v>
      </c>
      <c r="E22" s="43" t="s">
        <v>776</v>
      </c>
      <c r="F22" s="43" t="s">
        <v>619</v>
      </c>
      <c r="G22" s="43" t="s">
        <v>777</v>
      </c>
      <c r="H22" s="43" t="s">
        <v>621</v>
      </c>
      <c r="I22" s="43" t="s">
        <v>778</v>
      </c>
      <c r="J22" s="43" t="s">
        <v>202</v>
      </c>
      <c r="K22" s="43" t="s">
        <v>623</v>
      </c>
      <c r="L22" s="43" t="s">
        <v>779</v>
      </c>
      <c r="M22" s="43" t="s">
        <v>780</v>
      </c>
      <c r="N22" s="43" t="s">
        <v>617</v>
      </c>
      <c r="O22" s="43" t="s">
        <v>626</v>
      </c>
      <c r="P22" s="43" t="s">
        <v>781</v>
      </c>
      <c r="Q22" s="43" t="s">
        <v>782</v>
      </c>
      <c r="R22" s="43"/>
      <c r="S22" s="43" t="s">
        <v>648</v>
      </c>
      <c r="T22" s="43"/>
      <c r="U22" s="43"/>
      <c r="V22" s="43"/>
      <c r="W22" s="43"/>
      <c r="X22" s="43"/>
      <c r="Y22" s="43"/>
      <c r="Z22" s="43"/>
    </row>
    <row r="23" spans="1:26" ht="15.75" customHeight="1" x14ac:dyDescent="0.25">
      <c r="A23" s="43" t="s">
        <v>105</v>
      </c>
      <c r="B23" s="43" t="s">
        <v>783</v>
      </c>
      <c r="C23" s="43" t="s">
        <v>784</v>
      </c>
      <c r="D23" s="43" t="s">
        <v>617</v>
      </c>
      <c r="E23" s="43" t="s">
        <v>785</v>
      </c>
      <c r="F23" s="43" t="s">
        <v>619</v>
      </c>
      <c r="G23" s="43" t="s">
        <v>786</v>
      </c>
      <c r="H23" s="43" t="s">
        <v>653</v>
      </c>
      <c r="I23" s="43" t="s">
        <v>778</v>
      </c>
      <c r="J23" s="43" t="s">
        <v>202</v>
      </c>
      <c r="K23" s="43" t="s">
        <v>623</v>
      </c>
      <c r="L23" s="43" t="s">
        <v>779</v>
      </c>
      <c r="M23" s="43" t="s">
        <v>780</v>
      </c>
      <c r="N23" s="43" t="s">
        <v>617</v>
      </c>
      <c r="O23" s="43" t="s">
        <v>626</v>
      </c>
      <c r="P23" s="43" t="s">
        <v>781</v>
      </c>
      <c r="Q23" s="43" t="s">
        <v>787</v>
      </c>
      <c r="R23" s="43"/>
      <c r="S23" s="43" t="s">
        <v>648</v>
      </c>
      <c r="T23" s="43"/>
      <c r="U23" s="43"/>
      <c r="V23" s="43"/>
      <c r="W23" s="43"/>
      <c r="X23" s="43"/>
      <c r="Y23" s="43"/>
      <c r="Z23" s="43"/>
    </row>
    <row r="24" spans="1:26" ht="15.75" customHeight="1" x14ac:dyDescent="0.25">
      <c r="A24" s="43" t="s">
        <v>106</v>
      </c>
      <c r="B24" s="43" t="s">
        <v>788</v>
      </c>
      <c r="C24" s="43" t="s">
        <v>789</v>
      </c>
      <c r="D24" s="43" t="s">
        <v>617</v>
      </c>
      <c r="E24" s="43" t="s">
        <v>790</v>
      </c>
      <c r="F24" s="43" t="s">
        <v>619</v>
      </c>
      <c r="G24" s="43" t="s">
        <v>791</v>
      </c>
      <c r="H24" s="43" t="s">
        <v>634</v>
      </c>
      <c r="I24" s="43" t="s">
        <v>792</v>
      </c>
      <c r="J24" s="43" t="s">
        <v>93</v>
      </c>
      <c r="K24" s="43" t="s">
        <v>623</v>
      </c>
      <c r="L24" s="43" t="s">
        <v>793</v>
      </c>
      <c r="M24" s="43" t="s">
        <v>794</v>
      </c>
      <c r="N24" s="43" t="s">
        <v>617</v>
      </c>
      <c r="O24" s="43" t="s">
        <v>626</v>
      </c>
      <c r="P24" s="43" t="s">
        <v>795</v>
      </c>
      <c r="Q24" s="43" t="s">
        <v>796</v>
      </c>
      <c r="R24" s="43"/>
      <c r="S24" s="43" t="s">
        <v>648</v>
      </c>
      <c r="T24" s="43"/>
      <c r="U24" s="43"/>
      <c r="V24" s="43"/>
      <c r="W24" s="43"/>
      <c r="X24" s="43"/>
      <c r="Y24" s="43"/>
      <c r="Z24" s="43"/>
    </row>
    <row r="25" spans="1:26" ht="15.75" customHeight="1" x14ac:dyDescent="0.25">
      <c r="A25" s="43" t="s">
        <v>107</v>
      </c>
      <c r="B25" s="43" t="s">
        <v>797</v>
      </c>
      <c r="C25" s="43" t="s">
        <v>798</v>
      </c>
      <c r="D25" s="43" t="s">
        <v>617</v>
      </c>
      <c r="E25" s="43" t="s">
        <v>799</v>
      </c>
      <c r="F25" s="43" t="s">
        <v>619</v>
      </c>
      <c r="G25" s="43" t="s">
        <v>800</v>
      </c>
      <c r="H25" s="43" t="s">
        <v>653</v>
      </c>
      <c r="I25" s="43" t="s">
        <v>792</v>
      </c>
      <c r="J25" s="43" t="s">
        <v>93</v>
      </c>
      <c r="K25" s="43" t="s">
        <v>623</v>
      </c>
      <c r="L25" s="43" t="s">
        <v>793</v>
      </c>
      <c r="M25" s="43" t="s">
        <v>794</v>
      </c>
      <c r="N25" s="43" t="s">
        <v>617</v>
      </c>
      <c r="O25" s="43" t="s">
        <v>626</v>
      </c>
      <c r="P25" s="43" t="s">
        <v>801</v>
      </c>
      <c r="Q25" s="43" t="s">
        <v>802</v>
      </c>
      <c r="R25" s="43"/>
      <c r="S25" s="43" t="s">
        <v>629</v>
      </c>
      <c r="T25" s="43"/>
      <c r="U25" s="43"/>
      <c r="V25" s="43"/>
      <c r="W25" s="43"/>
      <c r="X25" s="43"/>
      <c r="Y25" s="43"/>
      <c r="Z25" s="43"/>
    </row>
    <row r="26" spans="1:26" ht="15.75" customHeight="1" x14ac:dyDescent="0.25">
      <c r="A26" s="43" t="s">
        <v>108</v>
      </c>
      <c r="B26" s="43" t="s">
        <v>803</v>
      </c>
      <c r="C26" s="43" t="s">
        <v>804</v>
      </c>
      <c r="D26" s="43" t="s">
        <v>805</v>
      </c>
      <c r="E26" s="43" t="s">
        <v>806</v>
      </c>
      <c r="F26" s="43" t="s">
        <v>619</v>
      </c>
      <c r="G26" s="43" t="s">
        <v>807</v>
      </c>
      <c r="H26" s="43" t="s">
        <v>634</v>
      </c>
      <c r="I26" s="43" t="s">
        <v>808</v>
      </c>
      <c r="J26" s="43" t="s">
        <v>89</v>
      </c>
      <c r="K26" s="43" t="s">
        <v>623</v>
      </c>
      <c r="L26" s="43" t="s">
        <v>809</v>
      </c>
      <c r="M26" s="43" t="s">
        <v>744</v>
      </c>
      <c r="N26" s="43" t="s">
        <v>617</v>
      </c>
      <c r="O26" s="43" t="s">
        <v>626</v>
      </c>
      <c r="P26" s="43" t="s">
        <v>810</v>
      </c>
      <c r="Q26" s="43" t="s">
        <v>811</v>
      </c>
      <c r="R26" s="43"/>
      <c r="S26" s="43" t="s">
        <v>648</v>
      </c>
      <c r="T26" s="43"/>
      <c r="U26" s="43"/>
      <c r="V26" s="43"/>
      <c r="W26" s="43"/>
      <c r="X26" s="43"/>
      <c r="Y26" s="43"/>
      <c r="Z26" s="43"/>
    </row>
    <row r="27" spans="1:26" ht="15.75" customHeight="1" x14ac:dyDescent="0.25">
      <c r="A27" s="43" t="s">
        <v>109</v>
      </c>
      <c r="B27" s="43" t="s">
        <v>812</v>
      </c>
      <c r="C27" s="43" t="s">
        <v>813</v>
      </c>
      <c r="D27" s="43" t="s">
        <v>617</v>
      </c>
      <c r="E27" s="43" t="s">
        <v>814</v>
      </c>
      <c r="F27" s="43" t="s">
        <v>619</v>
      </c>
      <c r="G27" s="43" t="s">
        <v>815</v>
      </c>
      <c r="H27" s="43" t="s">
        <v>653</v>
      </c>
      <c r="I27" s="43" t="s">
        <v>816</v>
      </c>
      <c r="J27" s="43" t="s">
        <v>84</v>
      </c>
      <c r="K27" s="43" t="s">
        <v>623</v>
      </c>
      <c r="L27" s="43" t="s">
        <v>817</v>
      </c>
      <c r="M27" s="43" t="s">
        <v>818</v>
      </c>
      <c r="N27" s="43" t="s">
        <v>617</v>
      </c>
      <c r="O27" s="43" t="s">
        <v>626</v>
      </c>
      <c r="P27" s="43" t="s">
        <v>819</v>
      </c>
      <c r="Q27" s="43" t="s">
        <v>820</v>
      </c>
      <c r="R27" s="43"/>
      <c r="S27" s="43" t="s">
        <v>629</v>
      </c>
      <c r="T27" s="43"/>
      <c r="U27" s="43"/>
      <c r="V27" s="43"/>
      <c r="W27" s="43"/>
      <c r="X27" s="43"/>
      <c r="Y27" s="43"/>
      <c r="Z27" s="43"/>
    </row>
    <row r="28" spans="1:26" ht="15.75" customHeight="1" x14ac:dyDescent="0.25">
      <c r="A28" s="43" t="s">
        <v>110</v>
      </c>
      <c r="B28" s="43" t="s">
        <v>821</v>
      </c>
      <c r="C28" s="43" t="s">
        <v>822</v>
      </c>
      <c r="D28" s="43" t="s">
        <v>617</v>
      </c>
      <c r="E28" s="43" t="s">
        <v>823</v>
      </c>
      <c r="F28" s="43" t="s">
        <v>619</v>
      </c>
      <c r="G28" s="43" t="s">
        <v>824</v>
      </c>
      <c r="H28" s="43" t="s">
        <v>735</v>
      </c>
      <c r="I28" s="43" t="s">
        <v>720</v>
      </c>
      <c r="J28" s="43" t="s">
        <v>88</v>
      </c>
      <c r="K28" s="43" t="s">
        <v>623</v>
      </c>
      <c r="L28" s="43" t="s">
        <v>680</v>
      </c>
      <c r="M28" s="43" t="s">
        <v>617</v>
      </c>
      <c r="N28" s="43" t="s">
        <v>617</v>
      </c>
      <c r="O28" s="43" t="s">
        <v>626</v>
      </c>
      <c r="P28" s="43" t="s">
        <v>714</v>
      </c>
      <c r="Q28" s="43" t="s">
        <v>825</v>
      </c>
      <c r="R28" s="43"/>
      <c r="S28" s="43" t="s">
        <v>648</v>
      </c>
      <c r="T28" s="43"/>
      <c r="U28" s="43"/>
      <c r="V28" s="43"/>
      <c r="W28" s="43"/>
      <c r="X28" s="43"/>
      <c r="Y28" s="43"/>
      <c r="Z28" s="43"/>
    </row>
    <row r="29" spans="1:26" ht="15.75" customHeight="1" x14ac:dyDescent="0.25">
      <c r="A29" s="43" t="s">
        <v>111</v>
      </c>
      <c r="B29" s="43" t="s">
        <v>826</v>
      </c>
      <c r="C29" s="43" t="s">
        <v>827</v>
      </c>
      <c r="D29" s="43" t="s">
        <v>828</v>
      </c>
      <c r="E29" s="43" t="s">
        <v>829</v>
      </c>
      <c r="F29" s="43" t="s">
        <v>619</v>
      </c>
      <c r="G29" s="43" t="s">
        <v>830</v>
      </c>
      <c r="H29" s="43" t="s">
        <v>831</v>
      </c>
      <c r="I29" s="43" t="s">
        <v>713</v>
      </c>
      <c r="J29" s="43" t="s">
        <v>89</v>
      </c>
      <c r="K29" s="43" t="s">
        <v>832</v>
      </c>
      <c r="L29" s="43" t="s">
        <v>680</v>
      </c>
      <c r="M29" s="43" t="s">
        <v>617</v>
      </c>
      <c r="N29" s="43" t="s">
        <v>617</v>
      </c>
      <c r="O29" s="43" t="s">
        <v>626</v>
      </c>
      <c r="P29" s="43" t="s">
        <v>753</v>
      </c>
      <c r="Q29" s="43" t="s">
        <v>833</v>
      </c>
      <c r="R29" s="43"/>
      <c r="S29" s="43" t="s">
        <v>629</v>
      </c>
      <c r="T29" s="43"/>
      <c r="U29" s="43"/>
      <c r="V29" s="43"/>
      <c r="W29" s="43"/>
      <c r="X29" s="43"/>
      <c r="Y29" s="43"/>
      <c r="Z29" s="43"/>
    </row>
    <row r="30" spans="1:26" ht="15.75" customHeight="1" x14ac:dyDescent="0.25">
      <c r="A30" s="43" t="s">
        <v>112</v>
      </c>
      <c r="B30" s="43" t="s">
        <v>834</v>
      </c>
      <c r="C30" s="43" t="s">
        <v>835</v>
      </c>
      <c r="D30" s="43" t="s">
        <v>617</v>
      </c>
      <c r="E30" s="43" t="s">
        <v>836</v>
      </c>
      <c r="F30" s="43" t="s">
        <v>619</v>
      </c>
      <c r="G30" s="43" t="s">
        <v>837</v>
      </c>
      <c r="H30" s="43" t="s">
        <v>653</v>
      </c>
      <c r="I30" s="43" t="s">
        <v>838</v>
      </c>
      <c r="J30" s="43" t="s">
        <v>96</v>
      </c>
      <c r="K30" s="43" t="s">
        <v>623</v>
      </c>
      <c r="L30" s="43" t="s">
        <v>839</v>
      </c>
      <c r="M30" s="43" t="s">
        <v>840</v>
      </c>
      <c r="N30" s="43" t="s">
        <v>617</v>
      </c>
      <c r="O30" s="43" t="s">
        <v>626</v>
      </c>
      <c r="P30" s="43" t="s">
        <v>841</v>
      </c>
      <c r="Q30" s="43" t="s">
        <v>842</v>
      </c>
      <c r="R30" s="43"/>
      <c r="S30" s="43" t="s">
        <v>629</v>
      </c>
      <c r="T30" s="43"/>
      <c r="U30" s="43"/>
      <c r="V30" s="43"/>
      <c r="W30" s="43"/>
      <c r="X30" s="43"/>
      <c r="Y30" s="43"/>
      <c r="Z30" s="43"/>
    </row>
    <row r="31" spans="1:26" ht="15.75" customHeight="1" x14ac:dyDescent="0.25">
      <c r="A31" s="43" t="s">
        <v>113</v>
      </c>
      <c r="B31" s="43" t="s">
        <v>843</v>
      </c>
      <c r="C31" s="43" t="s">
        <v>844</v>
      </c>
      <c r="D31" s="43" t="s">
        <v>617</v>
      </c>
      <c r="E31" s="43" t="s">
        <v>845</v>
      </c>
      <c r="F31" s="43" t="s">
        <v>619</v>
      </c>
      <c r="G31" s="43" t="s">
        <v>846</v>
      </c>
      <c r="H31" s="43" t="s">
        <v>621</v>
      </c>
      <c r="I31" s="43" t="s">
        <v>847</v>
      </c>
      <c r="J31" s="43" t="s">
        <v>89</v>
      </c>
      <c r="K31" s="43" t="s">
        <v>623</v>
      </c>
      <c r="L31" s="43" t="s">
        <v>680</v>
      </c>
      <c r="M31" s="43" t="s">
        <v>617</v>
      </c>
      <c r="N31" s="43" t="s">
        <v>617</v>
      </c>
      <c r="O31" s="43" t="s">
        <v>626</v>
      </c>
      <c r="P31" s="43" t="s">
        <v>714</v>
      </c>
      <c r="Q31" s="43" t="s">
        <v>848</v>
      </c>
      <c r="R31" s="43"/>
      <c r="S31" s="43" t="s">
        <v>730</v>
      </c>
      <c r="T31" s="43"/>
      <c r="U31" s="43"/>
      <c r="V31" s="43"/>
      <c r="W31" s="43"/>
      <c r="X31" s="43"/>
      <c r="Y31" s="43"/>
      <c r="Z31" s="43"/>
    </row>
    <row r="32" spans="1:26" ht="15.75" customHeight="1" x14ac:dyDescent="0.25">
      <c r="A32" s="43" t="s">
        <v>114</v>
      </c>
      <c r="B32" s="43" t="s">
        <v>849</v>
      </c>
      <c r="C32" s="43" t="s">
        <v>850</v>
      </c>
      <c r="D32" s="43" t="s">
        <v>617</v>
      </c>
      <c r="E32" s="43" t="s">
        <v>851</v>
      </c>
      <c r="F32" s="43" t="s">
        <v>619</v>
      </c>
      <c r="G32" s="43" t="s">
        <v>852</v>
      </c>
      <c r="H32" s="43" t="s">
        <v>621</v>
      </c>
      <c r="I32" s="43" t="s">
        <v>853</v>
      </c>
      <c r="J32" s="43" t="s">
        <v>87</v>
      </c>
      <c r="K32" s="43" t="s">
        <v>623</v>
      </c>
      <c r="L32" s="43" t="s">
        <v>854</v>
      </c>
      <c r="M32" s="43" t="s">
        <v>855</v>
      </c>
      <c r="N32" s="43" t="s">
        <v>617</v>
      </c>
      <c r="O32" s="43" t="s">
        <v>626</v>
      </c>
      <c r="P32" s="43" t="s">
        <v>714</v>
      </c>
      <c r="Q32" s="43" t="s">
        <v>856</v>
      </c>
      <c r="R32" s="43"/>
      <c r="S32" s="43" t="s">
        <v>648</v>
      </c>
      <c r="T32" s="43"/>
      <c r="U32" s="43"/>
      <c r="V32" s="43"/>
      <c r="W32" s="43"/>
      <c r="X32" s="43"/>
      <c r="Y32" s="43"/>
      <c r="Z32" s="43"/>
    </row>
    <row r="33" spans="1:26" ht="15.75" customHeight="1" x14ac:dyDescent="0.25">
      <c r="A33" s="43" t="s">
        <v>115</v>
      </c>
      <c r="B33" s="43" t="s">
        <v>857</v>
      </c>
      <c r="C33" s="43" t="s">
        <v>858</v>
      </c>
      <c r="D33" s="43" t="s">
        <v>617</v>
      </c>
      <c r="E33" s="43" t="s">
        <v>859</v>
      </c>
      <c r="F33" s="43" t="s">
        <v>619</v>
      </c>
      <c r="G33" s="43" t="s">
        <v>860</v>
      </c>
      <c r="H33" s="43" t="s">
        <v>653</v>
      </c>
      <c r="I33" s="43" t="s">
        <v>861</v>
      </c>
      <c r="J33" s="43" t="s">
        <v>84</v>
      </c>
      <c r="K33" s="43" t="s">
        <v>623</v>
      </c>
      <c r="L33" s="43" t="s">
        <v>862</v>
      </c>
      <c r="M33" s="43" t="s">
        <v>780</v>
      </c>
      <c r="N33" s="43" t="s">
        <v>617</v>
      </c>
      <c r="O33" s="43" t="s">
        <v>626</v>
      </c>
      <c r="P33" s="43" t="s">
        <v>781</v>
      </c>
      <c r="Q33" s="43" t="s">
        <v>863</v>
      </c>
      <c r="R33" s="43"/>
      <c r="S33" s="43" t="s">
        <v>730</v>
      </c>
      <c r="T33" s="43"/>
      <c r="U33" s="43"/>
      <c r="V33" s="43"/>
      <c r="W33" s="43"/>
      <c r="X33" s="43"/>
      <c r="Y33" s="43"/>
      <c r="Z33" s="43"/>
    </row>
    <row r="34" spans="1:26" ht="15.75" customHeight="1" x14ac:dyDescent="0.25">
      <c r="A34" s="43" t="s">
        <v>116</v>
      </c>
      <c r="B34" s="43" t="s">
        <v>864</v>
      </c>
      <c r="C34" s="43" t="s">
        <v>865</v>
      </c>
      <c r="D34" s="43" t="s">
        <v>617</v>
      </c>
      <c r="E34" s="43" t="s">
        <v>866</v>
      </c>
      <c r="F34" s="43" t="s">
        <v>619</v>
      </c>
      <c r="G34" s="43" t="s">
        <v>867</v>
      </c>
      <c r="H34" s="43" t="s">
        <v>653</v>
      </c>
      <c r="I34" s="43" t="s">
        <v>868</v>
      </c>
      <c r="J34" s="43" t="s">
        <v>89</v>
      </c>
      <c r="K34" s="43" t="s">
        <v>623</v>
      </c>
      <c r="L34" s="43" t="s">
        <v>655</v>
      </c>
      <c r="M34" s="43" t="s">
        <v>617</v>
      </c>
      <c r="N34" s="43" t="s">
        <v>617</v>
      </c>
      <c r="O34" s="43" t="s">
        <v>626</v>
      </c>
      <c r="P34" s="43" t="s">
        <v>656</v>
      </c>
      <c r="Q34" s="43" t="s">
        <v>869</v>
      </c>
      <c r="R34" s="43"/>
      <c r="S34" s="43" t="s">
        <v>629</v>
      </c>
      <c r="T34" s="43"/>
      <c r="U34" s="43"/>
      <c r="V34" s="43"/>
      <c r="W34" s="43"/>
      <c r="X34" s="43"/>
      <c r="Y34" s="43"/>
      <c r="Z34" s="43"/>
    </row>
    <row r="35" spans="1:26" ht="15.75" customHeight="1" x14ac:dyDescent="0.25">
      <c r="A35" s="43" t="s">
        <v>117</v>
      </c>
      <c r="B35" s="43" t="s">
        <v>870</v>
      </c>
      <c r="C35" s="43" t="s">
        <v>871</v>
      </c>
      <c r="D35" s="43" t="s">
        <v>617</v>
      </c>
      <c r="E35" s="43" t="s">
        <v>872</v>
      </c>
      <c r="F35" s="43" t="s">
        <v>619</v>
      </c>
      <c r="G35" s="43" t="s">
        <v>873</v>
      </c>
      <c r="H35" s="43" t="s">
        <v>653</v>
      </c>
      <c r="I35" s="43" t="s">
        <v>874</v>
      </c>
      <c r="J35" s="43" t="s">
        <v>85</v>
      </c>
      <c r="K35" s="43" t="s">
        <v>623</v>
      </c>
      <c r="L35" s="43" t="s">
        <v>617</v>
      </c>
      <c r="M35" s="43" t="s">
        <v>617</v>
      </c>
      <c r="N35" s="43" t="s">
        <v>617</v>
      </c>
      <c r="O35" s="43" t="s">
        <v>626</v>
      </c>
      <c r="P35" s="43" t="s">
        <v>875</v>
      </c>
      <c r="Q35" s="43" t="s">
        <v>876</v>
      </c>
      <c r="R35" s="43"/>
      <c r="S35" s="43" t="s">
        <v>629</v>
      </c>
      <c r="T35" s="43"/>
      <c r="U35" s="43"/>
      <c r="V35" s="43"/>
      <c r="W35" s="43"/>
      <c r="X35" s="43"/>
      <c r="Y35" s="43"/>
      <c r="Z35" s="43"/>
    </row>
    <row r="36" spans="1:26" ht="15.75" customHeight="1" x14ac:dyDescent="0.25">
      <c r="A36" s="43" t="s">
        <v>118</v>
      </c>
      <c r="B36" s="43" t="s">
        <v>877</v>
      </c>
      <c r="C36" s="43" t="s">
        <v>878</v>
      </c>
      <c r="D36" s="43" t="s">
        <v>617</v>
      </c>
      <c r="E36" s="43" t="s">
        <v>879</v>
      </c>
      <c r="F36" s="43" t="s">
        <v>619</v>
      </c>
      <c r="G36" s="43" t="s">
        <v>880</v>
      </c>
      <c r="H36" s="43" t="s">
        <v>735</v>
      </c>
      <c r="I36" s="43" t="s">
        <v>881</v>
      </c>
      <c r="J36" s="43" t="s">
        <v>84</v>
      </c>
      <c r="K36" s="43" t="s">
        <v>623</v>
      </c>
      <c r="L36" s="43" t="s">
        <v>663</v>
      </c>
      <c r="M36" s="43" t="s">
        <v>664</v>
      </c>
      <c r="N36" s="43" t="s">
        <v>617</v>
      </c>
      <c r="O36" s="43" t="s">
        <v>626</v>
      </c>
      <c r="P36" s="43" t="s">
        <v>665</v>
      </c>
      <c r="Q36" s="43" t="s">
        <v>882</v>
      </c>
      <c r="R36" s="43"/>
      <c r="S36" s="43" t="s">
        <v>648</v>
      </c>
      <c r="T36" s="43"/>
      <c r="U36" s="43"/>
      <c r="V36" s="43"/>
      <c r="W36" s="43"/>
      <c r="X36" s="43"/>
      <c r="Y36" s="43"/>
      <c r="Z36" s="43"/>
    </row>
    <row r="37" spans="1:26" ht="15.75" customHeight="1" x14ac:dyDescent="0.25">
      <c r="A37" s="43" t="s">
        <v>119</v>
      </c>
      <c r="B37" s="43" t="s">
        <v>883</v>
      </c>
      <c r="C37" s="43" t="s">
        <v>884</v>
      </c>
      <c r="D37" s="43" t="s">
        <v>885</v>
      </c>
      <c r="E37" s="43" t="s">
        <v>886</v>
      </c>
      <c r="F37" s="43" t="s">
        <v>619</v>
      </c>
      <c r="G37" s="43" t="s">
        <v>887</v>
      </c>
      <c r="H37" s="43" t="s">
        <v>888</v>
      </c>
      <c r="I37" s="43" t="s">
        <v>889</v>
      </c>
      <c r="J37" s="43" t="s">
        <v>90</v>
      </c>
      <c r="K37" s="43" t="s">
        <v>92</v>
      </c>
      <c r="L37" s="43" t="s">
        <v>890</v>
      </c>
      <c r="M37" s="43" t="s">
        <v>890</v>
      </c>
      <c r="N37" s="43" t="s">
        <v>885</v>
      </c>
      <c r="O37" s="43" t="s">
        <v>626</v>
      </c>
      <c r="P37" s="43" t="s">
        <v>891</v>
      </c>
      <c r="Q37" s="43" t="s">
        <v>892</v>
      </c>
      <c r="R37" s="43"/>
      <c r="S37" s="43" t="s">
        <v>893</v>
      </c>
      <c r="T37" s="43"/>
      <c r="U37" s="43"/>
      <c r="V37" s="43"/>
      <c r="W37" s="43"/>
      <c r="X37" s="43"/>
      <c r="Y37" s="43"/>
      <c r="Z37" s="43"/>
    </row>
    <row r="38" spans="1:26" ht="15.75" customHeight="1" x14ac:dyDescent="0.25">
      <c r="A38" s="43" t="s">
        <v>120</v>
      </c>
      <c r="B38" s="43" t="s">
        <v>894</v>
      </c>
      <c r="C38" s="43" t="s">
        <v>895</v>
      </c>
      <c r="D38" s="43" t="s">
        <v>617</v>
      </c>
      <c r="E38" s="43" t="s">
        <v>806</v>
      </c>
      <c r="F38" s="43" t="s">
        <v>619</v>
      </c>
      <c r="G38" s="43" t="s">
        <v>896</v>
      </c>
      <c r="H38" s="43" t="s">
        <v>653</v>
      </c>
      <c r="I38" s="43" t="s">
        <v>897</v>
      </c>
      <c r="J38" s="43" t="s">
        <v>85</v>
      </c>
      <c r="K38" s="43" t="s">
        <v>623</v>
      </c>
      <c r="L38" s="43" t="s">
        <v>898</v>
      </c>
      <c r="M38" s="43" t="s">
        <v>794</v>
      </c>
      <c r="N38" s="43" t="s">
        <v>617</v>
      </c>
      <c r="O38" s="43" t="s">
        <v>626</v>
      </c>
      <c r="P38" s="43" t="s">
        <v>899</v>
      </c>
      <c r="Q38" s="43" t="s">
        <v>900</v>
      </c>
      <c r="R38" s="43"/>
      <c r="S38" s="43" t="s">
        <v>893</v>
      </c>
      <c r="T38" s="43"/>
      <c r="U38" s="43"/>
      <c r="V38" s="43"/>
      <c r="W38" s="43"/>
      <c r="X38" s="43"/>
      <c r="Y38" s="43"/>
      <c r="Z38" s="43"/>
    </row>
    <row r="39" spans="1:26" ht="15.75" customHeight="1" x14ac:dyDescent="0.25">
      <c r="A39" s="43" t="s">
        <v>121</v>
      </c>
      <c r="B39" s="43" t="s">
        <v>901</v>
      </c>
      <c r="C39" s="43" t="s">
        <v>902</v>
      </c>
      <c r="D39" s="43" t="s">
        <v>617</v>
      </c>
      <c r="E39" s="43" t="s">
        <v>903</v>
      </c>
      <c r="F39" s="43" t="s">
        <v>619</v>
      </c>
      <c r="G39" s="43" t="s">
        <v>904</v>
      </c>
      <c r="H39" s="43" t="s">
        <v>653</v>
      </c>
      <c r="I39" s="43" t="s">
        <v>905</v>
      </c>
      <c r="J39" s="43" t="s">
        <v>85</v>
      </c>
      <c r="K39" s="43" t="s">
        <v>623</v>
      </c>
      <c r="L39" s="43" t="s">
        <v>809</v>
      </c>
      <c r="M39" s="43" t="s">
        <v>744</v>
      </c>
      <c r="N39" s="43" t="s">
        <v>617</v>
      </c>
      <c r="O39" s="43" t="s">
        <v>626</v>
      </c>
      <c r="P39" s="43" t="s">
        <v>906</v>
      </c>
      <c r="Q39" s="43" t="s">
        <v>907</v>
      </c>
      <c r="R39" s="43"/>
      <c r="S39" s="43" t="s">
        <v>648</v>
      </c>
      <c r="T39" s="43"/>
      <c r="U39" s="43"/>
      <c r="V39" s="43"/>
      <c r="W39" s="43"/>
      <c r="X39" s="43"/>
      <c r="Y39" s="43"/>
      <c r="Z39" s="43"/>
    </row>
    <row r="40" spans="1:26" ht="15.75" customHeight="1" x14ac:dyDescent="0.25">
      <c r="A40" s="43" t="s">
        <v>122</v>
      </c>
      <c r="B40" s="43" t="s">
        <v>908</v>
      </c>
      <c r="C40" s="43" t="s">
        <v>909</v>
      </c>
      <c r="D40" s="43" t="s">
        <v>617</v>
      </c>
      <c r="E40" s="43" t="s">
        <v>910</v>
      </c>
      <c r="F40" s="43" t="s">
        <v>619</v>
      </c>
      <c r="G40" s="43" t="s">
        <v>911</v>
      </c>
      <c r="H40" s="43" t="s">
        <v>735</v>
      </c>
      <c r="I40" s="43" t="s">
        <v>912</v>
      </c>
      <c r="J40" s="43" t="s">
        <v>84</v>
      </c>
      <c r="K40" s="43" t="s">
        <v>623</v>
      </c>
      <c r="L40" s="43" t="s">
        <v>913</v>
      </c>
      <c r="M40" s="43" t="s">
        <v>914</v>
      </c>
      <c r="N40" s="43" t="s">
        <v>617</v>
      </c>
      <c r="O40" s="43" t="s">
        <v>626</v>
      </c>
      <c r="P40" s="43" t="s">
        <v>915</v>
      </c>
      <c r="Q40" s="43" t="s">
        <v>916</v>
      </c>
      <c r="R40" s="43"/>
      <c r="S40" s="43" t="s">
        <v>629</v>
      </c>
      <c r="T40" s="43"/>
      <c r="U40" s="43"/>
      <c r="V40" s="43"/>
      <c r="W40" s="43"/>
      <c r="X40" s="43"/>
      <c r="Y40" s="43"/>
      <c r="Z40" s="43"/>
    </row>
    <row r="41" spans="1:26" ht="15.75" customHeight="1" x14ac:dyDescent="0.25">
      <c r="A41" s="43" t="s">
        <v>123</v>
      </c>
      <c r="B41" s="43" t="s">
        <v>917</v>
      </c>
      <c r="C41" s="43" t="s">
        <v>918</v>
      </c>
      <c r="D41" s="43" t="s">
        <v>617</v>
      </c>
      <c r="E41" s="43" t="s">
        <v>919</v>
      </c>
      <c r="F41" s="43" t="s">
        <v>619</v>
      </c>
      <c r="G41" s="43" t="s">
        <v>920</v>
      </c>
      <c r="H41" s="43" t="s">
        <v>735</v>
      </c>
      <c r="I41" s="43" t="s">
        <v>921</v>
      </c>
      <c r="J41" s="43" t="s">
        <v>85</v>
      </c>
      <c r="K41" s="43" t="s">
        <v>623</v>
      </c>
      <c r="L41" s="43" t="s">
        <v>624</v>
      </c>
      <c r="M41" s="43" t="s">
        <v>625</v>
      </c>
      <c r="N41" s="43" t="s">
        <v>617</v>
      </c>
      <c r="O41" s="43" t="s">
        <v>626</v>
      </c>
      <c r="P41" s="43" t="s">
        <v>637</v>
      </c>
      <c r="Q41" s="43" t="s">
        <v>922</v>
      </c>
      <c r="R41" s="43"/>
      <c r="S41" s="43" t="s">
        <v>648</v>
      </c>
      <c r="T41" s="43"/>
      <c r="U41" s="43"/>
      <c r="V41" s="43"/>
      <c r="W41" s="43"/>
      <c r="X41" s="43"/>
      <c r="Y41" s="43"/>
      <c r="Z41" s="43"/>
    </row>
    <row r="42" spans="1:26" ht="15.75" customHeight="1" x14ac:dyDescent="0.25">
      <c r="A42" s="43" t="s">
        <v>124</v>
      </c>
      <c r="B42" s="43" t="s">
        <v>923</v>
      </c>
      <c r="C42" s="43" t="s">
        <v>924</v>
      </c>
      <c r="D42" s="43" t="s">
        <v>617</v>
      </c>
      <c r="E42" s="43" t="s">
        <v>925</v>
      </c>
      <c r="F42" s="43" t="s">
        <v>619</v>
      </c>
      <c r="G42" s="43" t="s">
        <v>926</v>
      </c>
      <c r="H42" s="43" t="s">
        <v>653</v>
      </c>
      <c r="I42" s="43" t="s">
        <v>927</v>
      </c>
      <c r="J42" s="43" t="s">
        <v>928</v>
      </c>
      <c r="K42" s="43" t="s">
        <v>623</v>
      </c>
      <c r="L42" s="43" t="s">
        <v>854</v>
      </c>
      <c r="M42" s="43" t="s">
        <v>855</v>
      </c>
      <c r="N42" s="43" t="s">
        <v>617</v>
      </c>
      <c r="O42" s="43" t="s">
        <v>626</v>
      </c>
      <c r="P42" s="43" t="s">
        <v>929</v>
      </c>
      <c r="Q42" s="43" t="s">
        <v>930</v>
      </c>
      <c r="R42" s="43"/>
      <c r="S42" s="43" t="s">
        <v>629</v>
      </c>
      <c r="T42" s="43"/>
      <c r="U42" s="43"/>
      <c r="V42" s="43"/>
      <c r="W42" s="43"/>
      <c r="X42" s="43"/>
      <c r="Y42" s="43"/>
      <c r="Z42" s="43"/>
    </row>
    <row r="43" spans="1:26" ht="15.75" customHeight="1" x14ac:dyDescent="0.25">
      <c r="A43" s="43" t="s">
        <v>125</v>
      </c>
      <c r="B43" s="43" t="s">
        <v>931</v>
      </c>
      <c r="C43" s="43" t="s">
        <v>932</v>
      </c>
      <c r="D43" s="43" t="s">
        <v>617</v>
      </c>
      <c r="E43" s="43" t="s">
        <v>933</v>
      </c>
      <c r="F43" s="43" t="s">
        <v>619</v>
      </c>
      <c r="G43" s="43" t="s">
        <v>934</v>
      </c>
      <c r="H43" s="43" t="s">
        <v>653</v>
      </c>
      <c r="I43" s="43" t="s">
        <v>935</v>
      </c>
      <c r="J43" s="43" t="s">
        <v>85</v>
      </c>
      <c r="K43" s="43" t="s">
        <v>623</v>
      </c>
      <c r="L43" s="43" t="s">
        <v>680</v>
      </c>
      <c r="M43" s="43" t="s">
        <v>617</v>
      </c>
      <c r="N43" s="43" t="s">
        <v>617</v>
      </c>
      <c r="O43" s="43" t="s">
        <v>626</v>
      </c>
      <c r="P43" s="43" t="s">
        <v>714</v>
      </c>
      <c r="Q43" s="43" t="s">
        <v>936</v>
      </c>
      <c r="R43" s="43"/>
      <c r="S43" s="43" t="s">
        <v>893</v>
      </c>
      <c r="T43" s="43"/>
      <c r="U43" s="43"/>
      <c r="V43" s="43"/>
      <c r="W43" s="43"/>
      <c r="X43" s="43"/>
      <c r="Y43" s="43"/>
      <c r="Z43" s="43"/>
    </row>
    <row r="44" spans="1:26" ht="15.75" customHeight="1" x14ac:dyDescent="0.25">
      <c r="A44" s="43" t="s">
        <v>126</v>
      </c>
      <c r="B44" s="43" t="s">
        <v>937</v>
      </c>
      <c r="C44" s="43" t="s">
        <v>938</v>
      </c>
      <c r="D44" s="43" t="s">
        <v>617</v>
      </c>
      <c r="E44" s="43" t="s">
        <v>939</v>
      </c>
      <c r="F44" s="43" t="s">
        <v>619</v>
      </c>
      <c r="G44" s="43" t="s">
        <v>940</v>
      </c>
      <c r="H44" s="43" t="s">
        <v>653</v>
      </c>
      <c r="I44" s="43" t="s">
        <v>941</v>
      </c>
      <c r="J44" s="43" t="s">
        <v>90</v>
      </c>
      <c r="K44" s="43" t="s">
        <v>623</v>
      </c>
      <c r="L44" s="43" t="s">
        <v>743</v>
      </c>
      <c r="M44" s="43" t="s">
        <v>744</v>
      </c>
      <c r="N44" s="43" t="s">
        <v>617</v>
      </c>
      <c r="O44" s="43" t="s">
        <v>626</v>
      </c>
      <c r="P44" s="43" t="s">
        <v>627</v>
      </c>
      <c r="Q44" s="43" t="s">
        <v>942</v>
      </c>
      <c r="R44" s="43"/>
      <c r="S44" s="43" t="s">
        <v>629</v>
      </c>
      <c r="T44" s="43"/>
      <c r="U44" s="43"/>
      <c r="V44" s="43"/>
      <c r="W44" s="43"/>
      <c r="X44" s="43"/>
      <c r="Y44" s="43"/>
      <c r="Z44" s="43"/>
    </row>
    <row r="45" spans="1:26" ht="15.75" customHeight="1" x14ac:dyDescent="0.25">
      <c r="A45" s="43" t="s">
        <v>127</v>
      </c>
      <c r="B45" s="43" t="s">
        <v>943</v>
      </c>
      <c r="C45" s="43" t="s">
        <v>944</v>
      </c>
      <c r="D45" s="43" t="s">
        <v>617</v>
      </c>
      <c r="E45" s="43" t="s">
        <v>886</v>
      </c>
      <c r="F45" s="43" t="s">
        <v>619</v>
      </c>
      <c r="G45" s="43" t="s">
        <v>945</v>
      </c>
      <c r="H45" s="43" t="s">
        <v>653</v>
      </c>
      <c r="I45" s="43" t="s">
        <v>941</v>
      </c>
      <c r="J45" s="43" t="s">
        <v>91</v>
      </c>
      <c r="K45" s="43" t="s">
        <v>623</v>
      </c>
      <c r="L45" s="43" t="s">
        <v>743</v>
      </c>
      <c r="M45" s="43" t="s">
        <v>744</v>
      </c>
      <c r="N45" s="43" t="s">
        <v>617</v>
      </c>
      <c r="O45" s="43" t="s">
        <v>626</v>
      </c>
      <c r="P45" s="43" t="s">
        <v>810</v>
      </c>
      <c r="Q45" s="43" t="s">
        <v>946</v>
      </c>
      <c r="R45" s="43"/>
      <c r="S45" s="43" t="s">
        <v>629</v>
      </c>
      <c r="T45" s="43"/>
      <c r="U45" s="43"/>
      <c r="V45" s="43"/>
      <c r="W45" s="43"/>
      <c r="X45" s="43"/>
      <c r="Y45" s="43"/>
      <c r="Z45" s="43"/>
    </row>
    <row r="46" spans="1:26" ht="15.75" customHeight="1" x14ac:dyDescent="0.25">
      <c r="A46" s="43" t="s">
        <v>128</v>
      </c>
      <c r="B46" s="43" t="s">
        <v>947</v>
      </c>
      <c r="C46" s="43" t="s">
        <v>948</v>
      </c>
      <c r="D46" s="43" t="s">
        <v>949</v>
      </c>
      <c r="E46" s="43" t="s">
        <v>925</v>
      </c>
      <c r="F46" s="43" t="s">
        <v>619</v>
      </c>
      <c r="G46" s="43" t="s">
        <v>950</v>
      </c>
      <c r="H46" s="43" t="s">
        <v>888</v>
      </c>
      <c r="I46" s="43" t="s">
        <v>951</v>
      </c>
      <c r="J46" s="43" t="s">
        <v>85</v>
      </c>
      <c r="K46" s="43"/>
      <c r="L46" s="43" t="s">
        <v>617</v>
      </c>
      <c r="M46" s="43" t="s">
        <v>617</v>
      </c>
      <c r="N46" s="43" t="s">
        <v>617</v>
      </c>
      <c r="O46" s="43" t="s">
        <v>626</v>
      </c>
      <c r="P46" s="43" t="s">
        <v>952</v>
      </c>
      <c r="Q46" s="43" t="s">
        <v>953</v>
      </c>
      <c r="R46" s="43"/>
      <c r="S46" s="43" t="s">
        <v>893</v>
      </c>
      <c r="T46" s="43"/>
      <c r="U46" s="43"/>
      <c r="V46" s="43"/>
      <c r="W46" s="43"/>
      <c r="X46" s="43"/>
      <c r="Y46" s="43"/>
      <c r="Z46" s="43"/>
    </row>
    <row r="47" spans="1:26" ht="15.75" customHeight="1" x14ac:dyDescent="0.25">
      <c r="A47" s="43" t="s">
        <v>129</v>
      </c>
      <c r="B47" s="43" t="s">
        <v>954</v>
      </c>
      <c r="C47" s="43" t="s">
        <v>955</v>
      </c>
      <c r="D47" s="43" t="s">
        <v>617</v>
      </c>
      <c r="E47" s="43" t="s">
        <v>859</v>
      </c>
      <c r="F47" s="43" t="s">
        <v>619</v>
      </c>
      <c r="G47" s="43" t="s">
        <v>956</v>
      </c>
      <c r="H47" s="43" t="s">
        <v>653</v>
      </c>
      <c r="I47" s="43" t="s">
        <v>957</v>
      </c>
      <c r="J47" s="43" t="s">
        <v>89</v>
      </c>
      <c r="K47" s="43" t="s">
        <v>623</v>
      </c>
      <c r="L47" s="43" t="s">
        <v>958</v>
      </c>
      <c r="M47" s="43" t="s">
        <v>855</v>
      </c>
      <c r="N47" s="43" t="s">
        <v>617</v>
      </c>
      <c r="O47" s="43" t="s">
        <v>626</v>
      </c>
      <c r="P47" s="43" t="s">
        <v>646</v>
      </c>
      <c r="Q47" s="43" t="s">
        <v>959</v>
      </c>
      <c r="R47" s="43"/>
      <c r="S47" s="43" t="s">
        <v>629</v>
      </c>
      <c r="T47" s="43"/>
      <c r="U47" s="43"/>
      <c r="V47" s="43"/>
      <c r="W47" s="43"/>
      <c r="X47" s="43"/>
      <c r="Y47" s="43"/>
      <c r="Z47" s="43"/>
    </row>
    <row r="48" spans="1:26" ht="15.75" customHeight="1" x14ac:dyDescent="0.25">
      <c r="A48" s="43" t="s">
        <v>130</v>
      </c>
      <c r="B48" s="43" t="s">
        <v>960</v>
      </c>
      <c r="C48" s="43" t="s">
        <v>961</v>
      </c>
      <c r="D48" s="43" t="s">
        <v>962</v>
      </c>
      <c r="E48" s="43" t="s">
        <v>785</v>
      </c>
      <c r="F48" s="43" t="s">
        <v>619</v>
      </c>
      <c r="G48" s="43" t="s">
        <v>963</v>
      </c>
      <c r="H48" s="43" t="s">
        <v>964</v>
      </c>
      <c r="I48" s="43" t="s">
        <v>965</v>
      </c>
      <c r="J48" s="43" t="s">
        <v>84</v>
      </c>
      <c r="K48" s="43" t="s">
        <v>623</v>
      </c>
      <c r="L48" s="43" t="s">
        <v>966</v>
      </c>
      <c r="M48" s="43" t="s">
        <v>645</v>
      </c>
      <c r="N48" s="43" t="s">
        <v>617</v>
      </c>
      <c r="O48" s="43" t="s">
        <v>626</v>
      </c>
      <c r="P48" s="43" t="s">
        <v>967</v>
      </c>
      <c r="Q48" s="43" t="s">
        <v>968</v>
      </c>
      <c r="R48" s="43"/>
      <c r="S48" s="43" t="s">
        <v>629</v>
      </c>
      <c r="T48" s="43"/>
      <c r="U48" s="43"/>
      <c r="V48" s="43"/>
      <c r="W48" s="43"/>
      <c r="X48" s="43"/>
      <c r="Y48" s="43"/>
      <c r="Z48" s="43"/>
    </row>
    <row r="49" spans="1:26" ht="15.75" customHeight="1" x14ac:dyDescent="0.25">
      <c r="A49" s="43" t="s">
        <v>131</v>
      </c>
      <c r="B49" s="43" t="s">
        <v>969</v>
      </c>
      <c r="C49" s="43" t="s">
        <v>970</v>
      </c>
      <c r="D49" s="43" t="s">
        <v>962</v>
      </c>
      <c r="E49" s="43" t="s">
        <v>971</v>
      </c>
      <c r="F49" s="43" t="s">
        <v>619</v>
      </c>
      <c r="G49" s="43" t="s">
        <v>972</v>
      </c>
      <c r="H49" s="43" t="s">
        <v>735</v>
      </c>
      <c r="I49" s="43" t="s">
        <v>973</v>
      </c>
      <c r="J49" s="43" t="s">
        <v>85</v>
      </c>
      <c r="K49" s="43" t="s">
        <v>623</v>
      </c>
      <c r="L49" s="43" t="s">
        <v>680</v>
      </c>
      <c r="M49" s="43" t="s">
        <v>617</v>
      </c>
      <c r="N49" s="43" t="s">
        <v>617</v>
      </c>
      <c r="O49" s="43" t="s">
        <v>626</v>
      </c>
      <c r="P49" s="43" t="s">
        <v>974</v>
      </c>
      <c r="Q49" s="43" t="s">
        <v>975</v>
      </c>
      <c r="R49" s="43"/>
      <c r="S49" s="43" t="s">
        <v>629</v>
      </c>
      <c r="T49" s="43"/>
      <c r="U49" s="43"/>
      <c r="V49" s="43"/>
      <c r="W49" s="43"/>
      <c r="X49" s="43"/>
      <c r="Y49" s="43"/>
      <c r="Z49" s="43"/>
    </row>
    <row r="50" spans="1:26" ht="15.75" customHeight="1" x14ac:dyDescent="0.25">
      <c r="A50" s="43" t="s">
        <v>132</v>
      </c>
      <c r="B50" s="43" t="s">
        <v>976</v>
      </c>
      <c r="C50" s="43" t="s">
        <v>977</v>
      </c>
      <c r="D50" s="43" t="s">
        <v>617</v>
      </c>
      <c r="E50" s="43" t="s">
        <v>978</v>
      </c>
      <c r="F50" s="43" t="s">
        <v>619</v>
      </c>
      <c r="G50" s="43" t="s">
        <v>979</v>
      </c>
      <c r="H50" s="43" t="s">
        <v>642</v>
      </c>
      <c r="I50" s="43" t="s">
        <v>980</v>
      </c>
      <c r="J50" s="43" t="s">
        <v>89</v>
      </c>
      <c r="K50" s="43" t="s">
        <v>623</v>
      </c>
      <c r="L50" s="43" t="s">
        <v>981</v>
      </c>
      <c r="M50" s="43" t="s">
        <v>794</v>
      </c>
      <c r="N50" s="43" t="s">
        <v>617</v>
      </c>
      <c r="O50" s="43" t="s">
        <v>626</v>
      </c>
      <c r="P50" s="43" t="s">
        <v>982</v>
      </c>
      <c r="Q50" s="43" t="s">
        <v>983</v>
      </c>
      <c r="R50" s="43"/>
      <c r="S50" s="43" t="s">
        <v>648</v>
      </c>
      <c r="T50" s="43"/>
      <c r="U50" s="43"/>
      <c r="V50" s="43"/>
      <c r="W50" s="43"/>
      <c r="X50" s="43"/>
      <c r="Y50" s="43"/>
      <c r="Z50" s="43"/>
    </row>
    <row r="51" spans="1:26" ht="15.75" customHeight="1" x14ac:dyDescent="0.25">
      <c r="A51" s="43" t="s">
        <v>133</v>
      </c>
      <c r="B51" s="43" t="s">
        <v>984</v>
      </c>
      <c r="C51" s="43" t="s">
        <v>985</v>
      </c>
      <c r="D51" s="43" t="s">
        <v>617</v>
      </c>
      <c r="E51" s="43" t="s">
        <v>986</v>
      </c>
      <c r="F51" s="43" t="s">
        <v>619</v>
      </c>
      <c r="G51" s="43" t="s">
        <v>987</v>
      </c>
      <c r="H51" s="43" t="s">
        <v>653</v>
      </c>
      <c r="I51" s="43" t="s">
        <v>988</v>
      </c>
      <c r="J51" s="43" t="s">
        <v>86</v>
      </c>
      <c r="K51" s="43" t="s">
        <v>623</v>
      </c>
      <c r="L51" s="43" t="s">
        <v>680</v>
      </c>
      <c r="M51" s="43" t="s">
        <v>617</v>
      </c>
      <c r="N51" s="43" t="s">
        <v>617</v>
      </c>
      <c r="O51" s="43" t="s">
        <v>626</v>
      </c>
      <c r="P51" s="43" t="s">
        <v>656</v>
      </c>
      <c r="Q51" s="43" t="s">
        <v>989</v>
      </c>
      <c r="R51" s="43"/>
      <c r="S51" s="43" t="s">
        <v>629</v>
      </c>
      <c r="T51" s="43"/>
      <c r="U51" s="43"/>
      <c r="V51" s="43"/>
      <c r="W51" s="43"/>
      <c r="X51" s="43"/>
      <c r="Y51" s="43"/>
      <c r="Z51" s="43"/>
    </row>
    <row r="52" spans="1:26" ht="15.75" customHeight="1" x14ac:dyDescent="0.25">
      <c r="A52" s="43" t="s">
        <v>134</v>
      </c>
      <c r="B52" s="43" t="s">
        <v>990</v>
      </c>
      <c r="C52" s="43" t="s">
        <v>991</v>
      </c>
      <c r="D52" s="43" t="s">
        <v>617</v>
      </c>
      <c r="E52" s="43" t="s">
        <v>992</v>
      </c>
      <c r="F52" s="43" t="s">
        <v>619</v>
      </c>
      <c r="G52" s="43" t="s">
        <v>993</v>
      </c>
      <c r="H52" s="43" t="s">
        <v>621</v>
      </c>
      <c r="I52" s="43" t="s">
        <v>994</v>
      </c>
      <c r="J52" s="43" t="s">
        <v>86</v>
      </c>
      <c r="K52" s="43" t="s">
        <v>623</v>
      </c>
      <c r="L52" s="43" t="s">
        <v>809</v>
      </c>
      <c r="M52" s="43" t="s">
        <v>744</v>
      </c>
      <c r="N52" s="43" t="s">
        <v>617</v>
      </c>
      <c r="O52" s="43" t="s">
        <v>626</v>
      </c>
      <c r="P52" s="43" t="s">
        <v>714</v>
      </c>
      <c r="Q52" s="43" t="s">
        <v>995</v>
      </c>
      <c r="R52" s="43"/>
      <c r="S52" s="43" t="s">
        <v>629</v>
      </c>
      <c r="T52" s="43"/>
      <c r="U52" s="43"/>
      <c r="V52" s="43"/>
      <c r="W52" s="43"/>
      <c r="X52" s="43"/>
      <c r="Y52" s="43"/>
      <c r="Z52" s="43"/>
    </row>
    <row r="53" spans="1:26" ht="15.75" customHeight="1" x14ac:dyDescent="0.25">
      <c r="A53" s="43" t="s">
        <v>135</v>
      </c>
      <c r="B53" s="43" t="s">
        <v>996</v>
      </c>
      <c r="C53" s="43" t="s">
        <v>997</v>
      </c>
      <c r="D53" s="43" t="s">
        <v>617</v>
      </c>
      <c r="E53" s="43" t="s">
        <v>998</v>
      </c>
      <c r="F53" s="43" t="s">
        <v>619</v>
      </c>
      <c r="G53" s="43" t="s">
        <v>999</v>
      </c>
      <c r="H53" s="43" t="s">
        <v>653</v>
      </c>
      <c r="I53" s="43" t="s">
        <v>1000</v>
      </c>
      <c r="J53" s="43" t="s">
        <v>85</v>
      </c>
      <c r="K53" s="43" t="s">
        <v>623</v>
      </c>
      <c r="L53" s="43" t="s">
        <v>1001</v>
      </c>
      <c r="M53" s="43" t="s">
        <v>744</v>
      </c>
      <c r="N53" s="43" t="s">
        <v>617</v>
      </c>
      <c r="O53" s="43" t="s">
        <v>626</v>
      </c>
      <c r="P53" s="43" t="s">
        <v>906</v>
      </c>
      <c r="Q53" s="43" t="s">
        <v>1002</v>
      </c>
      <c r="R53" s="43"/>
      <c r="S53" s="43" t="s">
        <v>893</v>
      </c>
      <c r="T53" s="43"/>
      <c r="U53" s="43"/>
      <c r="V53" s="43"/>
      <c r="W53" s="43"/>
      <c r="X53" s="43"/>
      <c r="Y53" s="43"/>
      <c r="Z53" s="43"/>
    </row>
    <row r="54" spans="1:26" ht="15.75" customHeight="1" x14ac:dyDescent="0.25">
      <c r="A54" s="43" t="s">
        <v>136</v>
      </c>
      <c r="B54" s="43" t="s">
        <v>1003</v>
      </c>
      <c r="C54" s="43" t="s">
        <v>1004</v>
      </c>
      <c r="D54" s="43" t="s">
        <v>617</v>
      </c>
      <c r="E54" s="43" t="s">
        <v>1005</v>
      </c>
      <c r="F54" s="43" t="s">
        <v>619</v>
      </c>
      <c r="G54" s="43" t="s">
        <v>1006</v>
      </c>
      <c r="H54" s="43" t="s">
        <v>735</v>
      </c>
      <c r="I54" s="43" t="s">
        <v>1007</v>
      </c>
      <c r="J54" s="43" t="s">
        <v>89</v>
      </c>
      <c r="K54" s="43" t="s">
        <v>623</v>
      </c>
      <c r="L54" s="43" t="s">
        <v>854</v>
      </c>
      <c r="M54" s="43" t="s">
        <v>855</v>
      </c>
      <c r="N54" s="43" t="s">
        <v>617</v>
      </c>
      <c r="O54" s="43" t="s">
        <v>626</v>
      </c>
      <c r="P54" s="43" t="s">
        <v>1008</v>
      </c>
      <c r="Q54" s="43" t="s">
        <v>1009</v>
      </c>
      <c r="R54" s="43"/>
      <c r="S54" s="43" t="s">
        <v>648</v>
      </c>
      <c r="T54" s="43"/>
      <c r="U54" s="43"/>
      <c r="V54" s="43"/>
      <c r="W54" s="43"/>
      <c r="X54" s="43"/>
      <c r="Y54" s="43"/>
      <c r="Z54" s="43"/>
    </row>
    <row r="55" spans="1:26" ht="15.75" customHeight="1" x14ac:dyDescent="0.25">
      <c r="A55" s="43" t="s">
        <v>137</v>
      </c>
      <c r="B55" s="43" t="s">
        <v>1010</v>
      </c>
      <c r="C55" s="43" t="s">
        <v>1011</v>
      </c>
      <c r="D55" s="43" t="s">
        <v>617</v>
      </c>
      <c r="E55" s="43" t="s">
        <v>1012</v>
      </c>
      <c r="F55" s="43" t="s">
        <v>619</v>
      </c>
      <c r="G55" s="43" t="s">
        <v>1013</v>
      </c>
      <c r="H55" s="43" t="s">
        <v>735</v>
      </c>
      <c r="I55" s="43" t="s">
        <v>1014</v>
      </c>
      <c r="J55" s="43" t="s">
        <v>85</v>
      </c>
      <c r="K55" s="43" t="s">
        <v>623</v>
      </c>
      <c r="L55" s="43" t="s">
        <v>913</v>
      </c>
      <c r="M55" s="43" t="s">
        <v>914</v>
      </c>
      <c r="N55" s="43" t="s">
        <v>617</v>
      </c>
      <c r="O55" s="43" t="s">
        <v>626</v>
      </c>
      <c r="P55" s="43" t="s">
        <v>1015</v>
      </c>
      <c r="Q55" s="43" t="s">
        <v>1016</v>
      </c>
      <c r="R55" s="43"/>
      <c r="S55" s="43" t="s">
        <v>629</v>
      </c>
      <c r="T55" s="43"/>
      <c r="U55" s="43"/>
      <c r="V55" s="43"/>
      <c r="W55" s="43"/>
      <c r="X55" s="43"/>
      <c r="Y55" s="43"/>
      <c r="Z55" s="43"/>
    </row>
    <row r="56" spans="1:26" ht="15.75" customHeight="1" x14ac:dyDescent="0.25">
      <c r="A56" s="43" t="s">
        <v>138</v>
      </c>
      <c r="B56" s="43" t="s">
        <v>1017</v>
      </c>
      <c r="C56" s="43" t="s">
        <v>1018</v>
      </c>
      <c r="D56" s="43" t="s">
        <v>617</v>
      </c>
      <c r="E56" s="43" t="s">
        <v>1019</v>
      </c>
      <c r="F56" s="43" t="s">
        <v>619</v>
      </c>
      <c r="G56" s="43" t="s">
        <v>1020</v>
      </c>
      <c r="H56" s="43" t="s">
        <v>653</v>
      </c>
      <c r="I56" s="43" t="s">
        <v>1021</v>
      </c>
      <c r="J56" s="43" t="s">
        <v>84</v>
      </c>
      <c r="K56" s="43" t="s">
        <v>623</v>
      </c>
      <c r="L56" s="43" t="s">
        <v>655</v>
      </c>
      <c r="M56" s="43" t="s">
        <v>617</v>
      </c>
      <c r="N56" s="43" t="s">
        <v>617</v>
      </c>
      <c r="O56" s="43" t="s">
        <v>626</v>
      </c>
      <c r="P56" s="43" t="s">
        <v>753</v>
      </c>
      <c r="Q56" s="43" t="s">
        <v>1022</v>
      </c>
      <c r="R56" s="43"/>
      <c r="S56" s="43" t="s">
        <v>730</v>
      </c>
      <c r="T56" s="43"/>
      <c r="U56" s="43"/>
      <c r="V56" s="43"/>
      <c r="W56" s="43"/>
      <c r="X56" s="43"/>
      <c r="Y56" s="43"/>
      <c r="Z56" s="43"/>
    </row>
    <row r="57" spans="1:26" ht="15.75" customHeight="1" x14ac:dyDescent="0.25">
      <c r="A57" s="43" t="s">
        <v>139</v>
      </c>
      <c r="B57" s="43" t="s">
        <v>1023</v>
      </c>
      <c r="C57" s="43" t="s">
        <v>1024</v>
      </c>
      <c r="D57" s="43" t="s">
        <v>617</v>
      </c>
      <c r="E57" s="43" t="s">
        <v>1025</v>
      </c>
      <c r="F57" s="43" t="s">
        <v>619</v>
      </c>
      <c r="G57" s="43" t="s">
        <v>1026</v>
      </c>
      <c r="H57" s="43" t="s">
        <v>653</v>
      </c>
      <c r="I57" s="43" t="s">
        <v>1027</v>
      </c>
      <c r="J57" s="43" t="s">
        <v>84</v>
      </c>
      <c r="K57" s="43" t="s">
        <v>623</v>
      </c>
      <c r="L57" s="43" t="s">
        <v>966</v>
      </c>
      <c r="M57" s="43" t="s">
        <v>645</v>
      </c>
      <c r="N57" s="43" t="s">
        <v>617</v>
      </c>
      <c r="O57" s="43" t="s">
        <v>626</v>
      </c>
      <c r="P57" s="43" t="s">
        <v>1028</v>
      </c>
      <c r="Q57" s="43" t="s">
        <v>1029</v>
      </c>
      <c r="R57" s="43"/>
      <c r="S57" s="43" t="s">
        <v>629</v>
      </c>
      <c r="T57" s="43"/>
      <c r="U57" s="43"/>
      <c r="V57" s="43"/>
      <c r="W57" s="43"/>
      <c r="X57" s="43"/>
      <c r="Y57" s="43"/>
      <c r="Z57" s="43"/>
    </row>
    <row r="58" spans="1:26" ht="15.75" customHeight="1" x14ac:dyDescent="0.25">
      <c r="A58" s="43" t="s">
        <v>140</v>
      </c>
      <c r="B58" s="43" t="s">
        <v>1030</v>
      </c>
      <c r="C58" s="43" t="s">
        <v>1031</v>
      </c>
      <c r="D58" s="43" t="s">
        <v>617</v>
      </c>
      <c r="E58" s="43" t="s">
        <v>1032</v>
      </c>
      <c r="F58" s="43" t="s">
        <v>619</v>
      </c>
      <c r="G58" s="43" t="s">
        <v>1033</v>
      </c>
      <c r="H58" s="43" t="s">
        <v>735</v>
      </c>
      <c r="I58" s="43" t="s">
        <v>1034</v>
      </c>
      <c r="J58" s="43" t="s">
        <v>89</v>
      </c>
      <c r="K58" s="43" t="s">
        <v>623</v>
      </c>
      <c r="L58" s="43" t="s">
        <v>663</v>
      </c>
      <c r="M58" s="43" t="s">
        <v>664</v>
      </c>
      <c r="N58" s="43" t="s">
        <v>617</v>
      </c>
      <c r="O58" s="43" t="s">
        <v>626</v>
      </c>
      <c r="P58" s="43" t="s">
        <v>665</v>
      </c>
      <c r="Q58" s="43" t="s">
        <v>1035</v>
      </c>
      <c r="R58" s="43"/>
      <c r="S58" s="43" t="s">
        <v>629</v>
      </c>
      <c r="T58" s="43"/>
      <c r="U58" s="43"/>
      <c r="V58" s="43"/>
      <c r="W58" s="43"/>
      <c r="X58" s="43"/>
      <c r="Y58" s="43"/>
      <c r="Z58" s="43"/>
    </row>
    <row r="59" spans="1:26" ht="15.75" customHeight="1" x14ac:dyDescent="0.25">
      <c r="A59" s="43" t="s">
        <v>141</v>
      </c>
      <c r="B59" s="43" t="s">
        <v>1036</v>
      </c>
      <c r="C59" s="43" t="s">
        <v>1037</v>
      </c>
      <c r="D59" s="43" t="s">
        <v>617</v>
      </c>
      <c r="E59" s="43" t="s">
        <v>1038</v>
      </c>
      <c r="F59" s="43" t="s">
        <v>619</v>
      </c>
      <c r="G59" s="43" t="s">
        <v>1039</v>
      </c>
      <c r="H59" s="43" t="s">
        <v>653</v>
      </c>
      <c r="I59" s="43" t="s">
        <v>1040</v>
      </c>
      <c r="J59" s="43" t="s">
        <v>86</v>
      </c>
      <c r="K59" s="43" t="s">
        <v>623</v>
      </c>
      <c r="L59" s="43" t="s">
        <v>695</v>
      </c>
      <c r="M59" s="43" t="s">
        <v>664</v>
      </c>
      <c r="N59" s="43" t="s">
        <v>617</v>
      </c>
      <c r="O59" s="43" t="s">
        <v>626</v>
      </c>
      <c r="P59" s="43" t="s">
        <v>665</v>
      </c>
      <c r="Q59" s="43" t="s">
        <v>1041</v>
      </c>
      <c r="R59" s="43"/>
      <c r="S59" s="43" t="s">
        <v>629</v>
      </c>
      <c r="T59" s="43"/>
      <c r="U59" s="43"/>
      <c r="V59" s="43"/>
      <c r="W59" s="43"/>
      <c r="X59" s="43"/>
      <c r="Y59" s="43"/>
      <c r="Z59" s="43"/>
    </row>
    <row r="60" spans="1:26" ht="15.75" customHeight="1" x14ac:dyDescent="0.25">
      <c r="A60" s="43" t="s">
        <v>142</v>
      </c>
      <c r="B60" s="43" t="s">
        <v>1042</v>
      </c>
      <c r="C60" s="43" t="s">
        <v>1043</v>
      </c>
      <c r="D60" s="43" t="s">
        <v>962</v>
      </c>
      <c r="E60" s="43" t="s">
        <v>1044</v>
      </c>
      <c r="F60" s="43" t="s">
        <v>619</v>
      </c>
      <c r="G60" s="43" t="s">
        <v>1045</v>
      </c>
      <c r="H60" s="43" t="s">
        <v>653</v>
      </c>
      <c r="I60" s="43" t="s">
        <v>1046</v>
      </c>
      <c r="J60" s="43" t="s">
        <v>151</v>
      </c>
      <c r="K60" s="43" t="s">
        <v>97</v>
      </c>
      <c r="L60" s="43" t="s">
        <v>1047</v>
      </c>
      <c r="M60" s="43" t="s">
        <v>1048</v>
      </c>
      <c r="N60" s="43" t="s">
        <v>1049</v>
      </c>
      <c r="O60" s="43" t="s">
        <v>626</v>
      </c>
      <c r="P60" s="43" t="s">
        <v>1050</v>
      </c>
      <c r="Q60" s="43" t="s">
        <v>1051</v>
      </c>
      <c r="R60" s="43"/>
      <c r="S60" s="43" t="s">
        <v>648</v>
      </c>
      <c r="T60" s="43"/>
      <c r="U60" s="43"/>
      <c r="V60" s="43"/>
      <c r="W60" s="43"/>
      <c r="X60" s="43"/>
      <c r="Y60" s="43"/>
      <c r="Z60" s="43"/>
    </row>
    <row r="61" spans="1:26" ht="15.75" customHeight="1" x14ac:dyDescent="0.25">
      <c r="A61" s="43" t="s">
        <v>143</v>
      </c>
      <c r="B61" s="43" t="s">
        <v>1052</v>
      </c>
      <c r="C61" s="43" t="s">
        <v>1053</v>
      </c>
      <c r="D61" s="43" t="s">
        <v>617</v>
      </c>
      <c r="E61" s="43" t="s">
        <v>1054</v>
      </c>
      <c r="F61" s="43" t="s">
        <v>619</v>
      </c>
      <c r="G61" s="43" t="s">
        <v>1055</v>
      </c>
      <c r="H61" s="43" t="s">
        <v>621</v>
      </c>
      <c r="I61" s="43" t="s">
        <v>847</v>
      </c>
      <c r="J61" s="43" t="s">
        <v>89</v>
      </c>
      <c r="K61" s="43" t="s">
        <v>623</v>
      </c>
      <c r="L61" s="43" t="s">
        <v>680</v>
      </c>
      <c r="M61" s="43" t="s">
        <v>617</v>
      </c>
      <c r="N61" s="43" t="s">
        <v>617</v>
      </c>
      <c r="O61" s="43" t="s">
        <v>626</v>
      </c>
      <c r="P61" s="43" t="s">
        <v>1056</v>
      </c>
      <c r="Q61" s="43" t="s">
        <v>1057</v>
      </c>
      <c r="R61" s="43"/>
      <c r="S61" s="43" t="s">
        <v>648</v>
      </c>
      <c r="T61" s="43"/>
      <c r="U61" s="43"/>
      <c r="V61" s="43"/>
      <c r="W61" s="43"/>
      <c r="X61" s="43"/>
      <c r="Y61" s="43"/>
      <c r="Z61" s="43"/>
    </row>
    <row r="62" spans="1:26" ht="15.75" customHeight="1" x14ac:dyDescent="0.25">
      <c r="A62" s="43" t="s">
        <v>144</v>
      </c>
      <c r="B62" s="43" t="s">
        <v>1058</v>
      </c>
      <c r="C62" s="43" t="s">
        <v>1059</v>
      </c>
      <c r="D62" s="43" t="s">
        <v>617</v>
      </c>
      <c r="E62" s="43" t="s">
        <v>1060</v>
      </c>
      <c r="F62" s="43" t="s">
        <v>619</v>
      </c>
      <c r="G62" s="43" t="s">
        <v>1061</v>
      </c>
      <c r="H62" s="43" t="s">
        <v>653</v>
      </c>
      <c r="I62" s="43" t="s">
        <v>1062</v>
      </c>
      <c r="J62" s="43" t="s">
        <v>90</v>
      </c>
      <c r="K62" s="43" t="s">
        <v>623</v>
      </c>
      <c r="L62" s="43" t="s">
        <v>617</v>
      </c>
      <c r="M62" s="43" t="s">
        <v>617</v>
      </c>
      <c r="N62" s="43" t="s">
        <v>617</v>
      </c>
      <c r="O62" s="43" t="s">
        <v>626</v>
      </c>
      <c r="P62" s="43" t="s">
        <v>974</v>
      </c>
      <c r="Q62" s="43" t="s">
        <v>1063</v>
      </c>
      <c r="R62" s="43"/>
      <c r="S62" s="43" t="s">
        <v>629</v>
      </c>
      <c r="T62" s="43"/>
      <c r="U62" s="43"/>
      <c r="V62" s="43"/>
      <c r="W62" s="43"/>
      <c r="X62" s="43"/>
      <c r="Y62" s="43"/>
      <c r="Z62" s="43"/>
    </row>
    <row r="63" spans="1:26" ht="15.75" customHeight="1" x14ac:dyDescent="0.25">
      <c r="A63" s="43" t="s">
        <v>145</v>
      </c>
      <c r="B63" s="43" t="s">
        <v>1064</v>
      </c>
      <c r="C63" s="43" t="s">
        <v>1065</v>
      </c>
      <c r="D63" s="43" t="s">
        <v>617</v>
      </c>
      <c r="E63" s="43" t="s">
        <v>1066</v>
      </c>
      <c r="F63" s="43" t="s">
        <v>619</v>
      </c>
      <c r="G63" s="43" t="s">
        <v>1067</v>
      </c>
      <c r="H63" s="43" t="s">
        <v>735</v>
      </c>
      <c r="I63" s="43" t="s">
        <v>1068</v>
      </c>
      <c r="J63" s="43" t="s">
        <v>84</v>
      </c>
      <c r="K63" s="43" t="s">
        <v>623</v>
      </c>
      <c r="L63" s="43" t="s">
        <v>1069</v>
      </c>
      <c r="M63" s="43" t="s">
        <v>914</v>
      </c>
      <c r="N63" s="43" t="s">
        <v>617</v>
      </c>
      <c r="O63" s="43" t="s">
        <v>626</v>
      </c>
      <c r="P63" s="43" t="s">
        <v>1070</v>
      </c>
      <c r="Q63" s="43" t="s">
        <v>1071</v>
      </c>
      <c r="R63" s="43"/>
      <c r="S63" s="43" t="s">
        <v>648</v>
      </c>
      <c r="T63" s="43"/>
      <c r="U63" s="43"/>
      <c r="V63" s="43"/>
      <c r="W63" s="43"/>
      <c r="X63" s="43"/>
      <c r="Y63" s="43"/>
      <c r="Z63" s="43"/>
    </row>
    <row r="64" spans="1:26" ht="15.75" customHeight="1" x14ac:dyDescent="0.25">
      <c r="A64" s="43" t="s">
        <v>146</v>
      </c>
      <c r="B64" s="43" t="s">
        <v>1072</v>
      </c>
      <c r="C64" s="43" t="s">
        <v>1073</v>
      </c>
      <c r="D64" s="43" t="s">
        <v>617</v>
      </c>
      <c r="E64" s="43" t="s">
        <v>1074</v>
      </c>
      <c r="F64" s="43" t="s">
        <v>619</v>
      </c>
      <c r="G64" s="43" t="s">
        <v>1075</v>
      </c>
      <c r="H64" s="43" t="s">
        <v>888</v>
      </c>
      <c r="I64" s="43" t="s">
        <v>662</v>
      </c>
      <c r="J64" s="43" t="s">
        <v>86</v>
      </c>
      <c r="K64" s="43" t="s">
        <v>623</v>
      </c>
      <c r="L64" s="43" t="s">
        <v>663</v>
      </c>
      <c r="M64" s="43" t="s">
        <v>664</v>
      </c>
      <c r="N64" s="43" t="s">
        <v>617</v>
      </c>
      <c r="O64" s="43" t="s">
        <v>626</v>
      </c>
      <c r="P64" s="43" t="s">
        <v>665</v>
      </c>
      <c r="Q64" s="43" t="s">
        <v>1076</v>
      </c>
      <c r="R64" s="43"/>
      <c r="S64" s="43" t="s">
        <v>629</v>
      </c>
      <c r="T64" s="43"/>
      <c r="U64" s="43"/>
      <c r="V64" s="43"/>
      <c r="W64" s="43"/>
      <c r="X64" s="43"/>
      <c r="Y64" s="43"/>
      <c r="Z64" s="43"/>
    </row>
    <row r="65" spans="1:26" ht="15.75" customHeight="1" x14ac:dyDescent="0.25">
      <c r="A65" s="43" t="s">
        <v>147</v>
      </c>
      <c r="B65" s="43" t="s">
        <v>1077</v>
      </c>
      <c r="C65" s="43" t="s">
        <v>1078</v>
      </c>
      <c r="D65" s="43" t="s">
        <v>617</v>
      </c>
      <c r="E65" s="43" t="s">
        <v>1079</v>
      </c>
      <c r="F65" s="43" t="s">
        <v>619</v>
      </c>
      <c r="G65" s="43" t="s">
        <v>1080</v>
      </c>
      <c r="H65" s="43" t="s">
        <v>735</v>
      </c>
      <c r="I65" s="43" t="s">
        <v>1081</v>
      </c>
      <c r="J65" s="43" t="s">
        <v>84</v>
      </c>
      <c r="K65" s="43" t="s">
        <v>623</v>
      </c>
      <c r="L65" s="43" t="s">
        <v>793</v>
      </c>
      <c r="M65" s="43" t="s">
        <v>794</v>
      </c>
      <c r="N65" s="43" t="s">
        <v>617</v>
      </c>
      <c r="O65" s="43" t="s">
        <v>626</v>
      </c>
      <c r="P65" s="43" t="s">
        <v>1082</v>
      </c>
      <c r="Q65" s="43" t="s">
        <v>1083</v>
      </c>
      <c r="R65" s="43"/>
      <c r="S65" s="43" t="s">
        <v>730</v>
      </c>
      <c r="T65" s="43"/>
      <c r="U65" s="43"/>
      <c r="V65" s="43"/>
      <c r="W65" s="43"/>
      <c r="X65" s="43"/>
      <c r="Y65" s="43"/>
      <c r="Z65" s="43"/>
    </row>
    <row r="66" spans="1:26" ht="15.75" customHeight="1" x14ac:dyDescent="0.25">
      <c r="A66" s="43" t="s">
        <v>148</v>
      </c>
      <c r="B66" s="43" t="s">
        <v>1084</v>
      </c>
      <c r="C66" s="43" t="s">
        <v>1085</v>
      </c>
      <c r="D66" s="43" t="s">
        <v>617</v>
      </c>
      <c r="E66" s="43" t="s">
        <v>1086</v>
      </c>
      <c r="F66" s="43" t="s">
        <v>619</v>
      </c>
      <c r="G66" s="43" t="s">
        <v>1087</v>
      </c>
      <c r="H66" s="43" t="s">
        <v>653</v>
      </c>
      <c r="I66" s="43" t="s">
        <v>1088</v>
      </c>
      <c r="J66" s="43" t="s">
        <v>88</v>
      </c>
      <c r="K66" s="43" t="s">
        <v>623</v>
      </c>
      <c r="L66" s="43" t="s">
        <v>958</v>
      </c>
      <c r="M66" s="43" t="s">
        <v>855</v>
      </c>
      <c r="N66" s="43" t="s">
        <v>617</v>
      </c>
      <c r="O66" s="43" t="s">
        <v>626</v>
      </c>
      <c r="P66" s="43" t="s">
        <v>688</v>
      </c>
      <c r="Q66" s="43" t="s">
        <v>1089</v>
      </c>
      <c r="R66" s="43"/>
      <c r="S66" s="43" t="s">
        <v>648</v>
      </c>
      <c r="T66" s="43"/>
      <c r="U66" s="43"/>
      <c r="V66" s="43"/>
      <c r="W66" s="43"/>
      <c r="X66" s="43"/>
      <c r="Y66" s="43"/>
      <c r="Z66" s="43"/>
    </row>
    <row r="67" spans="1:26" ht="15.75" customHeight="1" x14ac:dyDescent="0.25">
      <c r="A67" s="43" t="s">
        <v>149</v>
      </c>
      <c r="B67" s="43" t="s">
        <v>1090</v>
      </c>
      <c r="C67" s="43" t="s">
        <v>1091</v>
      </c>
      <c r="D67" s="43" t="s">
        <v>617</v>
      </c>
      <c r="E67" s="43" t="s">
        <v>1092</v>
      </c>
      <c r="F67" s="43" t="s">
        <v>619</v>
      </c>
      <c r="G67" s="43" t="s">
        <v>1093</v>
      </c>
      <c r="H67" s="43" t="s">
        <v>888</v>
      </c>
      <c r="I67" s="43" t="s">
        <v>1094</v>
      </c>
      <c r="J67" s="43" t="s">
        <v>84</v>
      </c>
      <c r="K67" s="43" t="s">
        <v>623</v>
      </c>
      <c r="L67" s="43" t="s">
        <v>644</v>
      </c>
      <c r="M67" s="43" t="s">
        <v>645</v>
      </c>
      <c r="N67" s="43" t="s">
        <v>617</v>
      </c>
      <c r="O67" s="43" t="s">
        <v>626</v>
      </c>
      <c r="P67" s="43" t="s">
        <v>646</v>
      </c>
      <c r="Q67" s="43" t="s">
        <v>1095</v>
      </c>
      <c r="R67" s="43"/>
      <c r="S67" s="43" t="s">
        <v>648</v>
      </c>
      <c r="T67" s="43"/>
      <c r="U67" s="43"/>
      <c r="V67" s="43"/>
      <c r="W67" s="43"/>
      <c r="X67" s="43"/>
      <c r="Y67" s="43"/>
      <c r="Z67" s="43"/>
    </row>
    <row r="68" spans="1:26" ht="15.75" customHeight="1" x14ac:dyDescent="0.25">
      <c r="A68" s="43" t="s">
        <v>150</v>
      </c>
      <c r="B68" s="43" t="s">
        <v>1096</v>
      </c>
      <c r="C68" s="43" t="s">
        <v>1097</v>
      </c>
      <c r="D68" s="43" t="s">
        <v>617</v>
      </c>
      <c r="E68" s="43" t="s">
        <v>1098</v>
      </c>
      <c r="F68" s="43" t="s">
        <v>619</v>
      </c>
      <c r="G68" s="43" t="s">
        <v>1099</v>
      </c>
      <c r="H68" s="43" t="s">
        <v>653</v>
      </c>
      <c r="I68" s="43" t="s">
        <v>1100</v>
      </c>
      <c r="J68" s="43" t="s">
        <v>1101</v>
      </c>
      <c r="K68" s="43" t="s">
        <v>1102</v>
      </c>
      <c r="L68" s="43" t="s">
        <v>743</v>
      </c>
      <c r="M68" s="43" t="s">
        <v>744</v>
      </c>
      <c r="N68" s="43" t="s">
        <v>617</v>
      </c>
      <c r="O68" s="43" t="s">
        <v>1103</v>
      </c>
      <c r="P68" s="43" t="s">
        <v>745</v>
      </c>
      <c r="Q68" s="43" t="s">
        <v>1104</v>
      </c>
      <c r="R68" s="43" t="s">
        <v>1105</v>
      </c>
      <c r="S68" s="43" t="s">
        <v>629</v>
      </c>
      <c r="T68" s="43"/>
      <c r="U68" s="43"/>
      <c r="V68" s="43"/>
      <c r="W68" s="43"/>
      <c r="X68" s="43"/>
      <c r="Y68" s="43"/>
      <c r="Z68" s="43"/>
    </row>
    <row r="69" spans="1:26" ht="15.75" customHeight="1" x14ac:dyDescent="0.25">
      <c r="A69" s="43" t="s">
        <v>151</v>
      </c>
      <c r="B69" s="43" t="s">
        <v>1106</v>
      </c>
      <c r="C69" s="43" t="s">
        <v>1107</v>
      </c>
      <c r="D69" s="43" t="s">
        <v>617</v>
      </c>
      <c r="E69" s="43" t="s">
        <v>910</v>
      </c>
      <c r="F69" s="43" t="s">
        <v>619</v>
      </c>
      <c r="G69" s="43" t="s">
        <v>1108</v>
      </c>
      <c r="H69" s="43" t="s">
        <v>1109</v>
      </c>
      <c r="I69" s="43" t="s">
        <v>1110</v>
      </c>
      <c r="J69" s="43" t="s">
        <v>1111</v>
      </c>
      <c r="K69" s="43"/>
      <c r="L69" s="43" t="s">
        <v>1112</v>
      </c>
      <c r="M69" s="43" t="s">
        <v>1113</v>
      </c>
      <c r="N69" s="43" t="s">
        <v>617</v>
      </c>
      <c r="O69" s="43" t="s">
        <v>626</v>
      </c>
      <c r="P69" s="43" t="s">
        <v>1114</v>
      </c>
      <c r="Q69" s="43" t="s">
        <v>1115</v>
      </c>
      <c r="R69" s="43" t="s">
        <v>1116</v>
      </c>
      <c r="S69" s="43" t="s">
        <v>730</v>
      </c>
      <c r="T69" s="43"/>
      <c r="U69" s="43"/>
      <c r="V69" s="43"/>
      <c r="W69" s="43"/>
      <c r="X69" s="43"/>
      <c r="Y69" s="43"/>
      <c r="Z69" s="43"/>
    </row>
    <row r="70" spans="1:26" ht="15.75" customHeight="1" x14ac:dyDescent="0.25">
      <c r="A70" s="43" t="s">
        <v>152</v>
      </c>
      <c r="B70" s="43" t="s">
        <v>1117</v>
      </c>
      <c r="C70" s="43" t="s">
        <v>1118</v>
      </c>
      <c r="D70" s="43" t="s">
        <v>617</v>
      </c>
      <c r="E70" s="43" t="s">
        <v>1119</v>
      </c>
      <c r="F70" s="43" t="s">
        <v>619</v>
      </c>
      <c r="G70" s="43" t="s">
        <v>1120</v>
      </c>
      <c r="H70" s="43" t="s">
        <v>653</v>
      </c>
      <c r="I70" s="43" t="s">
        <v>1121</v>
      </c>
      <c r="J70" s="43" t="s">
        <v>1122</v>
      </c>
      <c r="K70" s="43" t="s">
        <v>1123</v>
      </c>
      <c r="L70" s="43" t="s">
        <v>809</v>
      </c>
      <c r="M70" s="43" t="s">
        <v>744</v>
      </c>
      <c r="N70" s="43" t="s">
        <v>617</v>
      </c>
      <c r="O70" s="43" t="s">
        <v>626</v>
      </c>
      <c r="P70" s="43" t="s">
        <v>745</v>
      </c>
      <c r="Q70" s="43" t="s">
        <v>1124</v>
      </c>
      <c r="R70" s="43" t="s">
        <v>1125</v>
      </c>
      <c r="S70" s="43" t="s">
        <v>730</v>
      </c>
      <c r="T70" s="43"/>
      <c r="U70" s="43"/>
      <c r="V70" s="43"/>
      <c r="W70" s="43"/>
      <c r="X70" s="43"/>
      <c r="Y70" s="43"/>
      <c r="Z70" s="43"/>
    </row>
    <row r="71" spans="1:26" ht="15.75" customHeight="1" x14ac:dyDescent="0.25">
      <c r="A71" s="43" t="s">
        <v>153</v>
      </c>
      <c r="B71" s="43" t="s">
        <v>1126</v>
      </c>
      <c r="C71" s="43" t="s">
        <v>1127</v>
      </c>
      <c r="D71" s="43" t="s">
        <v>617</v>
      </c>
      <c r="E71" s="43" t="s">
        <v>1128</v>
      </c>
      <c r="F71" s="43" t="s">
        <v>619</v>
      </c>
      <c r="G71" s="43" t="s">
        <v>1129</v>
      </c>
      <c r="H71" s="43" t="s">
        <v>653</v>
      </c>
      <c r="I71" s="43" t="s">
        <v>1040</v>
      </c>
      <c r="J71" s="43" t="s">
        <v>86</v>
      </c>
      <c r="K71" s="43" t="s">
        <v>623</v>
      </c>
      <c r="L71" s="43" t="s">
        <v>695</v>
      </c>
      <c r="M71" s="43" t="s">
        <v>664</v>
      </c>
      <c r="N71" s="43" t="s">
        <v>617</v>
      </c>
      <c r="O71" s="43" t="s">
        <v>626</v>
      </c>
      <c r="P71" s="43" t="s">
        <v>1130</v>
      </c>
      <c r="Q71" s="43" t="s">
        <v>1131</v>
      </c>
      <c r="R71" s="43" t="s">
        <v>1123</v>
      </c>
      <c r="S71" s="43" t="s">
        <v>629</v>
      </c>
      <c r="T71" s="43"/>
      <c r="U71" s="43"/>
      <c r="V71" s="43"/>
      <c r="W71" s="43"/>
      <c r="X71" s="43"/>
      <c r="Y71" s="43"/>
      <c r="Z71" s="43"/>
    </row>
    <row r="72" spans="1:26" ht="15.75" customHeight="1" x14ac:dyDescent="0.25">
      <c r="A72" s="43" t="s">
        <v>154</v>
      </c>
      <c r="B72" s="43" t="s">
        <v>1132</v>
      </c>
      <c r="C72" s="43" t="s">
        <v>1133</v>
      </c>
      <c r="D72" s="43" t="s">
        <v>617</v>
      </c>
      <c r="E72" s="43" t="s">
        <v>1134</v>
      </c>
      <c r="F72" s="43" t="s">
        <v>619</v>
      </c>
      <c r="G72" s="43" t="s">
        <v>1135</v>
      </c>
      <c r="H72" s="43" t="s">
        <v>653</v>
      </c>
      <c r="I72" s="43" t="s">
        <v>1100</v>
      </c>
      <c r="J72" s="43" t="s">
        <v>1101</v>
      </c>
      <c r="K72" s="43" t="s">
        <v>1102</v>
      </c>
      <c r="L72" s="43" t="s">
        <v>743</v>
      </c>
      <c r="M72" s="43" t="s">
        <v>744</v>
      </c>
      <c r="N72" s="43" t="s">
        <v>617</v>
      </c>
      <c r="O72" s="43" t="s">
        <v>1103</v>
      </c>
      <c r="P72" s="43" t="s">
        <v>1136</v>
      </c>
      <c r="Q72" s="43" t="s">
        <v>1137</v>
      </c>
      <c r="R72" s="43" t="s">
        <v>1138</v>
      </c>
      <c r="S72" s="43" t="s">
        <v>629</v>
      </c>
      <c r="T72" s="43"/>
      <c r="U72" s="43"/>
      <c r="V72" s="43"/>
      <c r="W72" s="43"/>
      <c r="X72" s="43"/>
      <c r="Y72" s="43"/>
      <c r="Z72" s="43"/>
    </row>
    <row r="73" spans="1:26" ht="15.75" customHeight="1" x14ac:dyDescent="0.25">
      <c r="A73" s="43" t="s">
        <v>155</v>
      </c>
      <c r="B73" s="43" t="s">
        <v>1139</v>
      </c>
      <c r="C73" s="43" t="s">
        <v>1140</v>
      </c>
      <c r="D73" s="43" t="s">
        <v>617</v>
      </c>
      <c r="E73" s="43" t="s">
        <v>1141</v>
      </c>
      <c r="F73" s="43" t="s">
        <v>619</v>
      </c>
      <c r="G73" s="43" t="s">
        <v>1142</v>
      </c>
      <c r="H73" s="43" t="s">
        <v>735</v>
      </c>
      <c r="I73" s="43" t="s">
        <v>1100</v>
      </c>
      <c r="J73" s="43" t="s">
        <v>1101</v>
      </c>
      <c r="K73" s="43" t="s">
        <v>1123</v>
      </c>
      <c r="L73" s="43" t="s">
        <v>743</v>
      </c>
      <c r="M73" s="43" t="s">
        <v>744</v>
      </c>
      <c r="N73" s="43" t="s">
        <v>617</v>
      </c>
      <c r="O73" s="43" t="s">
        <v>626</v>
      </c>
      <c r="P73" s="43" t="s">
        <v>745</v>
      </c>
      <c r="Q73" s="43" t="s">
        <v>1143</v>
      </c>
      <c r="R73" s="43" t="s">
        <v>1144</v>
      </c>
      <c r="S73" s="43" t="s">
        <v>629</v>
      </c>
      <c r="T73" s="43"/>
      <c r="U73" s="43"/>
      <c r="V73" s="43"/>
      <c r="W73" s="43"/>
      <c r="X73" s="43"/>
      <c r="Y73" s="43"/>
      <c r="Z73" s="43"/>
    </row>
    <row r="74" spans="1:26" ht="15.75" customHeight="1" x14ac:dyDescent="0.25">
      <c r="A74" s="43" t="s">
        <v>156</v>
      </c>
      <c r="B74" s="43" t="s">
        <v>1145</v>
      </c>
      <c r="C74" s="43" t="s">
        <v>1146</v>
      </c>
      <c r="D74" s="43" t="s">
        <v>617</v>
      </c>
      <c r="E74" s="43" t="s">
        <v>1147</v>
      </c>
      <c r="F74" s="43" t="s">
        <v>619</v>
      </c>
      <c r="G74" s="43" t="s">
        <v>1148</v>
      </c>
      <c r="H74" s="43" t="s">
        <v>653</v>
      </c>
      <c r="I74" s="43" t="s">
        <v>1149</v>
      </c>
      <c r="J74" s="43" t="s">
        <v>84</v>
      </c>
      <c r="K74" s="43"/>
      <c r="L74" s="43" t="s">
        <v>680</v>
      </c>
      <c r="M74" s="43" t="s">
        <v>617</v>
      </c>
      <c r="N74" s="43" t="s">
        <v>617</v>
      </c>
      <c r="O74" s="43" t="s">
        <v>626</v>
      </c>
      <c r="P74" s="43" t="s">
        <v>656</v>
      </c>
      <c r="Q74" s="43" t="s">
        <v>1150</v>
      </c>
      <c r="R74" s="43" t="s">
        <v>1151</v>
      </c>
      <c r="S74" s="43" t="s">
        <v>648</v>
      </c>
      <c r="T74" s="43"/>
      <c r="U74" s="43"/>
      <c r="V74" s="43"/>
      <c r="W74" s="43"/>
      <c r="X74" s="43"/>
      <c r="Y74" s="43"/>
      <c r="Z74" s="43"/>
    </row>
    <row r="75" spans="1:26" ht="15.75" customHeight="1" x14ac:dyDescent="0.25">
      <c r="A75" s="43" t="s">
        <v>157</v>
      </c>
      <c r="B75" s="43" t="s">
        <v>1152</v>
      </c>
      <c r="C75" s="43" t="s">
        <v>1153</v>
      </c>
      <c r="D75" s="43" t="s">
        <v>617</v>
      </c>
      <c r="E75" s="43" t="s">
        <v>1154</v>
      </c>
      <c r="F75" s="43" t="s">
        <v>619</v>
      </c>
      <c r="G75" s="43" t="s">
        <v>1155</v>
      </c>
      <c r="H75" s="43" t="s">
        <v>1156</v>
      </c>
      <c r="I75" s="43" t="s">
        <v>1157</v>
      </c>
      <c r="J75" s="43" t="s">
        <v>84</v>
      </c>
      <c r="K75" s="43"/>
      <c r="L75" s="43" t="s">
        <v>1158</v>
      </c>
      <c r="M75" s="43" t="s">
        <v>617</v>
      </c>
      <c r="N75" s="43" t="s">
        <v>617</v>
      </c>
      <c r="O75" s="43" t="s">
        <v>626</v>
      </c>
      <c r="P75" s="43" t="s">
        <v>714</v>
      </c>
      <c r="Q75" s="43" t="s">
        <v>1159</v>
      </c>
      <c r="R75" s="43" t="s">
        <v>1160</v>
      </c>
      <c r="S75" s="43" t="s">
        <v>629</v>
      </c>
      <c r="T75" s="43"/>
      <c r="U75" s="43"/>
      <c r="V75" s="43"/>
      <c r="W75" s="43"/>
      <c r="X75" s="43"/>
      <c r="Y75" s="43"/>
      <c r="Z75" s="43"/>
    </row>
    <row r="76" spans="1:26" ht="15.75" customHeight="1" x14ac:dyDescent="0.25">
      <c r="A76" s="43" t="s">
        <v>158</v>
      </c>
      <c r="B76" s="43" t="s">
        <v>1161</v>
      </c>
      <c r="C76" s="43" t="s">
        <v>1162</v>
      </c>
      <c r="D76" s="43" t="s">
        <v>617</v>
      </c>
      <c r="E76" s="43" t="s">
        <v>1163</v>
      </c>
      <c r="F76" s="43" t="s">
        <v>619</v>
      </c>
      <c r="G76" s="43" t="s">
        <v>1164</v>
      </c>
      <c r="H76" s="43" t="s">
        <v>735</v>
      </c>
      <c r="I76" s="43" t="s">
        <v>1165</v>
      </c>
      <c r="J76" s="43" t="s">
        <v>1101</v>
      </c>
      <c r="K76" s="43" t="s">
        <v>1102</v>
      </c>
      <c r="L76" s="43" t="s">
        <v>1158</v>
      </c>
      <c r="M76" s="43" t="s">
        <v>617</v>
      </c>
      <c r="N76" s="43" t="s">
        <v>617</v>
      </c>
      <c r="O76" s="43" t="s">
        <v>1103</v>
      </c>
      <c r="P76" s="43" t="s">
        <v>656</v>
      </c>
      <c r="Q76" s="43" t="s">
        <v>1166</v>
      </c>
      <c r="R76" s="43" t="s">
        <v>1167</v>
      </c>
      <c r="S76" s="43" t="s">
        <v>629</v>
      </c>
      <c r="T76" s="43"/>
      <c r="U76" s="43"/>
      <c r="V76" s="43"/>
      <c r="W76" s="43"/>
      <c r="X76" s="43"/>
      <c r="Y76" s="43"/>
      <c r="Z76" s="43"/>
    </row>
    <row r="77" spans="1:26" ht="15.75" customHeight="1" x14ac:dyDescent="0.25">
      <c r="A77" s="43" t="s">
        <v>159</v>
      </c>
      <c r="B77" s="43" t="s">
        <v>1168</v>
      </c>
      <c r="C77" s="43" t="s">
        <v>1169</v>
      </c>
      <c r="D77" s="43" t="s">
        <v>1170</v>
      </c>
      <c r="E77" s="43" t="s">
        <v>1171</v>
      </c>
      <c r="F77" s="43" t="s">
        <v>619</v>
      </c>
      <c r="G77" s="43" t="s">
        <v>1172</v>
      </c>
      <c r="H77" s="43" t="s">
        <v>621</v>
      </c>
      <c r="I77" s="43" t="s">
        <v>1173</v>
      </c>
      <c r="J77" s="43" t="s">
        <v>84</v>
      </c>
      <c r="K77" s="43" t="s">
        <v>623</v>
      </c>
      <c r="L77" s="43" t="s">
        <v>1174</v>
      </c>
      <c r="M77" s="43" t="s">
        <v>1113</v>
      </c>
      <c r="N77" s="43" t="s">
        <v>617</v>
      </c>
      <c r="O77" s="43" t="s">
        <v>626</v>
      </c>
      <c r="P77" s="43" t="s">
        <v>1114</v>
      </c>
      <c r="Q77" s="43" t="s">
        <v>1175</v>
      </c>
      <c r="R77" s="43" t="s">
        <v>1175</v>
      </c>
      <c r="S77" s="43" t="s">
        <v>730</v>
      </c>
      <c r="T77" s="43"/>
      <c r="U77" s="43"/>
      <c r="V77" s="43"/>
      <c r="W77" s="43"/>
      <c r="X77" s="43"/>
      <c r="Y77" s="43"/>
      <c r="Z77" s="43"/>
    </row>
    <row r="78" spans="1:26" ht="15.75" customHeight="1" x14ac:dyDescent="0.25">
      <c r="A78" s="43" t="s">
        <v>160</v>
      </c>
      <c r="B78" s="43" t="s">
        <v>1176</v>
      </c>
      <c r="C78" s="43" t="s">
        <v>1177</v>
      </c>
      <c r="D78" s="43" t="s">
        <v>617</v>
      </c>
      <c r="E78" s="43" t="s">
        <v>1119</v>
      </c>
      <c r="F78" s="43" t="s">
        <v>619</v>
      </c>
      <c r="G78" s="43" t="s">
        <v>1178</v>
      </c>
      <c r="H78" s="43" t="s">
        <v>653</v>
      </c>
      <c r="I78" s="43" t="s">
        <v>1157</v>
      </c>
      <c r="J78" s="43" t="s">
        <v>85</v>
      </c>
      <c r="K78" s="43"/>
      <c r="L78" s="43" t="s">
        <v>1158</v>
      </c>
      <c r="M78" s="43" t="s">
        <v>617</v>
      </c>
      <c r="N78" s="43" t="s">
        <v>617</v>
      </c>
      <c r="O78" s="43" t="s">
        <v>626</v>
      </c>
      <c r="P78" s="43" t="s">
        <v>656</v>
      </c>
      <c r="Q78" s="43" t="s">
        <v>1179</v>
      </c>
      <c r="R78" s="43" t="s">
        <v>1180</v>
      </c>
      <c r="S78" s="43" t="s">
        <v>648</v>
      </c>
      <c r="T78" s="43"/>
      <c r="U78" s="43"/>
      <c r="V78" s="43"/>
      <c r="W78" s="43"/>
      <c r="X78" s="43"/>
      <c r="Y78" s="43"/>
      <c r="Z78" s="43"/>
    </row>
    <row r="79" spans="1:26" ht="15.75" customHeight="1" x14ac:dyDescent="0.25">
      <c r="A79" s="43" t="s">
        <v>161</v>
      </c>
      <c r="B79" s="43" t="s">
        <v>1181</v>
      </c>
      <c r="C79" s="43" t="s">
        <v>1182</v>
      </c>
      <c r="D79" s="43" t="s">
        <v>617</v>
      </c>
      <c r="E79" s="43" t="s">
        <v>1183</v>
      </c>
      <c r="F79" s="43" t="s">
        <v>619</v>
      </c>
      <c r="G79" s="43" t="s">
        <v>1184</v>
      </c>
      <c r="H79" s="43" t="s">
        <v>653</v>
      </c>
      <c r="I79" s="43" t="s">
        <v>1185</v>
      </c>
      <c r="J79" s="43" t="s">
        <v>1101</v>
      </c>
      <c r="K79" s="43" t="s">
        <v>1102</v>
      </c>
      <c r="L79" s="43" t="s">
        <v>1186</v>
      </c>
      <c r="M79" s="43" t="s">
        <v>818</v>
      </c>
      <c r="N79" s="43" t="s">
        <v>617</v>
      </c>
      <c r="O79" s="43" t="s">
        <v>1103</v>
      </c>
      <c r="P79" s="43" t="s">
        <v>1187</v>
      </c>
      <c r="Q79" s="43" t="s">
        <v>1188</v>
      </c>
      <c r="R79" s="43" t="s">
        <v>1189</v>
      </c>
      <c r="S79" s="43" t="s">
        <v>648</v>
      </c>
      <c r="T79" s="43"/>
      <c r="U79" s="43"/>
      <c r="V79" s="43"/>
      <c r="W79" s="43"/>
      <c r="X79" s="43"/>
      <c r="Y79" s="43"/>
      <c r="Z79" s="43"/>
    </row>
    <row r="80" spans="1:26" ht="15.75" customHeight="1" x14ac:dyDescent="0.25">
      <c r="A80" s="43" t="s">
        <v>162</v>
      </c>
      <c r="B80" s="43" t="s">
        <v>1190</v>
      </c>
      <c r="C80" s="43" t="s">
        <v>1191</v>
      </c>
      <c r="D80" s="43" t="s">
        <v>617</v>
      </c>
      <c r="E80" s="43" t="s">
        <v>1192</v>
      </c>
      <c r="F80" s="43" t="s">
        <v>619</v>
      </c>
      <c r="G80" s="43" t="s">
        <v>1193</v>
      </c>
      <c r="H80" s="43" t="s">
        <v>653</v>
      </c>
      <c r="I80" s="43" t="s">
        <v>1194</v>
      </c>
      <c r="J80" s="43" t="s">
        <v>135</v>
      </c>
      <c r="K80" s="43" t="s">
        <v>623</v>
      </c>
      <c r="L80" s="43" t="s">
        <v>779</v>
      </c>
      <c r="M80" s="43" t="s">
        <v>780</v>
      </c>
      <c r="N80" s="43" t="s">
        <v>617</v>
      </c>
      <c r="O80" s="43" t="s">
        <v>626</v>
      </c>
      <c r="P80" s="43" t="s">
        <v>781</v>
      </c>
      <c r="Q80" s="43" t="s">
        <v>1195</v>
      </c>
      <c r="R80" s="43" t="s">
        <v>1196</v>
      </c>
      <c r="S80" s="43" t="s">
        <v>648</v>
      </c>
      <c r="T80" s="43"/>
      <c r="U80" s="43"/>
      <c r="V80" s="43"/>
      <c r="W80" s="43"/>
      <c r="X80" s="43"/>
      <c r="Y80" s="43"/>
      <c r="Z80" s="43"/>
    </row>
    <row r="81" spans="1:26" ht="15.75" customHeight="1" x14ac:dyDescent="0.25">
      <c r="A81" s="43" t="s">
        <v>163</v>
      </c>
      <c r="B81" s="43" t="s">
        <v>1197</v>
      </c>
      <c r="C81" s="43" t="s">
        <v>1198</v>
      </c>
      <c r="D81" s="43" t="s">
        <v>617</v>
      </c>
      <c r="E81" s="43" t="s">
        <v>1199</v>
      </c>
      <c r="F81" s="43" t="s">
        <v>619</v>
      </c>
      <c r="G81" s="43" t="s">
        <v>1200</v>
      </c>
      <c r="H81" s="43" t="s">
        <v>653</v>
      </c>
      <c r="I81" s="43" t="s">
        <v>1201</v>
      </c>
      <c r="J81" s="43" t="s">
        <v>89</v>
      </c>
      <c r="K81" s="43" t="s">
        <v>623</v>
      </c>
      <c r="L81" s="43" t="s">
        <v>1158</v>
      </c>
      <c r="M81" s="43" t="s">
        <v>617</v>
      </c>
      <c r="N81" s="43" t="s">
        <v>617</v>
      </c>
      <c r="O81" s="43" t="s">
        <v>626</v>
      </c>
      <c r="P81" s="43" t="s">
        <v>974</v>
      </c>
      <c r="Q81" s="43" t="s">
        <v>1123</v>
      </c>
      <c r="R81" s="43" t="s">
        <v>1202</v>
      </c>
      <c r="S81" s="43" t="s">
        <v>893</v>
      </c>
      <c r="T81" s="43"/>
      <c r="U81" s="43"/>
      <c r="V81" s="43"/>
      <c r="W81" s="43"/>
      <c r="X81" s="43"/>
      <c r="Y81" s="43"/>
      <c r="Z81" s="43"/>
    </row>
    <row r="82" spans="1:26" ht="15.75" customHeight="1" x14ac:dyDescent="0.25">
      <c r="A82" s="43" t="s">
        <v>164</v>
      </c>
      <c r="B82" s="43" t="s">
        <v>1203</v>
      </c>
      <c r="C82" s="43" t="s">
        <v>1204</v>
      </c>
      <c r="D82" s="43" t="s">
        <v>617</v>
      </c>
      <c r="E82" s="43" t="s">
        <v>1205</v>
      </c>
      <c r="F82" s="43" t="s">
        <v>619</v>
      </c>
      <c r="G82" s="43" t="s">
        <v>1206</v>
      </c>
      <c r="H82" s="43" t="s">
        <v>735</v>
      </c>
      <c r="I82" s="43" t="s">
        <v>1207</v>
      </c>
      <c r="J82" s="43" t="s">
        <v>85</v>
      </c>
      <c r="K82" s="43" t="s">
        <v>623</v>
      </c>
      <c r="L82" s="43" t="s">
        <v>1001</v>
      </c>
      <c r="M82" s="43" t="s">
        <v>744</v>
      </c>
      <c r="N82" s="43" t="s">
        <v>617</v>
      </c>
      <c r="O82" s="43" t="s">
        <v>626</v>
      </c>
      <c r="P82" s="43" t="s">
        <v>906</v>
      </c>
      <c r="Q82" s="43" t="s">
        <v>1208</v>
      </c>
      <c r="R82" s="43" t="s">
        <v>1209</v>
      </c>
      <c r="S82" s="43" t="s">
        <v>893</v>
      </c>
      <c r="T82" s="43"/>
      <c r="U82" s="43"/>
      <c r="V82" s="43"/>
      <c r="W82" s="43"/>
      <c r="X82" s="43"/>
      <c r="Y82" s="43"/>
      <c r="Z82" s="43"/>
    </row>
    <row r="83" spans="1:26" ht="15.75" customHeight="1" x14ac:dyDescent="0.25">
      <c r="A83" s="43" t="s">
        <v>165</v>
      </c>
      <c r="B83" s="43" t="s">
        <v>1210</v>
      </c>
      <c r="C83" s="43" t="s">
        <v>1211</v>
      </c>
      <c r="D83" s="43" t="s">
        <v>617</v>
      </c>
      <c r="E83" s="43" t="s">
        <v>1212</v>
      </c>
      <c r="F83" s="43" t="s">
        <v>619</v>
      </c>
      <c r="G83" s="43" t="s">
        <v>1213</v>
      </c>
      <c r="H83" s="43" t="s">
        <v>653</v>
      </c>
      <c r="I83" s="43" t="s">
        <v>957</v>
      </c>
      <c r="J83" s="43" t="s">
        <v>84</v>
      </c>
      <c r="K83" s="43" t="s">
        <v>623</v>
      </c>
      <c r="L83" s="43" t="s">
        <v>1214</v>
      </c>
      <c r="M83" s="43" t="s">
        <v>1113</v>
      </c>
      <c r="N83" s="43" t="s">
        <v>617</v>
      </c>
      <c r="O83" s="43" t="s">
        <v>626</v>
      </c>
      <c r="P83" s="43" t="s">
        <v>1114</v>
      </c>
      <c r="Q83" s="43" t="s">
        <v>1215</v>
      </c>
      <c r="R83" s="43" t="s">
        <v>1215</v>
      </c>
      <c r="S83" s="43" t="s">
        <v>648</v>
      </c>
      <c r="T83" s="43"/>
      <c r="U83" s="43"/>
      <c r="V83" s="43"/>
      <c r="W83" s="43"/>
      <c r="X83" s="43"/>
      <c r="Y83" s="43"/>
      <c r="Z83" s="43"/>
    </row>
    <row r="84" spans="1:26" ht="15.75" customHeight="1" x14ac:dyDescent="0.25">
      <c r="A84" s="43" t="s">
        <v>166</v>
      </c>
      <c r="B84" s="43" t="s">
        <v>1216</v>
      </c>
      <c r="C84" s="43" t="s">
        <v>1217</v>
      </c>
      <c r="D84" s="43" t="s">
        <v>617</v>
      </c>
      <c r="E84" s="43" t="s">
        <v>829</v>
      </c>
      <c r="F84" s="43" t="s">
        <v>619</v>
      </c>
      <c r="G84" s="43" t="s">
        <v>1218</v>
      </c>
      <c r="H84" s="43" t="s">
        <v>653</v>
      </c>
      <c r="I84" s="43" t="s">
        <v>1219</v>
      </c>
      <c r="J84" s="43" t="s">
        <v>89</v>
      </c>
      <c r="K84" s="43" t="s">
        <v>623</v>
      </c>
      <c r="L84" s="43" t="s">
        <v>1220</v>
      </c>
      <c r="M84" s="43" t="s">
        <v>840</v>
      </c>
      <c r="N84" s="43" t="s">
        <v>617</v>
      </c>
      <c r="O84" s="43" t="s">
        <v>626</v>
      </c>
      <c r="P84" s="43" t="s">
        <v>841</v>
      </c>
      <c r="Q84" s="43" t="s">
        <v>1221</v>
      </c>
      <c r="R84" s="43" t="s">
        <v>1123</v>
      </c>
      <c r="S84" s="43" t="s">
        <v>629</v>
      </c>
      <c r="T84" s="43"/>
      <c r="U84" s="43"/>
      <c r="V84" s="43"/>
      <c r="W84" s="43"/>
      <c r="X84" s="43"/>
      <c r="Y84" s="43"/>
      <c r="Z84" s="43"/>
    </row>
    <row r="85" spans="1:26" ht="15.75" customHeight="1" x14ac:dyDescent="0.25">
      <c r="A85" s="43" t="s">
        <v>167</v>
      </c>
      <c r="B85" s="43" t="s">
        <v>1222</v>
      </c>
      <c r="C85" s="43" t="s">
        <v>1223</v>
      </c>
      <c r="D85" s="43" t="s">
        <v>617</v>
      </c>
      <c r="E85" s="43" t="s">
        <v>1224</v>
      </c>
      <c r="F85" s="43" t="s">
        <v>619</v>
      </c>
      <c r="G85" s="43" t="s">
        <v>1225</v>
      </c>
      <c r="H85" s="43" t="s">
        <v>653</v>
      </c>
      <c r="I85" s="43" t="s">
        <v>1226</v>
      </c>
      <c r="J85" s="43" t="s">
        <v>1227</v>
      </c>
      <c r="K85" s="43" t="s">
        <v>1123</v>
      </c>
      <c r="L85" s="43" t="s">
        <v>760</v>
      </c>
      <c r="M85" s="43" t="s">
        <v>664</v>
      </c>
      <c r="N85" s="43" t="s">
        <v>617</v>
      </c>
      <c r="O85" s="43" t="s">
        <v>626</v>
      </c>
      <c r="P85" s="43" t="s">
        <v>1228</v>
      </c>
      <c r="Q85" s="43" t="s">
        <v>1229</v>
      </c>
      <c r="R85" s="43" t="s">
        <v>1230</v>
      </c>
      <c r="S85" s="43" t="s">
        <v>648</v>
      </c>
      <c r="T85" s="43"/>
      <c r="U85" s="43"/>
      <c r="V85" s="43"/>
      <c r="W85" s="43"/>
      <c r="X85" s="43"/>
      <c r="Y85" s="43"/>
      <c r="Z85" s="43"/>
    </row>
    <row r="86" spans="1:26" ht="15.75" customHeight="1" x14ac:dyDescent="0.25">
      <c r="A86" s="43" t="s">
        <v>168</v>
      </c>
      <c r="B86" s="43" t="s">
        <v>1231</v>
      </c>
      <c r="C86" s="43" t="s">
        <v>1232</v>
      </c>
      <c r="D86" s="43" t="s">
        <v>617</v>
      </c>
      <c r="E86" s="43" t="s">
        <v>1233</v>
      </c>
      <c r="F86" s="43" t="s">
        <v>619</v>
      </c>
      <c r="G86" s="43" t="s">
        <v>1234</v>
      </c>
      <c r="H86" s="43" t="s">
        <v>653</v>
      </c>
      <c r="I86" s="43" t="s">
        <v>868</v>
      </c>
      <c r="J86" s="43" t="s">
        <v>86</v>
      </c>
      <c r="K86" s="43" t="s">
        <v>623</v>
      </c>
      <c r="L86" s="43" t="s">
        <v>760</v>
      </c>
      <c r="M86" s="43" t="s">
        <v>664</v>
      </c>
      <c r="N86" s="43" t="s">
        <v>617</v>
      </c>
      <c r="O86" s="43" t="s">
        <v>626</v>
      </c>
      <c r="P86" s="43" t="s">
        <v>665</v>
      </c>
      <c r="Q86" s="43" t="s">
        <v>1235</v>
      </c>
      <c r="R86" s="43" t="s">
        <v>1235</v>
      </c>
      <c r="S86" s="43" t="s">
        <v>648</v>
      </c>
      <c r="T86" s="43"/>
      <c r="U86" s="43"/>
      <c r="V86" s="43"/>
      <c r="W86" s="43"/>
      <c r="X86" s="43"/>
      <c r="Y86" s="43"/>
      <c r="Z86" s="43"/>
    </row>
    <row r="87" spans="1:26" ht="15.75" customHeight="1" x14ac:dyDescent="0.25">
      <c r="A87" s="43" t="s">
        <v>169</v>
      </c>
      <c r="B87" s="43" t="s">
        <v>1236</v>
      </c>
      <c r="C87" s="43" t="s">
        <v>1237</v>
      </c>
      <c r="D87" s="43" t="s">
        <v>617</v>
      </c>
      <c r="E87" s="43" t="s">
        <v>1238</v>
      </c>
      <c r="F87" s="43" t="s">
        <v>619</v>
      </c>
      <c r="G87" s="43" t="s">
        <v>1239</v>
      </c>
      <c r="H87" s="43" t="s">
        <v>653</v>
      </c>
      <c r="I87" s="43" t="s">
        <v>1240</v>
      </c>
      <c r="J87" s="43" t="s">
        <v>86</v>
      </c>
      <c r="K87" s="43" t="s">
        <v>623</v>
      </c>
      <c r="L87" s="43" t="s">
        <v>624</v>
      </c>
      <c r="M87" s="43" t="s">
        <v>625</v>
      </c>
      <c r="N87" s="43" t="s">
        <v>617</v>
      </c>
      <c r="O87" s="43" t="s">
        <v>626</v>
      </c>
      <c r="P87" s="43" t="s">
        <v>819</v>
      </c>
      <c r="Q87" s="43" t="s">
        <v>1241</v>
      </c>
      <c r="R87" s="43" t="s">
        <v>1242</v>
      </c>
      <c r="S87" s="43" t="s">
        <v>629</v>
      </c>
      <c r="T87" s="43"/>
      <c r="U87" s="43"/>
      <c r="V87" s="43"/>
      <c r="W87" s="43"/>
      <c r="X87" s="43"/>
      <c r="Y87" s="43"/>
      <c r="Z87" s="43"/>
    </row>
    <row r="88" spans="1:26" ht="15.75" customHeight="1" x14ac:dyDescent="0.25">
      <c r="A88" s="43" t="s">
        <v>170</v>
      </c>
      <c r="B88" s="43" t="s">
        <v>1243</v>
      </c>
      <c r="C88" s="43" t="s">
        <v>1244</v>
      </c>
      <c r="D88" s="43" t="s">
        <v>617</v>
      </c>
      <c r="E88" s="43" t="s">
        <v>1245</v>
      </c>
      <c r="F88" s="43" t="s">
        <v>619</v>
      </c>
      <c r="G88" s="43" t="s">
        <v>1246</v>
      </c>
      <c r="H88" s="43" t="s">
        <v>653</v>
      </c>
      <c r="I88" s="43" t="s">
        <v>1081</v>
      </c>
      <c r="J88" s="43" t="s">
        <v>86</v>
      </c>
      <c r="K88" s="43" t="s">
        <v>623</v>
      </c>
      <c r="L88" s="43" t="s">
        <v>680</v>
      </c>
      <c r="M88" s="43" t="s">
        <v>617</v>
      </c>
      <c r="N88" s="43" t="s">
        <v>617</v>
      </c>
      <c r="O88" s="43" t="s">
        <v>626</v>
      </c>
      <c r="P88" s="43" t="s">
        <v>714</v>
      </c>
      <c r="Q88" s="43" t="s">
        <v>1247</v>
      </c>
      <c r="R88" s="43" t="s">
        <v>1248</v>
      </c>
      <c r="S88" s="43" t="s">
        <v>629</v>
      </c>
      <c r="T88" s="43"/>
      <c r="U88" s="43"/>
      <c r="V88" s="43"/>
      <c r="W88" s="43"/>
      <c r="X88" s="43"/>
      <c r="Y88" s="43"/>
      <c r="Z88" s="43"/>
    </row>
    <row r="89" spans="1:26" ht="15.75" customHeight="1" x14ac:dyDescent="0.25">
      <c r="A89" s="43" t="s">
        <v>171</v>
      </c>
      <c r="B89" s="43" t="s">
        <v>1249</v>
      </c>
      <c r="C89" s="43" t="s">
        <v>1250</v>
      </c>
      <c r="D89" s="43" t="s">
        <v>617</v>
      </c>
      <c r="E89" s="43" t="s">
        <v>1251</v>
      </c>
      <c r="F89" s="43" t="s">
        <v>619</v>
      </c>
      <c r="G89" s="43" t="s">
        <v>1252</v>
      </c>
      <c r="H89" s="43" t="s">
        <v>653</v>
      </c>
      <c r="I89" s="43" t="s">
        <v>1185</v>
      </c>
      <c r="J89" s="43" t="s">
        <v>87</v>
      </c>
      <c r="K89" s="43" t="s">
        <v>623</v>
      </c>
      <c r="L89" s="43" t="s">
        <v>1186</v>
      </c>
      <c r="M89" s="43" t="s">
        <v>818</v>
      </c>
      <c r="N89" s="43" t="s">
        <v>617</v>
      </c>
      <c r="O89" s="43" t="s">
        <v>626</v>
      </c>
      <c r="P89" s="43" t="s">
        <v>637</v>
      </c>
      <c r="Q89" s="43" t="s">
        <v>1123</v>
      </c>
      <c r="R89" s="43" t="s">
        <v>1253</v>
      </c>
      <c r="S89" s="43" t="s">
        <v>648</v>
      </c>
      <c r="T89" s="43"/>
      <c r="U89" s="43"/>
      <c r="V89" s="43"/>
      <c r="W89" s="43"/>
      <c r="X89" s="43"/>
      <c r="Y89" s="43"/>
      <c r="Z89" s="43"/>
    </row>
    <row r="90" spans="1:26" ht="15.75" customHeight="1" x14ac:dyDescent="0.25">
      <c r="A90" s="43" t="s">
        <v>172</v>
      </c>
      <c r="B90" s="43" t="s">
        <v>1254</v>
      </c>
      <c r="C90" s="43" t="s">
        <v>1255</v>
      </c>
      <c r="D90" s="43" t="s">
        <v>617</v>
      </c>
      <c r="E90" s="43" t="s">
        <v>1256</v>
      </c>
      <c r="F90" s="43" t="s">
        <v>619</v>
      </c>
      <c r="G90" s="43" t="s">
        <v>1257</v>
      </c>
      <c r="H90" s="43" t="s">
        <v>634</v>
      </c>
      <c r="I90" s="43" t="s">
        <v>1185</v>
      </c>
      <c r="J90" s="43" t="s">
        <v>87</v>
      </c>
      <c r="K90" s="43" t="s">
        <v>623</v>
      </c>
      <c r="L90" s="43" t="s">
        <v>1186</v>
      </c>
      <c r="M90" s="43" t="s">
        <v>818</v>
      </c>
      <c r="N90" s="43" t="s">
        <v>617</v>
      </c>
      <c r="O90" s="43" t="s">
        <v>626</v>
      </c>
      <c r="P90" s="43" t="s">
        <v>819</v>
      </c>
      <c r="Q90" s="43" t="s">
        <v>1123</v>
      </c>
      <c r="R90" s="43" t="s">
        <v>1253</v>
      </c>
      <c r="S90" s="43" t="s">
        <v>648</v>
      </c>
      <c r="T90" s="43"/>
      <c r="U90" s="43"/>
      <c r="V90" s="43"/>
      <c r="W90" s="43"/>
      <c r="X90" s="43"/>
      <c r="Y90" s="43"/>
      <c r="Z90" s="43"/>
    </row>
    <row r="91" spans="1:26" ht="15.75" customHeight="1" x14ac:dyDescent="0.25">
      <c r="A91" s="43" t="s">
        <v>173</v>
      </c>
      <c r="B91" s="43" t="s">
        <v>1258</v>
      </c>
      <c r="C91" s="43" t="s">
        <v>1259</v>
      </c>
      <c r="D91" s="43" t="s">
        <v>617</v>
      </c>
      <c r="E91" s="43" t="s">
        <v>829</v>
      </c>
      <c r="F91" s="43" t="s">
        <v>619</v>
      </c>
      <c r="G91" s="43" t="s">
        <v>1260</v>
      </c>
      <c r="H91" s="43" t="s">
        <v>653</v>
      </c>
      <c r="I91" s="43" t="s">
        <v>1261</v>
      </c>
      <c r="J91" s="43" t="s">
        <v>88</v>
      </c>
      <c r="K91" s="43" t="s">
        <v>623</v>
      </c>
      <c r="L91" s="43" t="s">
        <v>695</v>
      </c>
      <c r="M91" s="43" t="s">
        <v>664</v>
      </c>
      <c r="N91" s="43" t="s">
        <v>617</v>
      </c>
      <c r="O91" s="43" t="s">
        <v>626</v>
      </c>
      <c r="P91" s="43" t="s">
        <v>665</v>
      </c>
      <c r="Q91" s="43" t="s">
        <v>1262</v>
      </c>
      <c r="R91" s="43" t="s">
        <v>1263</v>
      </c>
      <c r="S91" s="43" t="s">
        <v>648</v>
      </c>
      <c r="T91" s="43"/>
      <c r="U91" s="43"/>
      <c r="V91" s="43"/>
      <c r="W91" s="43"/>
      <c r="X91" s="43"/>
      <c r="Y91" s="43"/>
      <c r="Z91" s="43"/>
    </row>
    <row r="92" spans="1:26" ht="15.75" customHeight="1" x14ac:dyDescent="0.25">
      <c r="A92" s="43" t="s">
        <v>174</v>
      </c>
      <c r="B92" s="43" t="s">
        <v>1264</v>
      </c>
      <c r="C92" s="43" t="s">
        <v>1265</v>
      </c>
      <c r="D92" s="43" t="s">
        <v>617</v>
      </c>
      <c r="E92" s="43" t="s">
        <v>823</v>
      </c>
      <c r="F92" s="43" t="s">
        <v>619</v>
      </c>
      <c r="G92" s="43" t="s">
        <v>1266</v>
      </c>
      <c r="H92" s="43" t="s">
        <v>653</v>
      </c>
      <c r="I92" s="43" t="s">
        <v>1267</v>
      </c>
      <c r="J92" s="43" t="s">
        <v>86</v>
      </c>
      <c r="K92" s="43"/>
      <c r="L92" s="43" t="s">
        <v>617</v>
      </c>
      <c r="M92" s="43" t="s">
        <v>617</v>
      </c>
      <c r="N92" s="43" t="s">
        <v>617</v>
      </c>
      <c r="O92" s="43" t="s">
        <v>626</v>
      </c>
      <c r="P92" s="43" t="s">
        <v>1268</v>
      </c>
      <c r="Q92" s="43" t="s">
        <v>1269</v>
      </c>
      <c r="R92" s="43" t="s">
        <v>1270</v>
      </c>
      <c r="S92" s="43" t="s">
        <v>1271</v>
      </c>
      <c r="T92" s="43"/>
      <c r="U92" s="43"/>
      <c r="V92" s="43"/>
      <c r="W92" s="43"/>
      <c r="X92" s="43"/>
      <c r="Y92" s="43"/>
      <c r="Z92" s="43"/>
    </row>
    <row r="93" spans="1:26" ht="15.75" customHeight="1" x14ac:dyDescent="0.25">
      <c r="A93" s="43" t="s">
        <v>175</v>
      </c>
      <c r="B93" s="43" t="s">
        <v>1272</v>
      </c>
      <c r="C93" s="43" t="s">
        <v>1273</v>
      </c>
      <c r="D93" s="43" t="s">
        <v>617</v>
      </c>
      <c r="E93" s="43" t="s">
        <v>823</v>
      </c>
      <c r="F93" s="43" t="s">
        <v>619</v>
      </c>
      <c r="G93" s="43" t="s">
        <v>1274</v>
      </c>
      <c r="H93" s="43" t="s">
        <v>1275</v>
      </c>
      <c r="I93" s="43" t="s">
        <v>1276</v>
      </c>
      <c r="J93" s="43" t="s">
        <v>1101</v>
      </c>
      <c r="K93" s="43" t="s">
        <v>1123</v>
      </c>
      <c r="L93" s="43" t="s">
        <v>617</v>
      </c>
      <c r="M93" s="43" t="s">
        <v>617</v>
      </c>
      <c r="N93" s="43" t="s">
        <v>617</v>
      </c>
      <c r="O93" s="43" t="s">
        <v>626</v>
      </c>
      <c r="P93" s="43" t="s">
        <v>714</v>
      </c>
      <c r="Q93" s="43" t="s">
        <v>1277</v>
      </c>
      <c r="R93" s="43" t="s">
        <v>1278</v>
      </c>
      <c r="S93" s="43" t="s">
        <v>648</v>
      </c>
      <c r="T93" s="43"/>
      <c r="U93" s="43"/>
      <c r="V93" s="43"/>
      <c r="W93" s="43"/>
      <c r="X93" s="43"/>
      <c r="Y93" s="43"/>
      <c r="Z93" s="43"/>
    </row>
    <row r="94" spans="1:26" ht="15.75" customHeight="1" x14ac:dyDescent="0.25">
      <c r="A94" s="43" t="s">
        <v>176</v>
      </c>
      <c r="B94" s="43" t="s">
        <v>1279</v>
      </c>
      <c r="C94" s="43" t="s">
        <v>1280</v>
      </c>
      <c r="D94" s="43" t="s">
        <v>617</v>
      </c>
      <c r="E94" s="43" t="s">
        <v>1281</v>
      </c>
      <c r="F94" s="43" t="s">
        <v>619</v>
      </c>
      <c r="G94" s="43" t="s">
        <v>1282</v>
      </c>
      <c r="H94" s="43" t="s">
        <v>1283</v>
      </c>
      <c r="I94" s="43" t="s">
        <v>1284</v>
      </c>
      <c r="J94" s="43" t="s">
        <v>1111</v>
      </c>
      <c r="K94" s="43" t="s">
        <v>1102</v>
      </c>
      <c r="L94" s="43" t="s">
        <v>680</v>
      </c>
      <c r="M94" s="43" t="s">
        <v>617</v>
      </c>
      <c r="N94" s="43" t="s">
        <v>617</v>
      </c>
      <c r="O94" s="43" t="s">
        <v>626</v>
      </c>
      <c r="P94" s="43" t="s">
        <v>1285</v>
      </c>
      <c r="Q94" s="43" t="s">
        <v>1286</v>
      </c>
      <c r="R94" s="43" t="s">
        <v>1102</v>
      </c>
      <c r="S94" s="43" t="s">
        <v>648</v>
      </c>
      <c r="T94" s="43"/>
      <c r="U94" s="43"/>
      <c r="V94" s="43"/>
      <c r="W94" s="43"/>
      <c r="X94" s="43"/>
      <c r="Y94" s="43"/>
      <c r="Z94" s="43"/>
    </row>
    <row r="95" spans="1:26" ht="15.75" customHeight="1" x14ac:dyDescent="0.25">
      <c r="A95" s="43" t="s">
        <v>177</v>
      </c>
      <c r="B95" s="43" t="s">
        <v>1287</v>
      </c>
      <c r="C95" s="43" t="s">
        <v>1288</v>
      </c>
      <c r="D95" s="43" t="s">
        <v>1289</v>
      </c>
      <c r="E95" s="43" t="s">
        <v>1290</v>
      </c>
      <c r="F95" s="43" t="s">
        <v>740</v>
      </c>
      <c r="G95" s="43" t="s">
        <v>1291</v>
      </c>
      <c r="H95" s="43" t="s">
        <v>1292</v>
      </c>
      <c r="I95" s="43" t="s">
        <v>1293</v>
      </c>
      <c r="J95" s="43" t="s">
        <v>100</v>
      </c>
      <c r="K95" s="43"/>
      <c r="L95" s="43" t="s">
        <v>1294</v>
      </c>
      <c r="M95" s="43" t="s">
        <v>1295</v>
      </c>
      <c r="N95" s="43" t="s">
        <v>1296</v>
      </c>
      <c r="O95" s="43" t="s">
        <v>626</v>
      </c>
      <c r="P95" s="43" t="s">
        <v>1297</v>
      </c>
      <c r="Q95" s="43" t="s">
        <v>1298</v>
      </c>
      <c r="R95" s="43" t="s">
        <v>1298</v>
      </c>
      <c r="S95" s="43" t="s">
        <v>893</v>
      </c>
      <c r="T95" s="43"/>
      <c r="U95" s="43"/>
      <c r="V95" s="43"/>
      <c r="W95" s="43"/>
      <c r="X95" s="43"/>
      <c r="Y95" s="43"/>
      <c r="Z95" s="43"/>
    </row>
    <row r="96" spans="1:26" ht="15.75" customHeight="1" x14ac:dyDescent="0.25">
      <c r="A96" s="43" t="s">
        <v>178</v>
      </c>
      <c r="B96" s="43" t="s">
        <v>1299</v>
      </c>
      <c r="C96" s="43" t="s">
        <v>1300</v>
      </c>
      <c r="D96" s="43" t="s">
        <v>617</v>
      </c>
      <c r="E96" s="43" t="s">
        <v>1301</v>
      </c>
      <c r="F96" s="43" t="s">
        <v>619</v>
      </c>
      <c r="G96" s="43" t="s">
        <v>1302</v>
      </c>
      <c r="H96" s="43" t="s">
        <v>735</v>
      </c>
      <c r="I96" s="43" t="s">
        <v>1303</v>
      </c>
      <c r="J96" s="43" t="s">
        <v>1304</v>
      </c>
      <c r="K96" s="43" t="s">
        <v>1102</v>
      </c>
      <c r="L96" s="43" t="s">
        <v>1305</v>
      </c>
      <c r="M96" s="43" t="s">
        <v>744</v>
      </c>
      <c r="N96" s="43" t="s">
        <v>617</v>
      </c>
      <c r="O96" s="43" t="s">
        <v>1103</v>
      </c>
      <c r="P96" s="43" t="s">
        <v>714</v>
      </c>
      <c r="Q96" s="43" t="s">
        <v>1306</v>
      </c>
      <c r="R96" s="43" t="s">
        <v>1307</v>
      </c>
      <c r="S96" s="43" t="s">
        <v>629</v>
      </c>
      <c r="T96" s="43"/>
      <c r="U96" s="43"/>
      <c r="V96" s="43"/>
      <c r="W96" s="43"/>
      <c r="X96" s="43"/>
      <c r="Y96" s="43"/>
      <c r="Z96" s="43"/>
    </row>
    <row r="97" spans="1:26" ht="15.75" customHeight="1" x14ac:dyDescent="0.25">
      <c r="A97" s="43" t="s">
        <v>179</v>
      </c>
      <c r="B97" s="43" t="s">
        <v>1308</v>
      </c>
      <c r="C97" s="43" t="s">
        <v>1309</v>
      </c>
      <c r="D97" s="43" t="s">
        <v>617</v>
      </c>
      <c r="E97" s="43" t="s">
        <v>1310</v>
      </c>
      <c r="F97" s="43" t="s">
        <v>619</v>
      </c>
      <c r="G97" s="43" t="s">
        <v>1311</v>
      </c>
      <c r="H97" s="43" t="s">
        <v>653</v>
      </c>
      <c r="I97" s="43" t="s">
        <v>1312</v>
      </c>
      <c r="J97" s="43" t="s">
        <v>1227</v>
      </c>
      <c r="K97" s="43"/>
      <c r="L97" s="43" t="s">
        <v>743</v>
      </c>
      <c r="M97" s="43" t="s">
        <v>744</v>
      </c>
      <c r="N97" s="43" t="s">
        <v>617</v>
      </c>
      <c r="O97" s="43" t="s">
        <v>626</v>
      </c>
      <c r="P97" s="43" t="s">
        <v>1136</v>
      </c>
      <c r="Q97" s="43" t="s">
        <v>1313</v>
      </c>
      <c r="R97" s="43" t="s">
        <v>1314</v>
      </c>
      <c r="S97" s="43" t="s">
        <v>648</v>
      </c>
      <c r="T97" s="43"/>
      <c r="U97" s="43"/>
      <c r="V97" s="43"/>
      <c r="W97" s="43"/>
      <c r="X97" s="43"/>
      <c r="Y97" s="43"/>
      <c r="Z97" s="43"/>
    </row>
    <row r="98" spans="1:26" ht="15.75" customHeight="1" x14ac:dyDescent="0.25">
      <c r="A98" s="43" t="s">
        <v>180</v>
      </c>
      <c r="B98" s="43" t="s">
        <v>1315</v>
      </c>
      <c r="C98" s="43" t="s">
        <v>1316</v>
      </c>
      <c r="D98" s="43" t="s">
        <v>617</v>
      </c>
      <c r="E98" s="43" t="s">
        <v>986</v>
      </c>
      <c r="F98" s="43" t="s">
        <v>619</v>
      </c>
      <c r="G98" s="43" t="s">
        <v>1317</v>
      </c>
      <c r="H98" s="43" t="s">
        <v>1318</v>
      </c>
      <c r="I98" s="43" t="s">
        <v>1319</v>
      </c>
      <c r="J98" s="43" t="s">
        <v>124</v>
      </c>
      <c r="K98" s="43" t="s">
        <v>623</v>
      </c>
      <c r="L98" s="43" t="s">
        <v>1320</v>
      </c>
      <c r="M98" s="43" t="s">
        <v>818</v>
      </c>
      <c r="N98" s="43" t="s">
        <v>617</v>
      </c>
      <c r="O98" s="43" t="s">
        <v>626</v>
      </c>
      <c r="P98" s="43" t="s">
        <v>819</v>
      </c>
      <c r="Q98" s="43" t="s">
        <v>1321</v>
      </c>
      <c r="R98" s="43" t="s">
        <v>1322</v>
      </c>
      <c r="S98" s="43" t="s">
        <v>648</v>
      </c>
      <c r="T98" s="43"/>
      <c r="U98" s="43"/>
      <c r="V98" s="43"/>
      <c r="W98" s="43"/>
      <c r="X98" s="43"/>
      <c r="Y98" s="43"/>
      <c r="Z98" s="43"/>
    </row>
    <row r="99" spans="1:26" ht="15.75" customHeight="1" x14ac:dyDescent="0.25">
      <c r="A99" s="43" t="s">
        <v>181</v>
      </c>
      <c r="B99" s="43" t="s">
        <v>1323</v>
      </c>
      <c r="C99" s="43" t="s">
        <v>1324</v>
      </c>
      <c r="D99" s="43" t="s">
        <v>617</v>
      </c>
      <c r="E99" s="43" t="s">
        <v>1325</v>
      </c>
      <c r="F99" s="43" t="s">
        <v>619</v>
      </c>
      <c r="G99" s="43" t="s">
        <v>1326</v>
      </c>
      <c r="H99" s="43" t="s">
        <v>653</v>
      </c>
      <c r="I99" s="43" t="s">
        <v>1327</v>
      </c>
      <c r="J99" s="43" t="s">
        <v>87</v>
      </c>
      <c r="K99" s="43" t="s">
        <v>623</v>
      </c>
      <c r="L99" s="43" t="s">
        <v>1069</v>
      </c>
      <c r="M99" s="43" t="s">
        <v>914</v>
      </c>
      <c r="N99" s="43" t="s">
        <v>617</v>
      </c>
      <c r="O99" s="43" t="s">
        <v>626</v>
      </c>
      <c r="P99" s="43" t="s">
        <v>637</v>
      </c>
      <c r="Q99" s="43" t="s">
        <v>1123</v>
      </c>
      <c r="R99" s="43" t="s">
        <v>1328</v>
      </c>
      <c r="S99" s="43" t="s">
        <v>648</v>
      </c>
      <c r="T99" s="43"/>
      <c r="U99" s="43"/>
      <c r="V99" s="43"/>
      <c r="W99" s="43"/>
      <c r="X99" s="43"/>
      <c r="Y99" s="43"/>
      <c r="Z99" s="43"/>
    </row>
    <row r="100" spans="1:26" ht="15.75" customHeight="1" x14ac:dyDescent="0.25">
      <c r="A100" s="43" t="s">
        <v>182</v>
      </c>
      <c r="B100" s="43" t="s">
        <v>1329</v>
      </c>
      <c r="C100" s="43" t="s">
        <v>1330</v>
      </c>
      <c r="D100" s="43" t="s">
        <v>885</v>
      </c>
      <c r="E100" s="43" t="s">
        <v>1331</v>
      </c>
      <c r="F100" s="43" t="s">
        <v>619</v>
      </c>
      <c r="G100" s="43" t="s">
        <v>1332</v>
      </c>
      <c r="H100" s="43" t="s">
        <v>653</v>
      </c>
      <c r="I100" s="43" t="s">
        <v>1333</v>
      </c>
      <c r="J100" s="43" t="s">
        <v>84</v>
      </c>
      <c r="K100" s="43" t="s">
        <v>84</v>
      </c>
      <c r="L100" s="43" t="s">
        <v>1334</v>
      </c>
      <c r="M100" s="43" t="s">
        <v>1335</v>
      </c>
      <c r="N100" s="43" t="s">
        <v>885</v>
      </c>
      <c r="O100" s="43" t="s">
        <v>626</v>
      </c>
      <c r="P100" s="43" t="s">
        <v>1336</v>
      </c>
      <c r="Q100" s="43" t="s">
        <v>1337</v>
      </c>
      <c r="R100" s="43" t="s">
        <v>1338</v>
      </c>
      <c r="S100" s="43" t="s">
        <v>629</v>
      </c>
      <c r="T100" s="43"/>
      <c r="U100" s="43"/>
      <c r="V100" s="43"/>
      <c r="W100" s="43"/>
      <c r="X100" s="43"/>
      <c r="Y100" s="43"/>
      <c r="Z100" s="43"/>
    </row>
    <row r="101" spans="1:26" ht="15.75" customHeight="1" x14ac:dyDescent="0.25">
      <c r="A101" s="43" t="s">
        <v>183</v>
      </c>
      <c r="B101" s="43" t="s">
        <v>1339</v>
      </c>
      <c r="C101" s="43" t="s">
        <v>1340</v>
      </c>
      <c r="D101" s="43" t="s">
        <v>617</v>
      </c>
      <c r="E101" s="43" t="s">
        <v>1341</v>
      </c>
      <c r="F101" s="43" t="s">
        <v>619</v>
      </c>
      <c r="G101" s="43" t="s">
        <v>1342</v>
      </c>
      <c r="H101" s="43" t="s">
        <v>1343</v>
      </c>
      <c r="I101" s="43" t="s">
        <v>679</v>
      </c>
      <c r="J101" s="43" t="s">
        <v>1101</v>
      </c>
      <c r="K101" s="43" t="s">
        <v>1123</v>
      </c>
      <c r="L101" s="43" t="s">
        <v>680</v>
      </c>
      <c r="M101" s="43" t="s">
        <v>617</v>
      </c>
      <c r="N101" s="43" t="s">
        <v>617</v>
      </c>
      <c r="O101" s="43" t="s">
        <v>626</v>
      </c>
      <c r="P101" s="43" t="s">
        <v>714</v>
      </c>
      <c r="Q101" s="43" t="s">
        <v>1344</v>
      </c>
      <c r="R101" s="43" t="s">
        <v>1345</v>
      </c>
      <c r="S101" s="43" t="s">
        <v>893</v>
      </c>
      <c r="T101" s="43"/>
      <c r="U101" s="43"/>
      <c r="V101" s="43"/>
      <c r="W101" s="43"/>
      <c r="X101" s="43"/>
      <c r="Y101" s="43"/>
      <c r="Z101" s="43"/>
    </row>
    <row r="102" spans="1:26" ht="15.75" customHeight="1" x14ac:dyDescent="0.25">
      <c r="A102" s="43" t="s">
        <v>184</v>
      </c>
      <c r="B102" s="43" t="s">
        <v>1346</v>
      </c>
      <c r="C102" s="43" t="s">
        <v>1347</v>
      </c>
      <c r="D102" s="43" t="s">
        <v>749</v>
      </c>
      <c r="E102" s="43" t="s">
        <v>1348</v>
      </c>
      <c r="F102" s="43" t="s">
        <v>619</v>
      </c>
      <c r="G102" s="43" t="s">
        <v>1349</v>
      </c>
      <c r="H102" s="43" t="s">
        <v>735</v>
      </c>
      <c r="I102" s="43" t="s">
        <v>1350</v>
      </c>
      <c r="J102" s="43" t="s">
        <v>89</v>
      </c>
      <c r="K102" s="43" t="s">
        <v>623</v>
      </c>
      <c r="L102" s="43" t="s">
        <v>1214</v>
      </c>
      <c r="M102" s="43" t="s">
        <v>1113</v>
      </c>
      <c r="N102" s="43" t="s">
        <v>617</v>
      </c>
      <c r="O102" s="43" t="s">
        <v>626</v>
      </c>
      <c r="P102" s="43" t="s">
        <v>1351</v>
      </c>
      <c r="Q102" s="43" t="s">
        <v>1352</v>
      </c>
      <c r="R102" s="43" t="s">
        <v>1353</v>
      </c>
      <c r="S102" s="43" t="s">
        <v>730</v>
      </c>
      <c r="T102" s="43"/>
      <c r="U102" s="43"/>
      <c r="V102" s="43"/>
      <c r="W102" s="43"/>
      <c r="X102" s="43"/>
      <c r="Y102" s="43"/>
      <c r="Z102" s="43"/>
    </row>
    <row r="103" spans="1:26" ht="15.75" customHeight="1" x14ac:dyDescent="0.25">
      <c r="A103" s="43" t="s">
        <v>185</v>
      </c>
      <c r="B103" s="43" t="s">
        <v>1354</v>
      </c>
      <c r="C103" s="43" t="s">
        <v>1355</v>
      </c>
      <c r="D103" s="43" t="s">
        <v>828</v>
      </c>
      <c r="E103" s="43" t="s">
        <v>1163</v>
      </c>
      <c r="F103" s="43" t="s">
        <v>619</v>
      </c>
      <c r="G103" s="43" t="s">
        <v>1356</v>
      </c>
      <c r="H103" s="43" t="s">
        <v>735</v>
      </c>
      <c r="I103" s="43" t="s">
        <v>1357</v>
      </c>
      <c r="J103" s="43" t="s">
        <v>89</v>
      </c>
      <c r="K103" s="43"/>
      <c r="L103" s="43" t="s">
        <v>1358</v>
      </c>
      <c r="M103" s="43" t="s">
        <v>855</v>
      </c>
      <c r="N103" s="43" t="s">
        <v>617</v>
      </c>
      <c r="O103" s="43" t="s">
        <v>626</v>
      </c>
      <c r="P103" s="43" t="s">
        <v>1359</v>
      </c>
      <c r="Q103" s="43" t="s">
        <v>1360</v>
      </c>
      <c r="R103" s="43" t="s">
        <v>1361</v>
      </c>
      <c r="S103" s="43" t="s">
        <v>893</v>
      </c>
      <c r="T103" s="43"/>
      <c r="U103" s="43"/>
      <c r="V103" s="43"/>
      <c r="W103" s="43"/>
      <c r="X103" s="43"/>
      <c r="Y103" s="43"/>
      <c r="Z103" s="43"/>
    </row>
    <row r="104" spans="1:26" ht="15.75" customHeight="1" x14ac:dyDescent="0.25">
      <c r="A104" s="43" t="s">
        <v>186</v>
      </c>
      <c r="B104" s="43" t="s">
        <v>1362</v>
      </c>
      <c r="C104" s="43" t="s">
        <v>1363</v>
      </c>
      <c r="D104" s="43" t="s">
        <v>617</v>
      </c>
      <c r="E104" s="43" t="s">
        <v>1364</v>
      </c>
      <c r="F104" s="43" t="s">
        <v>619</v>
      </c>
      <c r="G104" s="43" t="s">
        <v>1365</v>
      </c>
      <c r="H104" s="43" t="s">
        <v>1283</v>
      </c>
      <c r="I104" s="43" t="s">
        <v>1081</v>
      </c>
      <c r="J104" s="43" t="s">
        <v>90</v>
      </c>
      <c r="K104" s="43" t="s">
        <v>623</v>
      </c>
      <c r="L104" s="43" t="s">
        <v>680</v>
      </c>
      <c r="M104" s="43" t="s">
        <v>617</v>
      </c>
      <c r="N104" s="43" t="s">
        <v>617</v>
      </c>
      <c r="O104" s="43" t="s">
        <v>626</v>
      </c>
      <c r="P104" s="43" t="s">
        <v>1366</v>
      </c>
      <c r="Q104" s="43" t="s">
        <v>1367</v>
      </c>
      <c r="R104" s="43" t="s">
        <v>1368</v>
      </c>
      <c r="S104" s="43" t="s">
        <v>893</v>
      </c>
      <c r="T104" s="43"/>
      <c r="U104" s="43"/>
      <c r="V104" s="43"/>
      <c r="W104" s="43"/>
      <c r="X104" s="43"/>
      <c r="Y104" s="43"/>
      <c r="Z104" s="43"/>
    </row>
    <row r="105" spans="1:26" ht="15.75" customHeight="1" x14ac:dyDescent="0.25">
      <c r="A105" s="43" t="s">
        <v>187</v>
      </c>
      <c r="B105" s="43" t="s">
        <v>1369</v>
      </c>
      <c r="C105" s="43" t="s">
        <v>1370</v>
      </c>
      <c r="D105" s="43" t="s">
        <v>617</v>
      </c>
      <c r="E105" s="43" t="s">
        <v>1371</v>
      </c>
      <c r="F105" s="43" t="s">
        <v>619</v>
      </c>
      <c r="G105" s="43" t="s">
        <v>1372</v>
      </c>
      <c r="H105" s="43" t="s">
        <v>653</v>
      </c>
      <c r="I105" s="43" t="s">
        <v>874</v>
      </c>
      <c r="J105" s="43" t="s">
        <v>85</v>
      </c>
      <c r="K105" s="43" t="s">
        <v>623</v>
      </c>
      <c r="L105" s="43" t="s">
        <v>617</v>
      </c>
      <c r="M105" s="43" t="s">
        <v>617</v>
      </c>
      <c r="N105" s="43" t="s">
        <v>617</v>
      </c>
      <c r="O105" s="43" t="s">
        <v>626</v>
      </c>
      <c r="P105" s="43" t="s">
        <v>1373</v>
      </c>
      <c r="Q105" s="43" t="s">
        <v>1374</v>
      </c>
      <c r="R105" s="43" t="s">
        <v>1374</v>
      </c>
      <c r="S105" s="43" t="s">
        <v>730</v>
      </c>
      <c r="T105" s="43"/>
      <c r="U105" s="43"/>
      <c r="V105" s="43"/>
      <c r="W105" s="43"/>
      <c r="X105" s="43"/>
      <c r="Y105" s="43"/>
      <c r="Z105" s="43"/>
    </row>
    <row r="106" spans="1:26" ht="15.75" customHeight="1" x14ac:dyDescent="0.25">
      <c r="A106" s="43" t="s">
        <v>188</v>
      </c>
      <c r="B106" s="43" t="s">
        <v>1375</v>
      </c>
      <c r="C106" s="43" t="s">
        <v>1376</v>
      </c>
      <c r="D106" s="43" t="s">
        <v>617</v>
      </c>
      <c r="E106" s="43" t="s">
        <v>1377</v>
      </c>
      <c r="F106" s="43" t="s">
        <v>619</v>
      </c>
      <c r="G106" s="43" t="s">
        <v>1378</v>
      </c>
      <c r="H106" s="43" t="s">
        <v>653</v>
      </c>
      <c r="I106" s="43" t="s">
        <v>1379</v>
      </c>
      <c r="J106" s="43" t="s">
        <v>85</v>
      </c>
      <c r="K106" s="43" t="s">
        <v>623</v>
      </c>
      <c r="L106" s="43" t="s">
        <v>1380</v>
      </c>
      <c r="M106" s="43" t="s">
        <v>645</v>
      </c>
      <c r="N106" s="43" t="s">
        <v>617</v>
      </c>
      <c r="O106" s="43" t="s">
        <v>626</v>
      </c>
      <c r="P106" s="43" t="s">
        <v>1381</v>
      </c>
      <c r="Q106" s="43" t="s">
        <v>1382</v>
      </c>
      <c r="R106" s="43" t="s">
        <v>1383</v>
      </c>
      <c r="S106" s="43" t="s">
        <v>730</v>
      </c>
      <c r="T106" s="43"/>
      <c r="U106" s="43"/>
      <c r="V106" s="43"/>
      <c r="W106" s="43"/>
      <c r="X106" s="43"/>
      <c r="Y106" s="43"/>
      <c r="Z106" s="43"/>
    </row>
    <row r="107" spans="1:26" ht="15.75" customHeight="1" x14ac:dyDescent="0.25">
      <c r="A107" s="43" t="s">
        <v>189</v>
      </c>
      <c r="B107" s="43" t="s">
        <v>1384</v>
      </c>
      <c r="C107" s="43" t="s">
        <v>1385</v>
      </c>
      <c r="D107" s="43" t="s">
        <v>962</v>
      </c>
      <c r="E107" s="43" t="s">
        <v>1386</v>
      </c>
      <c r="F107" s="43" t="s">
        <v>619</v>
      </c>
      <c r="G107" s="43" t="s">
        <v>1387</v>
      </c>
      <c r="H107" s="43" t="s">
        <v>653</v>
      </c>
      <c r="I107" s="43" t="s">
        <v>840</v>
      </c>
      <c r="J107" s="43" t="s">
        <v>84</v>
      </c>
      <c r="K107" s="43" t="s">
        <v>623</v>
      </c>
      <c r="L107" s="43" t="s">
        <v>1358</v>
      </c>
      <c r="M107" s="43" t="s">
        <v>855</v>
      </c>
      <c r="N107" s="43" t="s">
        <v>617</v>
      </c>
      <c r="O107" s="43" t="s">
        <v>626</v>
      </c>
      <c r="P107" s="43" t="s">
        <v>1388</v>
      </c>
      <c r="Q107" s="43" t="s">
        <v>1389</v>
      </c>
      <c r="R107" s="43" t="s">
        <v>1390</v>
      </c>
      <c r="S107" s="43" t="s">
        <v>629</v>
      </c>
      <c r="T107" s="43"/>
      <c r="U107" s="43"/>
      <c r="V107" s="43"/>
      <c r="W107" s="43"/>
      <c r="X107" s="43"/>
      <c r="Y107" s="43"/>
      <c r="Z107" s="43"/>
    </row>
    <row r="108" spans="1:26" ht="15.75" customHeight="1" x14ac:dyDescent="0.25">
      <c r="A108" s="43" t="s">
        <v>190</v>
      </c>
      <c r="B108" s="43" t="s">
        <v>1391</v>
      </c>
      <c r="C108" s="43" t="s">
        <v>1392</v>
      </c>
      <c r="D108" s="43" t="s">
        <v>617</v>
      </c>
      <c r="E108" s="43" t="s">
        <v>1393</v>
      </c>
      <c r="F108" s="43" t="s">
        <v>619</v>
      </c>
      <c r="G108" s="43" t="s">
        <v>1394</v>
      </c>
      <c r="H108" s="43" t="s">
        <v>653</v>
      </c>
      <c r="I108" s="43" t="s">
        <v>1395</v>
      </c>
      <c r="J108" s="43" t="s">
        <v>1396</v>
      </c>
      <c r="K108" s="43" t="s">
        <v>1397</v>
      </c>
      <c r="L108" s="43" t="s">
        <v>743</v>
      </c>
      <c r="M108" s="43" t="s">
        <v>744</v>
      </c>
      <c r="N108" s="43" t="s">
        <v>617</v>
      </c>
      <c r="O108" s="43" t="s">
        <v>626</v>
      </c>
      <c r="P108" s="43" t="s">
        <v>714</v>
      </c>
      <c r="Q108" s="43" t="s">
        <v>1398</v>
      </c>
      <c r="R108" s="43" t="s">
        <v>1399</v>
      </c>
      <c r="S108" s="43" t="s">
        <v>629</v>
      </c>
      <c r="T108" s="43"/>
      <c r="U108" s="43"/>
      <c r="V108" s="43"/>
      <c r="W108" s="43"/>
      <c r="X108" s="43"/>
      <c r="Y108" s="43"/>
      <c r="Z108" s="43"/>
    </row>
    <row r="109" spans="1:26" ht="15.75" customHeight="1" x14ac:dyDescent="0.25">
      <c r="A109" s="43" t="s">
        <v>191</v>
      </c>
      <c r="B109" s="43" t="s">
        <v>1400</v>
      </c>
      <c r="C109" s="43" t="s">
        <v>1401</v>
      </c>
      <c r="D109" s="43" t="s">
        <v>617</v>
      </c>
      <c r="E109" s="43" t="s">
        <v>1402</v>
      </c>
      <c r="F109" s="43" t="s">
        <v>619</v>
      </c>
      <c r="G109" s="43" t="s">
        <v>1403</v>
      </c>
      <c r="H109" s="43" t="s">
        <v>653</v>
      </c>
      <c r="I109" s="43" t="s">
        <v>1404</v>
      </c>
      <c r="J109" s="43" t="s">
        <v>86</v>
      </c>
      <c r="K109" s="43" t="s">
        <v>623</v>
      </c>
      <c r="L109" s="43" t="s">
        <v>1174</v>
      </c>
      <c r="M109" s="43" t="s">
        <v>1113</v>
      </c>
      <c r="N109" s="43" t="s">
        <v>617</v>
      </c>
      <c r="O109" s="43" t="s">
        <v>626</v>
      </c>
      <c r="P109" s="43" t="s">
        <v>1114</v>
      </c>
      <c r="Q109" s="43" t="s">
        <v>1405</v>
      </c>
      <c r="R109" s="43" t="s">
        <v>1406</v>
      </c>
      <c r="S109" s="43" t="s">
        <v>648</v>
      </c>
      <c r="T109" s="43"/>
      <c r="U109" s="43"/>
      <c r="V109" s="43"/>
      <c r="W109" s="43"/>
      <c r="X109" s="43"/>
      <c r="Y109" s="43"/>
      <c r="Z109" s="43"/>
    </row>
    <row r="110" spans="1:26" ht="15.75" customHeight="1" x14ac:dyDescent="0.25">
      <c r="A110" s="43" t="s">
        <v>192</v>
      </c>
      <c r="B110" s="43" t="s">
        <v>1407</v>
      </c>
      <c r="C110" s="43" t="s">
        <v>1408</v>
      </c>
      <c r="D110" s="43" t="s">
        <v>617</v>
      </c>
      <c r="E110" s="43" t="s">
        <v>1409</v>
      </c>
      <c r="F110" s="43" t="s">
        <v>619</v>
      </c>
      <c r="G110" s="43" t="s">
        <v>1410</v>
      </c>
      <c r="H110" s="43" t="s">
        <v>653</v>
      </c>
      <c r="I110" s="43" t="s">
        <v>1411</v>
      </c>
      <c r="J110" s="43" t="s">
        <v>114</v>
      </c>
      <c r="K110" s="43" t="s">
        <v>623</v>
      </c>
      <c r="L110" s="43" t="s">
        <v>1412</v>
      </c>
      <c r="M110" s="43" t="s">
        <v>645</v>
      </c>
      <c r="N110" s="43" t="s">
        <v>617</v>
      </c>
      <c r="O110" s="43" t="s">
        <v>626</v>
      </c>
      <c r="P110" s="43" t="s">
        <v>646</v>
      </c>
      <c r="Q110" s="43" t="s">
        <v>1413</v>
      </c>
      <c r="R110" s="43" t="s">
        <v>1414</v>
      </c>
      <c r="S110" s="43" t="s">
        <v>648</v>
      </c>
      <c r="T110" s="43"/>
      <c r="U110" s="43"/>
      <c r="V110" s="43"/>
      <c r="W110" s="43"/>
      <c r="X110" s="43"/>
      <c r="Y110" s="43"/>
      <c r="Z110" s="43"/>
    </row>
    <row r="111" spans="1:26" ht="15.75" customHeight="1" x14ac:dyDescent="0.25">
      <c r="A111" s="43" t="s">
        <v>193</v>
      </c>
      <c r="B111" s="43" t="s">
        <v>1415</v>
      </c>
      <c r="C111" s="43" t="s">
        <v>1416</v>
      </c>
      <c r="D111" s="43" t="s">
        <v>617</v>
      </c>
      <c r="E111" s="43" t="s">
        <v>1417</v>
      </c>
      <c r="F111" s="43" t="s">
        <v>619</v>
      </c>
      <c r="G111" s="43" t="s">
        <v>1418</v>
      </c>
      <c r="H111" s="43" t="s">
        <v>653</v>
      </c>
      <c r="I111" s="43" t="s">
        <v>1419</v>
      </c>
      <c r="J111" s="43" t="s">
        <v>1111</v>
      </c>
      <c r="K111" s="43"/>
      <c r="L111" s="43" t="s">
        <v>743</v>
      </c>
      <c r="M111" s="43" t="s">
        <v>744</v>
      </c>
      <c r="N111" s="43" t="s">
        <v>617</v>
      </c>
      <c r="O111" s="43" t="s">
        <v>626</v>
      </c>
      <c r="P111" s="43" t="s">
        <v>810</v>
      </c>
      <c r="Q111" s="43" t="s">
        <v>1420</v>
      </c>
      <c r="R111" s="43" t="s">
        <v>1420</v>
      </c>
      <c r="S111" s="43" t="s">
        <v>629</v>
      </c>
      <c r="T111" s="43"/>
      <c r="U111" s="43"/>
      <c r="V111" s="43"/>
      <c r="W111" s="43"/>
      <c r="X111" s="43"/>
      <c r="Y111" s="43"/>
      <c r="Z111" s="43"/>
    </row>
    <row r="112" spans="1:26" ht="15.75" customHeight="1" x14ac:dyDescent="0.25">
      <c r="A112" s="43" t="s">
        <v>194</v>
      </c>
      <c r="B112" s="43" t="s">
        <v>1421</v>
      </c>
      <c r="C112" s="43" t="s">
        <v>1422</v>
      </c>
      <c r="D112" s="43" t="s">
        <v>617</v>
      </c>
      <c r="E112" s="43" t="s">
        <v>1423</v>
      </c>
      <c r="F112" s="43" t="s">
        <v>619</v>
      </c>
      <c r="G112" s="43" t="s">
        <v>1424</v>
      </c>
      <c r="H112" s="43" t="s">
        <v>653</v>
      </c>
      <c r="I112" s="43" t="s">
        <v>840</v>
      </c>
      <c r="J112" s="43" t="s">
        <v>84</v>
      </c>
      <c r="K112" s="43" t="s">
        <v>623</v>
      </c>
      <c r="L112" s="43" t="s">
        <v>1358</v>
      </c>
      <c r="M112" s="43" t="s">
        <v>855</v>
      </c>
      <c r="N112" s="43" t="s">
        <v>617</v>
      </c>
      <c r="O112" s="43" t="s">
        <v>626</v>
      </c>
      <c r="P112" s="43" t="s">
        <v>1388</v>
      </c>
      <c r="Q112" s="43" t="s">
        <v>1425</v>
      </c>
      <c r="R112" s="43" t="s">
        <v>1426</v>
      </c>
      <c r="S112" s="43" t="s">
        <v>629</v>
      </c>
      <c r="T112" s="43"/>
      <c r="U112" s="43"/>
      <c r="V112" s="43"/>
      <c r="W112" s="43"/>
      <c r="X112" s="43"/>
      <c r="Y112" s="43"/>
      <c r="Z112" s="43"/>
    </row>
    <row r="113" spans="1:26" ht="15.75" customHeight="1" x14ac:dyDescent="0.25">
      <c r="A113" s="43" t="s">
        <v>195</v>
      </c>
      <c r="B113" s="43" t="s">
        <v>1427</v>
      </c>
      <c r="C113" s="43" t="s">
        <v>1428</v>
      </c>
      <c r="D113" s="43" t="s">
        <v>617</v>
      </c>
      <c r="E113" s="43" t="s">
        <v>1429</v>
      </c>
      <c r="F113" s="43" t="s">
        <v>619</v>
      </c>
      <c r="G113" s="43" t="s">
        <v>1430</v>
      </c>
      <c r="H113" s="43" t="s">
        <v>621</v>
      </c>
      <c r="I113" s="43" t="s">
        <v>1000</v>
      </c>
      <c r="J113" s="43" t="s">
        <v>1227</v>
      </c>
      <c r="K113" s="43"/>
      <c r="L113" s="43" t="s">
        <v>1001</v>
      </c>
      <c r="M113" s="43" t="s">
        <v>744</v>
      </c>
      <c r="N113" s="43" t="s">
        <v>617</v>
      </c>
      <c r="O113" s="43" t="s">
        <v>626</v>
      </c>
      <c r="P113" s="43" t="s">
        <v>906</v>
      </c>
      <c r="Q113" s="43" t="s">
        <v>1431</v>
      </c>
      <c r="R113" s="43" t="s">
        <v>1432</v>
      </c>
      <c r="S113" s="43" t="s">
        <v>648</v>
      </c>
      <c r="T113" s="43"/>
      <c r="U113" s="43"/>
      <c r="V113" s="43"/>
      <c r="W113" s="43"/>
      <c r="X113" s="43"/>
      <c r="Y113" s="43"/>
      <c r="Z113" s="43"/>
    </row>
    <row r="114" spans="1:26" ht="15.75" customHeight="1" x14ac:dyDescent="0.25">
      <c r="A114" s="43" t="s">
        <v>196</v>
      </c>
      <c r="B114" s="43" t="s">
        <v>1433</v>
      </c>
      <c r="C114" s="43" t="s">
        <v>1434</v>
      </c>
      <c r="D114" s="43" t="s">
        <v>962</v>
      </c>
      <c r="E114" s="43" t="s">
        <v>1435</v>
      </c>
      <c r="F114" s="43" t="s">
        <v>619</v>
      </c>
      <c r="G114" s="43" t="s">
        <v>1436</v>
      </c>
      <c r="H114" s="43" t="s">
        <v>653</v>
      </c>
      <c r="I114" s="43" t="s">
        <v>988</v>
      </c>
      <c r="J114" s="43" t="s">
        <v>84</v>
      </c>
      <c r="K114" s="43" t="s">
        <v>623</v>
      </c>
      <c r="L114" s="43" t="s">
        <v>680</v>
      </c>
      <c r="M114" s="43" t="s">
        <v>617</v>
      </c>
      <c r="N114" s="43" t="s">
        <v>617</v>
      </c>
      <c r="O114" s="43" t="s">
        <v>626</v>
      </c>
      <c r="P114" s="43" t="s">
        <v>1268</v>
      </c>
      <c r="Q114" s="43" t="s">
        <v>1437</v>
      </c>
      <c r="R114" s="43" t="s">
        <v>1437</v>
      </c>
      <c r="S114" s="43" t="s">
        <v>1271</v>
      </c>
      <c r="T114" s="43"/>
      <c r="U114" s="43"/>
      <c r="V114" s="43"/>
      <c r="W114" s="43"/>
      <c r="X114" s="43"/>
      <c r="Y114" s="43"/>
      <c r="Z114" s="43"/>
    </row>
    <row r="115" spans="1:26" ht="15.75" customHeight="1" x14ac:dyDescent="0.25">
      <c r="A115" s="43" t="s">
        <v>197</v>
      </c>
      <c r="B115" s="43" t="s">
        <v>1438</v>
      </c>
      <c r="C115" s="43" t="s">
        <v>1439</v>
      </c>
      <c r="D115" s="43" t="s">
        <v>1296</v>
      </c>
      <c r="E115" s="43" t="s">
        <v>1440</v>
      </c>
      <c r="F115" s="43" t="s">
        <v>619</v>
      </c>
      <c r="G115" s="43" t="s">
        <v>1441</v>
      </c>
      <c r="H115" s="43" t="s">
        <v>634</v>
      </c>
      <c r="I115" s="43" t="s">
        <v>1442</v>
      </c>
      <c r="J115" s="43" t="s">
        <v>1101</v>
      </c>
      <c r="K115" s="43" t="s">
        <v>1111</v>
      </c>
      <c r="L115" s="43" t="s">
        <v>1443</v>
      </c>
      <c r="M115" s="43" t="s">
        <v>1295</v>
      </c>
      <c r="N115" s="43" t="s">
        <v>1296</v>
      </c>
      <c r="O115" s="43" t="s">
        <v>626</v>
      </c>
      <c r="P115" s="43" t="s">
        <v>1444</v>
      </c>
      <c r="Q115" s="43" t="s">
        <v>1445</v>
      </c>
      <c r="R115" s="43" t="s">
        <v>1445</v>
      </c>
      <c r="S115" s="43" t="s">
        <v>648</v>
      </c>
      <c r="T115" s="43"/>
      <c r="U115" s="43"/>
      <c r="V115" s="43"/>
      <c r="W115" s="43"/>
      <c r="X115" s="43"/>
      <c r="Y115" s="43"/>
      <c r="Z115" s="43"/>
    </row>
    <row r="116" spans="1:26" ht="15.75" customHeight="1" x14ac:dyDescent="0.25">
      <c r="A116" s="43" t="s">
        <v>198</v>
      </c>
      <c r="B116" s="43" t="s">
        <v>1446</v>
      </c>
      <c r="C116" s="43" t="s">
        <v>1447</v>
      </c>
      <c r="D116" s="43" t="s">
        <v>617</v>
      </c>
      <c r="E116" s="43" t="s">
        <v>618</v>
      </c>
      <c r="F116" s="43" t="s">
        <v>619</v>
      </c>
      <c r="G116" s="43" t="s">
        <v>1448</v>
      </c>
      <c r="H116" s="43" t="s">
        <v>653</v>
      </c>
      <c r="I116" s="43" t="s">
        <v>957</v>
      </c>
      <c r="J116" s="43" t="s">
        <v>86</v>
      </c>
      <c r="K116" s="43" t="s">
        <v>623</v>
      </c>
      <c r="L116" s="43" t="s">
        <v>1214</v>
      </c>
      <c r="M116" s="43" t="s">
        <v>1113</v>
      </c>
      <c r="N116" s="43" t="s">
        <v>617</v>
      </c>
      <c r="O116" s="43" t="s">
        <v>626</v>
      </c>
      <c r="P116" s="43" t="s">
        <v>1114</v>
      </c>
      <c r="Q116" s="43" t="s">
        <v>1449</v>
      </c>
      <c r="R116" s="43" t="s">
        <v>1449</v>
      </c>
      <c r="S116" s="43" t="s">
        <v>730</v>
      </c>
      <c r="T116" s="43"/>
      <c r="U116" s="43"/>
      <c r="V116" s="43"/>
      <c r="W116" s="43"/>
      <c r="X116" s="43"/>
      <c r="Y116" s="43"/>
      <c r="Z116" s="43"/>
    </row>
    <row r="117" spans="1:26" ht="15.75" customHeight="1" x14ac:dyDescent="0.25">
      <c r="A117" s="43" t="s">
        <v>199</v>
      </c>
      <c r="B117" s="43" t="s">
        <v>1450</v>
      </c>
      <c r="C117" s="43" t="s">
        <v>4516</v>
      </c>
      <c r="D117" s="43" t="s">
        <v>617</v>
      </c>
      <c r="E117" s="43" t="s">
        <v>1451</v>
      </c>
      <c r="F117" s="43" t="s">
        <v>619</v>
      </c>
      <c r="G117" s="43" t="s">
        <v>1452</v>
      </c>
      <c r="H117" s="43" t="s">
        <v>735</v>
      </c>
      <c r="I117" s="43" t="s">
        <v>927</v>
      </c>
      <c r="J117" s="43" t="s">
        <v>92</v>
      </c>
      <c r="K117" s="43" t="s">
        <v>623</v>
      </c>
      <c r="L117" s="43" t="s">
        <v>854</v>
      </c>
      <c r="M117" s="43" t="s">
        <v>855</v>
      </c>
      <c r="N117" s="43" t="s">
        <v>617</v>
      </c>
      <c r="O117" s="43" t="s">
        <v>626</v>
      </c>
      <c r="P117" s="43" t="s">
        <v>1453</v>
      </c>
      <c r="Q117" s="43" t="s">
        <v>1454</v>
      </c>
      <c r="R117" s="43" t="s">
        <v>1454</v>
      </c>
      <c r="S117" s="43" t="s">
        <v>648</v>
      </c>
      <c r="T117" s="43"/>
      <c r="U117" s="43"/>
      <c r="V117" s="43"/>
      <c r="W117" s="43"/>
      <c r="X117" s="43"/>
      <c r="Y117" s="43"/>
      <c r="Z117" s="43"/>
    </row>
    <row r="118" spans="1:26" ht="15.75" customHeight="1" x14ac:dyDescent="0.25">
      <c r="A118" s="43" t="s">
        <v>200</v>
      </c>
      <c r="B118" s="43" t="s">
        <v>1455</v>
      </c>
      <c r="C118" s="43" t="s">
        <v>1456</v>
      </c>
      <c r="D118" s="43" t="s">
        <v>617</v>
      </c>
      <c r="E118" s="43" t="s">
        <v>1457</v>
      </c>
      <c r="F118" s="43" t="s">
        <v>619</v>
      </c>
      <c r="G118" s="43" t="s">
        <v>1458</v>
      </c>
      <c r="H118" s="43" t="s">
        <v>735</v>
      </c>
      <c r="I118" s="43" t="s">
        <v>1459</v>
      </c>
      <c r="J118" s="43" t="s">
        <v>86</v>
      </c>
      <c r="K118" s="43" t="s">
        <v>623</v>
      </c>
      <c r="L118" s="43" t="s">
        <v>913</v>
      </c>
      <c r="M118" s="43" t="s">
        <v>914</v>
      </c>
      <c r="N118" s="43" t="s">
        <v>617</v>
      </c>
      <c r="O118" s="43" t="s">
        <v>626</v>
      </c>
      <c r="P118" s="43" t="s">
        <v>1460</v>
      </c>
      <c r="Q118" s="43" t="s">
        <v>1461</v>
      </c>
      <c r="R118" s="43" t="s">
        <v>1461</v>
      </c>
      <c r="S118" s="43" t="s">
        <v>648</v>
      </c>
      <c r="T118" s="43"/>
      <c r="U118" s="43"/>
      <c r="V118" s="43"/>
      <c r="W118" s="43"/>
      <c r="X118" s="43"/>
      <c r="Y118" s="43"/>
      <c r="Z118" s="43"/>
    </row>
    <row r="119" spans="1:26" ht="15.75" customHeight="1" x14ac:dyDescent="0.25">
      <c r="A119" s="43" t="s">
        <v>201</v>
      </c>
      <c r="B119" s="43" t="s">
        <v>1462</v>
      </c>
      <c r="C119" s="43" t="s">
        <v>1463</v>
      </c>
      <c r="D119" s="43" t="s">
        <v>617</v>
      </c>
      <c r="E119" s="43" t="s">
        <v>1464</v>
      </c>
      <c r="F119" s="43" t="s">
        <v>619</v>
      </c>
      <c r="G119" s="43" t="s">
        <v>1465</v>
      </c>
      <c r="H119" s="43" t="s">
        <v>653</v>
      </c>
      <c r="I119" s="43" t="s">
        <v>1466</v>
      </c>
      <c r="J119" s="43" t="s">
        <v>87</v>
      </c>
      <c r="K119" s="43" t="s">
        <v>623</v>
      </c>
      <c r="L119" s="43" t="s">
        <v>862</v>
      </c>
      <c r="M119" s="43" t="s">
        <v>780</v>
      </c>
      <c r="N119" s="43" t="s">
        <v>617</v>
      </c>
      <c r="O119" s="43" t="s">
        <v>626</v>
      </c>
      <c r="P119" s="43" t="s">
        <v>781</v>
      </c>
      <c r="Q119" s="43" t="s">
        <v>1467</v>
      </c>
      <c r="R119" s="43" t="s">
        <v>1468</v>
      </c>
      <c r="S119" s="43" t="s">
        <v>629</v>
      </c>
      <c r="T119" s="43"/>
      <c r="U119" s="43"/>
      <c r="V119" s="43"/>
      <c r="W119" s="43"/>
      <c r="X119" s="43"/>
      <c r="Y119" s="43"/>
      <c r="Z119" s="43"/>
    </row>
    <row r="120" spans="1:26" ht="15.75" customHeight="1" x14ac:dyDescent="0.25">
      <c r="A120" s="43" t="s">
        <v>202</v>
      </c>
      <c r="B120" s="43" t="s">
        <v>1469</v>
      </c>
      <c r="C120" s="43" t="s">
        <v>1470</v>
      </c>
      <c r="D120" s="43" t="s">
        <v>1471</v>
      </c>
      <c r="E120" s="43" t="s">
        <v>1472</v>
      </c>
      <c r="F120" s="43" t="s">
        <v>619</v>
      </c>
      <c r="G120" s="43" t="s">
        <v>1473</v>
      </c>
      <c r="H120" s="43" t="s">
        <v>735</v>
      </c>
      <c r="I120" s="43" t="s">
        <v>4528</v>
      </c>
      <c r="J120" s="43" t="s">
        <v>88</v>
      </c>
      <c r="K120" s="43" t="s">
        <v>1123</v>
      </c>
      <c r="L120" s="43" t="s">
        <v>680</v>
      </c>
      <c r="M120" s="43" t="s">
        <v>617</v>
      </c>
      <c r="N120" s="43" t="s">
        <v>617</v>
      </c>
      <c r="O120" s="43" t="s">
        <v>626</v>
      </c>
      <c r="P120" s="43" t="s">
        <v>1474</v>
      </c>
      <c r="Q120" s="43" t="s">
        <v>1475</v>
      </c>
      <c r="R120" s="43" t="s">
        <v>1476</v>
      </c>
      <c r="S120" s="43" t="s">
        <v>648</v>
      </c>
      <c r="T120" s="43"/>
      <c r="U120" s="43"/>
      <c r="V120" s="43"/>
      <c r="W120" s="43"/>
      <c r="X120" s="43"/>
      <c r="Y120" s="43"/>
      <c r="Z120" s="43"/>
    </row>
    <row r="121" spans="1:26" ht="15.75" customHeight="1" x14ac:dyDescent="0.25">
      <c r="A121" s="43" t="s">
        <v>203</v>
      </c>
      <c r="B121" s="43" t="s">
        <v>1477</v>
      </c>
      <c r="C121" s="43" t="s">
        <v>1478</v>
      </c>
      <c r="D121" s="43" t="s">
        <v>617</v>
      </c>
      <c r="E121" s="43" t="s">
        <v>1479</v>
      </c>
      <c r="F121" s="43" t="s">
        <v>619</v>
      </c>
      <c r="G121" s="43" t="s">
        <v>1480</v>
      </c>
      <c r="H121" s="43" t="s">
        <v>653</v>
      </c>
      <c r="I121" s="43" t="s">
        <v>1481</v>
      </c>
      <c r="J121" s="43" t="s">
        <v>1227</v>
      </c>
      <c r="K121" s="43"/>
      <c r="L121" s="43" t="s">
        <v>1482</v>
      </c>
      <c r="M121" s="43" t="s">
        <v>794</v>
      </c>
      <c r="N121" s="43" t="s">
        <v>617</v>
      </c>
      <c r="O121" s="43" t="s">
        <v>626</v>
      </c>
      <c r="P121" s="43" t="s">
        <v>795</v>
      </c>
      <c r="Q121" s="43" t="s">
        <v>1483</v>
      </c>
      <c r="R121" s="43" t="s">
        <v>1484</v>
      </c>
      <c r="S121" s="43" t="s">
        <v>648</v>
      </c>
      <c r="T121" s="43"/>
      <c r="U121" s="43"/>
      <c r="V121" s="43"/>
      <c r="W121" s="43"/>
      <c r="X121" s="43"/>
      <c r="Y121" s="43"/>
      <c r="Z121" s="43"/>
    </row>
    <row r="122" spans="1:26" ht="15.75" customHeight="1" x14ac:dyDescent="0.25">
      <c r="A122" s="43" t="s">
        <v>204</v>
      </c>
      <c r="B122" s="43" t="s">
        <v>1485</v>
      </c>
      <c r="C122" s="43" t="s">
        <v>1486</v>
      </c>
      <c r="D122" s="43" t="s">
        <v>617</v>
      </c>
      <c r="E122" s="43" t="s">
        <v>1487</v>
      </c>
      <c r="F122" s="43" t="s">
        <v>619</v>
      </c>
      <c r="G122" s="43" t="s">
        <v>1488</v>
      </c>
      <c r="H122" s="43" t="s">
        <v>621</v>
      </c>
      <c r="I122" s="43" t="s">
        <v>1489</v>
      </c>
      <c r="J122" s="43" t="s">
        <v>171</v>
      </c>
      <c r="K122" s="43" t="s">
        <v>1123</v>
      </c>
      <c r="L122" s="43" t="s">
        <v>779</v>
      </c>
      <c r="M122" s="43" t="s">
        <v>780</v>
      </c>
      <c r="N122" s="43" t="s">
        <v>617</v>
      </c>
      <c r="O122" s="43" t="s">
        <v>626</v>
      </c>
      <c r="P122" s="43" t="s">
        <v>1490</v>
      </c>
      <c r="Q122" s="43" t="s">
        <v>1491</v>
      </c>
      <c r="R122" s="43" t="s">
        <v>1491</v>
      </c>
      <c r="S122" s="43" t="s">
        <v>648</v>
      </c>
      <c r="T122" s="43"/>
      <c r="U122" s="43"/>
      <c r="V122" s="43"/>
      <c r="W122" s="43"/>
      <c r="X122" s="43"/>
      <c r="Y122" s="43"/>
      <c r="Z122" s="43"/>
    </row>
    <row r="123" spans="1:26" ht="15.75" customHeight="1" x14ac:dyDescent="0.25">
      <c r="A123" s="43" t="s">
        <v>205</v>
      </c>
      <c r="B123" s="43" t="s">
        <v>1492</v>
      </c>
      <c r="C123" s="43" t="s">
        <v>1493</v>
      </c>
      <c r="D123" s="43" t="s">
        <v>617</v>
      </c>
      <c r="E123" s="43" t="s">
        <v>1348</v>
      </c>
      <c r="F123" s="43" t="s">
        <v>619</v>
      </c>
      <c r="G123" s="43" t="s">
        <v>1494</v>
      </c>
      <c r="H123" s="43" t="s">
        <v>653</v>
      </c>
      <c r="I123" s="43" t="s">
        <v>1495</v>
      </c>
      <c r="J123" s="43" t="s">
        <v>88</v>
      </c>
      <c r="K123" s="43" t="s">
        <v>1123</v>
      </c>
      <c r="L123" s="43" t="s">
        <v>809</v>
      </c>
      <c r="M123" s="43" t="s">
        <v>744</v>
      </c>
      <c r="N123" s="43" t="s">
        <v>617</v>
      </c>
      <c r="O123" s="43" t="s">
        <v>626</v>
      </c>
      <c r="P123" s="43" t="s">
        <v>810</v>
      </c>
      <c r="Q123" s="43" t="s">
        <v>1496</v>
      </c>
      <c r="R123" s="43" t="s">
        <v>1497</v>
      </c>
      <c r="S123" s="43" t="s">
        <v>629</v>
      </c>
      <c r="T123" s="43"/>
      <c r="U123" s="43"/>
      <c r="V123" s="43"/>
      <c r="W123" s="43"/>
      <c r="X123" s="43"/>
      <c r="Y123" s="43"/>
      <c r="Z123" s="43"/>
    </row>
    <row r="124" spans="1:26" ht="15.75" customHeight="1" x14ac:dyDescent="0.25">
      <c r="A124" s="43" t="s">
        <v>206</v>
      </c>
      <c r="B124" s="43" t="s">
        <v>1498</v>
      </c>
      <c r="C124" s="43" t="s">
        <v>1499</v>
      </c>
      <c r="D124" s="43" t="s">
        <v>617</v>
      </c>
      <c r="E124" s="43" t="s">
        <v>1500</v>
      </c>
      <c r="F124" s="43" t="s">
        <v>619</v>
      </c>
      <c r="G124" s="43" t="s">
        <v>1501</v>
      </c>
      <c r="H124" s="43" t="s">
        <v>735</v>
      </c>
      <c r="I124" s="43" t="s">
        <v>1502</v>
      </c>
      <c r="J124" s="43" t="s">
        <v>113</v>
      </c>
      <c r="K124" s="43" t="s">
        <v>623</v>
      </c>
      <c r="L124" s="43" t="s">
        <v>1412</v>
      </c>
      <c r="M124" s="43" t="s">
        <v>645</v>
      </c>
      <c r="N124" s="43" t="s">
        <v>617</v>
      </c>
      <c r="O124" s="43" t="s">
        <v>626</v>
      </c>
      <c r="P124" s="43" t="s">
        <v>688</v>
      </c>
      <c r="Q124" s="43" t="s">
        <v>1503</v>
      </c>
      <c r="R124" s="43" t="s">
        <v>1504</v>
      </c>
      <c r="S124" s="43" t="s">
        <v>648</v>
      </c>
      <c r="T124" s="43"/>
      <c r="U124" s="43"/>
      <c r="V124" s="43"/>
      <c r="W124" s="43"/>
      <c r="X124" s="43"/>
      <c r="Y124" s="43"/>
      <c r="Z124" s="43"/>
    </row>
    <row r="125" spans="1:26" ht="15.75" customHeight="1" x14ac:dyDescent="0.25">
      <c r="A125" s="43" t="s">
        <v>207</v>
      </c>
      <c r="B125" s="43" t="s">
        <v>1505</v>
      </c>
      <c r="C125" s="43" t="s">
        <v>1506</v>
      </c>
      <c r="D125" s="43" t="s">
        <v>1507</v>
      </c>
      <c r="E125" s="43" t="s">
        <v>1393</v>
      </c>
      <c r="F125" s="43" t="s">
        <v>619</v>
      </c>
      <c r="G125" s="43" t="s">
        <v>1508</v>
      </c>
      <c r="H125" s="43" t="s">
        <v>621</v>
      </c>
      <c r="I125" s="43" t="s">
        <v>1000</v>
      </c>
      <c r="J125" s="43" t="s">
        <v>86</v>
      </c>
      <c r="K125" s="43" t="s">
        <v>623</v>
      </c>
      <c r="L125" s="43" t="s">
        <v>1001</v>
      </c>
      <c r="M125" s="43" t="s">
        <v>744</v>
      </c>
      <c r="N125" s="43" t="s">
        <v>617</v>
      </c>
      <c r="O125" s="43" t="s">
        <v>626</v>
      </c>
      <c r="P125" s="43" t="s">
        <v>906</v>
      </c>
      <c r="Q125" s="43" t="s">
        <v>1509</v>
      </c>
      <c r="R125" s="43" t="s">
        <v>1510</v>
      </c>
      <c r="S125" s="43" t="s">
        <v>893</v>
      </c>
      <c r="T125" s="43"/>
      <c r="U125" s="43"/>
      <c r="V125" s="43"/>
      <c r="W125" s="43"/>
      <c r="X125" s="43"/>
      <c r="Y125" s="43"/>
      <c r="Z125" s="43"/>
    </row>
    <row r="126" spans="1:26" ht="15.75" customHeight="1" x14ac:dyDescent="0.25">
      <c r="A126" s="43" t="s">
        <v>208</v>
      </c>
      <c r="B126" s="43" t="s">
        <v>1511</v>
      </c>
      <c r="C126" s="43" t="s">
        <v>1512</v>
      </c>
      <c r="D126" s="43" t="s">
        <v>962</v>
      </c>
      <c r="E126" s="43" t="s">
        <v>790</v>
      </c>
      <c r="F126" s="43" t="s">
        <v>619</v>
      </c>
      <c r="G126" s="43" t="s">
        <v>1513</v>
      </c>
      <c r="H126" s="43" t="s">
        <v>1123</v>
      </c>
      <c r="I126" s="43" t="s">
        <v>1514</v>
      </c>
      <c r="J126" s="43" t="s">
        <v>1123</v>
      </c>
      <c r="K126" s="43" t="s">
        <v>1123</v>
      </c>
      <c r="L126" s="43" t="s">
        <v>655</v>
      </c>
      <c r="M126" s="43" t="s">
        <v>617</v>
      </c>
      <c r="N126" s="43" t="s">
        <v>617</v>
      </c>
      <c r="O126" s="43" t="s">
        <v>626</v>
      </c>
      <c r="P126" s="43" t="s">
        <v>714</v>
      </c>
      <c r="Q126" s="43" t="s">
        <v>1515</v>
      </c>
      <c r="R126" s="43" t="s">
        <v>1123</v>
      </c>
      <c r="S126" s="43" t="s">
        <v>648</v>
      </c>
      <c r="T126" s="43"/>
      <c r="U126" s="43"/>
      <c r="V126" s="43"/>
      <c r="W126" s="43"/>
      <c r="X126" s="43"/>
      <c r="Y126" s="43"/>
      <c r="Z126" s="43"/>
    </row>
    <row r="127" spans="1:26" ht="15.75" customHeight="1" x14ac:dyDescent="0.25">
      <c r="A127" s="43" t="s">
        <v>209</v>
      </c>
      <c r="B127" s="43" t="s">
        <v>1516</v>
      </c>
      <c r="C127" s="43" t="s">
        <v>1517</v>
      </c>
      <c r="D127" s="43" t="s">
        <v>1518</v>
      </c>
      <c r="E127" s="43" t="s">
        <v>1519</v>
      </c>
      <c r="F127" s="43" t="s">
        <v>619</v>
      </c>
      <c r="G127" s="43" t="s">
        <v>1520</v>
      </c>
      <c r="H127" s="43" t="s">
        <v>653</v>
      </c>
      <c r="I127" s="43" t="s">
        <v>1521</v>
      </c>
      <c r="J127" s="43" t="s">
        <v>99</v>
      </c>
      <c r="K127" s="43" t="s">
        <v>1123</v>
      </c>
      <c r="L127" s="43" t="s">
        <v>1522</v>
      </c>
      <c r="M127" s="43" t="s">
        <v>1335</v>
      </c>
      <c r="N127" s="43" t="s">
        <v>885</v>
      </c>
      <c r="O127" s="43" t="s">
        <v>626</v>
      </c>
      <c r="P127" s="43" t="s">
        <v>1336</v>
      </c>
      <c r="Q127" s="43" t="s">
        <v>1523</v>
      </c>
      <c r="R127" s="43" t="s">
        <v>1524</v>
      </c>
      <c r="S127" s="43" t="s">
        <v>648</v>
      </c>
      <c r="T127" s="43"/>
      <c r="U127" s="43"/>
      <c r="V127" s="43"/>
      <c r="W127" s="43"/>
      <c r="X127" s="43"/>
      <c r="Y127" s="43"/>
      <c r="Z127" s="43"/>
    </row>
    <row r="128" spans="1:26" ht="15.75" customHeight="1" x14ac:dyDescent="0.25">
      <c r="A128" s="43" t="s">
        <v>210</v>
      </c>
      <c r="B128" s="43" t="s">
        <v>1525</v>
      </c>
      <c r="C128" s="43" t="s">
        <v>1526</v>
      </c>
      <c r="D128" s="43" t="s">
        <v>617</v>
      </c>
      <c r="E128" s="43" t="s">
        <v>1527</v>
      </c>
      <c r="F128" s="43" t="s">
        <v>619</v>
      </c>
      <c r="G128" s="43" t="s">
        <v>1528</v>
      </c>
      <c r="H128" s="43" t="s">
        <v>653</v>
      </c>
      <c r="I128" s="43" t="s">
        <v>1529</v>
      </c>
      <c r="J128" s="43" t="s">
        <v>86</v>
      </c>
      <c r="K128" s="43" t="s">
        <v>623</v>
      </c>
      <c r="L128" s="43" t="s">
        <v>680</v>
      </c>
      <c r="M128" s="43" t="s">
        <v>617</v>
      </c>
      <c r="N128" s="43" t="s">
        <v>617</v>
      </c>
      <c r="O128" s="43" t="s">
        <v>626</v>
      </c>
      <c r="P128" s="43" t="s">
        <v>656</v>
      </c>
      <c r="Q128" s="43" t="s">
        <v>1530</v>
      </c>
      <c r="R128" s="43" t="s">
        <v>1531</v>
      </c>
      <c r="S128" s="43" t="s">
        <v>629</v>
      </c>
      <c r="T128" s="43"/>
      <c r="U128" s="43"/>
      <c r="V128" s="43"/>
      <c r="W128" s="43"/>
      <c r="X128" s="43"/>
      <c r="Y128" s="43"/>
      <c r="Z128" s="43"/>
    </row>
    <row r="129" spans="1:26" ht="15.75" customHeight="1" x14ac:dyDescent="0.25">
      <c r="A129" s="43" t="s">
        <v>211</v>
      </c>
      <c r="B129" s="43" t="s">
        <v>1532</v>
      </c>
      <c r="C129" s="43" t="s">
        <v>1533</v>
      </c>
      <c r="D129" s="43" t="s">
        <v>617</v>
      </c>
      <c r="E129" s="43" t="s">
        <v>1534</v>
      </c>
      <c r="F129" s="43" t="s">
        <v>619</v>
      </c>
      <c r="G129" s="43" t="s">
        <v>1535</v>
      </c>
      <c r="H129" s="43" t="s">
        <v>653</v>
      </c>
      <c r="I129" s="43" t="s">
        <v>1536</v>
      </c>
      <c r="J129" s="43" t="s">
        <v>84</v>
      </c>
      <c r="K129" s="43" t="s">
        <v>623</v>
      </c>
      <c r="L129" s="43" t="s">
        <v>1220</v>
      </c>
      <c r="M129" s="43" t="s">
        <v>840</v>
      </c>
      <c r="N129" s="43" t="s">
        <v>617</v>
      </c>
      <c r="O129" s="43" t="s">
        <v>626</v>
      </c>
      <c r="P129" s="43" t="s">
        <v>1537</v>
      </c>
      <c r="Q129" s="43" t="s">
        <v>1538</v>
      </c>
      <c r="R129" s="43" t="s">
        <v>1539</v>
      </c>
      <c r="S129" s="43" t="s">
        <v>648</v>
      </c>
      <c r="T129" s="43"/>
      <c r="U129" s="43"/>
      <c r="V129" s="43"/>
      <c r="W129" s="43"/>
      <c r="X129" s="43"/>
      <c r="Y129" s="43"/>
      <c r="Z129" s="43"/>
    </row>
    <row r="130" spans="1:26" ht="15.75" customHeight="1" x14ac:dyDescent="0.25">
      <c r="A130" s="43" t="s">
        <v>212</v>
      </c>
      <c r="B130" s="43" t="s">
        <v>1540</v>
      </c>
      <c r="C130" s="43" t="s">
        <v>1541</v>
      </c>
      <c r="D130" s="43" t="s">
        <v>617</v>
      </c>
      <c r="E130" s="43" t="s">
        <v>1542</v>
      </c>
      <c r="F130" s="43" t="s">
        <v>619</v>
      </c>
      <c r="G130" s="43" t="s">
        <v>1543</v>
      </c>
      <c r="H130" s="43" t="s">
        <v>653</v>
      </c>
      <c r="I130" s="43" t="s">
        <v>1088</v>
      </c>
      <c r="J130" s="43" t="s">
        <v>88</v>
      </c>
      <c r="K130" s="43" t="s">
        <v>623</v>
      </c>
      <c r="L130" s="43" t="s">
        <v>958</v>
      </c>
      <c r="M130" s="43" t="s">
        <v>855</v>
      </c>
      <c r="N130" s="43" t="s">
        <v>617</v>
      </c>
      <c r="O130" s="43" t="s">
        <v>626</v>
      </c>
      <c r="P130" s="43" t="s">
        <v>1453</v>
      </c>
      <c r="Q130" s="43" t="s">
        <v>1544</v>
      </c>
      <c r="R130" s="43" t="s">
        <v>1544</v>
      </c>
      <c r="S130" s="43" t="s">
        <v>629</v>
      </c>
      <c r="T130" s="43"/>
      <c r="U130" s="43"/>
      <c r="V130" s="43"/>
      <c r="W130" s="43"/>
      <c r="X130" s="43"/>
      <c r="Y130" s="43"/>
      <c r="Z130" s="43"/>
    </row>
    <row r="131" spans="1:26" ht="15.75" customHeight="1" x14ac:dyDescent="0.25">
      <c r="A131" s="43" t="s">
        <v>213</v>
      </c>
      <c r="B131" s="43" t="s">
        <v>1545</v>
      </c>
      <c r="C131" s="43" t="s">
        <v>1546</v>
      </c>
      <c r="D131" s="43" t="s">
        <v>617</v>
      </c>
      <c r="E131" s="43" t="s">
        <v>1547</v>
      </c>
      <c r="F131" s="43" t="s">
        <v>619</v>
      </c>
      <c r="G131" s="43" t="s">
        <v>1548</v>
      </c>
      <c r="H131" s="43" t="s">
        <v>653</v>
      </c>
      <c r="I131" s="43" t="s">
        <v>1549</v>
      </c>
      <c r="J131" s="43" t="s">
        <v>84</v>
      </c>
      <c r="K131" s="43" t="s">
        <v>623</v>
      </c>
      <c r="L131" s="43" t="s">
        <v>743</v>
      </c>
      <c r="M131" s="43" t="s">
        <v>744</v>
      </c>
      <c r="N131" s="43" t="s">
        <v>617</v>
      </c>
      <c r="O131" s="43" t="s">
        <v>626</v>
      </c>
      <c r="P131" s="43" t="s">
        <v>810</v>
      </c>
      <c r="Q131" s="43" t="s">
        <v>1550</v>
      </c>
      <c r="R131" s="43" t="s">
        <v>1551</v>
      </c>
      <c r="S131" s="43" t="s">
        <v>648</v>
      </c>
      <c r="T131" s="43"/>
      <c r="U131" s="43"/>
      <c r="V131" s="43"/>
      <c r="W131" s="43"/>
      <c r="X131" s="43"/>
      <c r="Y131" s="43"/>
      <c r="Z131" s="43"/>
    </row>
    <row r="132" spans="1:26" ht="15.75" customHeight="1" x14ac:dyDescent="0.25">
      <c r="A132" s="43" t="s">
        <v>214</v>
      </c>
      <c r="B132" s="43" t="s">
        <v>1552</v>
      </c>
      <c r="C132" s="43" t="s">
        <v>1553</v>
      </c>
      <c r="D132" s="43" t="s">
        <v>1554</v>
      </c>
      <c r="E132" s="43" t="s">
        <v>1555</v>
      </c>
      <c r="F132" s="43" t="s">
        <v>619</v>
      </c>
      <c r="G132" s="43" t="s">
        <v>1556</v>
      </c>
      <c r="H132" s="43" t="s">
        <v>653</v>
      </c>
      <c r="I132" s="43" t="s">
        <v>1557</v>
      </c>
      <c r="J132" s="43" t="s">
        <v>1304</v>
      </c>
      <c r="K132" s="43" t="s">
        <v>623</v>
      </c>
      <c r="L132" s="43" t="s">
        <v>644</v>
      </c>
      <c r="M132" s="43" t="s">
        <v>645</v>
      </c>
      <c r="N132" s="43" t="s">
        <v>617</v>
      </c>
      <c r="O132" s="43" t="s">
        <v>626</v>
      </c>
      <c r="P132" s="43" t="s">
        <v>646</v>
      </c>
      <c r="Q132" s="43" t="s">
        <v>1558</v>
      </c>
      <c r="R132" s="43" t="s">
        <v>1123</v>
      </c>
      <c r="S132" s="43" t="s">
        <v>648</v>
      </c>
      <c r="T132" s="43"/>
      <c r="U132" s="43"/>
      <c r="V132" s="43"/>
      <c r="W132" s="43"/>
      <c r="X132" s="43"/>
      <c r="Y132" s="43"/>
      <c r="Z132" s="43"/>
    </row>
    <row r="133" spans="1:26" ht="15.75" customHeight="1" x14ac:dyDescent="0.25">
      <c r="A133" s="43" t="s">
        <v>215</v>
      </c>
      <c r="B133" s="43" t="s">
        <v>1559</v>
      </c>
      <c r="C133" s="43" t="s">
        <v>1560</v>
      </c>
      <c r="D133" s="43" t="s">
        <v>617</v>
      </c>
      <c r="E133" s="43" t="s">
        <v>1561</v>
      </c>
      <c r="F133" s="43" t="s">
        <v>619</v>
      </c>
      <c r="G133" s="43" t="s">
        <v>1562</v>
      </c>
      <c r="H133" s="43" t="s">
        <v>653</v>
      </c>
      <c r="I133" s="43" t="s">
        <v>1563</v>
      </c>
      <c r="J133" s="43" t="s">
        <v>149</v>
      </c>
      <c r="K133" s="43" t="s">
        <v>623</v>
      </c>
      <c r="L133" s="43" t="s">
        <v>1320</v>
      </c>
      <c r="M133" s="43" t="s">
        <v>818</v>
      </c>
      <c r="N133" s="43" t="s">
        <v>617</v>
      </c>
      <c r="O133" s="43" t="s">
        <v>626</v>
      </c>
      <c r="P133" s="43" t="s">
        <v>819</v>
      </c>
      <c r="Q133" s="43" t="s">
        <v>1564</v>
      </c>
      <c r="R133" s="43" t="s">
        <v>1565</v>
      </c>
      <c r="S133" s="43" t="s">
        <v>629</v>
      </c>
      <c r="T133" s="43"/>
      <c r="U133" s="43"/>
      <c r="V133" s="43"/>
      <c r="W133" s="43"/>
      <c r="X133" s="43"/>
      <c r="Y133" s="43"/>
      <c r="Z133" s="43"/>
    </row>
    <row r="134" spans="1:26" ht="15.75" customHeight="1" x14ac:dyDescent="0.25">
      <c r="A134" s="43" t="s">
        <v>216</v>
      </c>
      <c r="B134" s="43" t="s">
        <v>1566</v>
      </c>
      <c r="C134" s="43" t="s">
        <v>1567</v>
      </c>
      <c r="D134" s="43" t="s">
        <v>617</v>
      </c>
      <c r="E134" s="43" t="s">
        <v>1568</v>
      </c>
      <c r="F134" s="43" t="s">
        <v>619</v>
      </c>
      <c r="G134" s="43" t="s">
        <v>1569</v>
      </c>
      <c r="H134" s="43" t="s">
        <v>653</v>
      </c>
      <c r="I134" s="43" t="s">
        <v>1081</v>
      </c>
      <c r="J134" s="43" t="s">
        <v>85</v>
      </c>
      <c r="K134" s="43" t="s">
        <v>623</v>
      </c>
      <c r="L134" s="43" t="s">
        <v>680</v>
      </c>
      <c r="M134" s="43" t="s">
        <v>617</v>
      </c>
      <c r="N134" s="43" t="s">
        <v>617</v>
      </c>
      <c r="O134" s="43" t="s">
        <v>626</v>
      </c>
      <c r="P134" s="43" t="s">
        <v>714</v>
      </c>
      <c r="Q134" s="43" t="s">
        <v>1570</v>
      </c>
      <c r="R134" s="43" t="s">
        <v>1570</v>
      </c>
      <c r="S134" s="43" t="s">
        <v>730</v>
      </c>
      <c r="T134" s="43"/>
      <c r="U134" s="43"/>
      <c r="V134" s="43"/>
      <c r="W134" s="43"/>
      <c r="X134" s="43"/>
      <c r="Y134" s="43"/>
      <c r="Z134" s="43"/>
    </row>
    <row r="135" spans="1:26" ht="15.75" customHeight="1" x14ac:dyDescent="0.25">
      <c r="A135" s="43" t="s">
        <v>217</v>
      </c>
      <c r="B135" s="43" t="s">
        <v>1571</v>
      </c>
      <c r="C135" s="43" t="s">
        <v>1572</v>
      </c>
      <c r="D135" s="43" t="s">
        <v>617</v>
      </c>
      <c r="E135" s="43" t="s">
        <v>1573</v>
      </c>
      <c r="F135" s="43" t="s">
        <v>619</v>
      </c>
      <c r="G135" s="43" t="s">
        <v>1574</v>
      </c>
      <c r="H135" s="43" t="s">
        <v>653</v>
      </c>
      <c r="I135" s="43" t="s">
        <v>951</v>
      </c>
      <c r="J135" s="43" t="s">
        <v>86</v>
      </c>
      <c r="K135" s="43" t="s">
        <v>623</v>
      </c>
      <c r="L135" s="43" t="s">
        <v>743</v>
      </c>
      <c r="M135" s="43" t="s">
        <v>744</v>
      </c>
      <c r="N135" s="43" t="s">
        <v>617</v>
      </c>
      <c r="O135" s="43" t="s">
        <v>626</v>
      </c>
      <c r="P135" s="43" t="s">
        <v>810</v>
      </c>
      <c r="Q135" s="43" t="s">
        <v>1575</v>
      </c>
      <c r="R135" s="43" t="s">
        <v>1576</v>
      </c>
      <c r="S135" s="43" t="s">
        <v>629</v>
      </c>
      <c r="T135" s="43"/>
      <c r="U135" s="43"/>
      <c r="V135" s="43"/>
      <c r="W135" s="43"/>
      <c r="X135" s="43"/>
      <c r="Y135" s="43"/>
      <c r="Z135" s="43"/>
    </row>
    <row r="136" spans="1:26" ht="15.75" customHeight="1" x14ac:dyDescent="0.25">
      <c r="A136" s="43" t="s">
        <v>218</v>
      </c>
      <c r="B136" s="43" t="s">
        <v>1577</v>
      </c>
      <c r="C136" s="43" t="s">
        <v>1578</v>
      </c>
      <c r="D136" s="43" t="s">
        <v>617</v>
      </c>
      <c r="E136" s="43" t="s">
        <v>1579</v>
      </c>
      <c r="F136" s="43" t="s">
        <v>619</v>
      </c>
      <c r="G136" s="43" t="s">
        <v>1580</v>
      </c>
      <c r="H136" s="43" t="s">
        <v>621</v>
      </c>
      <c r="I136" s="43" t="s">
        <v>1219</v>
      </c>
      <c r="J136" s="43" t="s">
        <v>86</v>
      </c>
      <c r="K136" s="43" t="s">
        <v>623</v>
      </c>
      <c r="L136" s="43" t="s">
        <v>958</v>
      </c>
      <c r="M136" s="43" t="s">
        <v>855</v>
      </c>
      <c r="N136" s="43" t="s">
        <v>617</v>
      </c>
      <c r="O136" s="43" t="s">
        <v>626</v>
      </c>
      <c r="P136" s="43" t="s">
        <v>688</v>
      </c>
      <c r="Q136" s="43" t="s">
        <v>1581</v>
      </c>
      <c r="R136" s="43" t="s">
        <v>1581</v>
      </c>
      <c r="S136" s="43" t="s">
        <v>629</v>
      </c>
      <c r="T136" s="43"/>
      <c r="U136" s="43"/>
      <c r="V136" s="43"/>
      <c r="W136" s="43"/>
      <c r="X136" s="43"/>
      <c r="Y136" s="43"/>
      <c r="Z136" s="43"/>
    </row>
    <row r="137" spans="1:26" ht="15.75" customHeight="1" x14ac:dyDescent="0.25">
      <c r="A137" s="43" t="s">
        <v>219</v>
      </c>
      <c r="B137" s="43" t="s">
        <v>1582</v>
      </c>
      <c r="C137" s="43" t="s">
        <v>1583</v>
      </c>
      <c r="D137" s="43" t="s">
        <v>617</v>
      </c>
      <c r="E137" s="43" t="s">
        <v>1012</v>
      </c>
      <c r="F137" s="43" t="s">
        <v>619</v>
      </c>
      <c r="G137" s="43" t="s">
        <v>1584</v>
      </c>
      <c r="H137" s="43" t="s">
        <v>653</v>
      </c>
      <c r="I137" s="43" t="s">
        <v>1585</v>
      </c>
      <c r="J137" s="43" t="s">
        <v>84</v>
      </c>
      <c r="K137" s="43" t="s">
        <v>623</v>
      </c>
      <c r="L137" s="43" t="s">
        <v>672</v>
      </c>
      <c r="M137" s="43" t="s">
        <v>617</v>
      </c>
      <c r="N137" s="43" t="s">
        <v>617</v>
      </c>
      <c r="O137" s="43" t="s">
        <v>626</v>
      </c>
      <c r="P137" s="43" t="s">
        <v>1381</v>
      </c>
      <c r="Q137" s="43" t="s">
        <v>1586</v>
      </c>
      <c r="R137" s="43" t="s">
        <v>1587</v>
      </c>
      <c r="S137" s="43" t="s">
        <v>648</v>
      </c>
      <c r="T137" s="43"/>
      <c r="U137" s="43"/>
      <c r="V137" s="43"/>
      <c r="W137" s="43"/>
      <c r="X137" s="43"/>
      <c r="Y137" s="43"/>
      <c r="Z137" s="43"/>
    </row>
    <row r="138" spans="1:26" ht="15.75" customHeight="1" x14ac:dyDescent="0.25">
      <c r="A138" s="43" t="s">
        <v>220</v>
      </c>
      <c r="B138" s="43" t="s">
        <v>1588</v>
      </c>
      <c r="C138" s="43" t="s">
        <v>1589</v>
      </c>
      <c r="D138" s="43" t="s">
        <v>617</v>
      </c>
      <c r="E138" s="43" t="s">
        <v>1590</v>
      </c>
      <c r="F138" s="43" t="s">
        <v>619</v>
      </c>
      <c r="G138" s="43" t="s">
        <v>1591</v>
      </c>
      <c r="H138" s="43" t="s">
        <v>621</v>
      </c>
      <c r="I138" s="43" t="s">
        <v>766</v>
      </c>
      <c r="J138" s="43" t="s">
        <v>86</v>
      </c>
      <c r="K138" s="43" t="s">
        <v>623</v>
      </c>
      <c r="L138" s="43" t="s">
        <v>680</v>
      </c>
      <c r="M138" s="43" t="s">
        <v>617</v>
      </c>
      <c r="N138" s="43" t="s">
        <v>617</v>
      </c>
      <c r="O138" s="43" t="s">
        <v>626</v>
      </c>
      <c r="P138" s="43" t="s">
        <v>714</v>
      </c>
      <c r="Q138" s="43" t="s">
        <v>1592</v>
      </c>
      <c r="R138" s="43" t="s">
        <v>1593</v>
      </c>
      <c r="S138" s="43" t="s">
        <v>629</v>
      </c>
      <c r="T138" s="43"/>
      <c r="U138" s="43"/>
      <c r="V138" s="43"/>
      <c r="W138" s="43"/>
      <c r="X138" s="43"/>
      <c r="Y138" s="43"/>
      <c r="Z138" s="43"/>
    </row>
    <row r="139" spans="1:26" ht="15.75" customHeight="1" x14ac:dyDescent="0.25">
      <c r="A139" s="43" t="s">
        <v>221</v>
      </c>
      <c r="B139" s="43" t="s">
        <v>1594</v>
      </c>
      <c r="C139" s="43" t="s">
        <v>1595</v>
      </c>
      <c r="D139" s="43" t="s">
        <v>617</v>
      </c>
      <c r="E139" s="43" t="s">
        <v>1596</v>
      </c>
      <c r="F139" s="43" t="s">
        <v>619</v>
      </c>
      <c r="G139" s="43" t="s">
        <v>972</v>
      </c>
      <c r="H139" s="43" t="s">
        <v>634</v>
      </c>
      <c r="I139" s="43" t="s">
        <v>1597</v>
      </c>
      <c r="J139" s="43" t="s">
        <v>90</v>
      </c>
      <c r="K139" s="43" t="s">
        <v>85</v>
      </c>
      <c r="L139" s="43" t="s">
        <v>1522</v>
      </c>
      <c r="M139" s="43" t="s">
        <v>1335</v>
      </c>
      <c r="N139" s="43" t="s">
        <v>885</v>
      </c>
      <c r="O139" s="43" t="s">
        <v>626</v>
      </c>
      <c r="P139" s="43" t="s">
        <v>1336</v>
      </c>
      <c r="Q139" s="43" t="s">
        <v>1123</v>
      </c>
      <c r="R139" s="43" t="s">
        <v>1598</v>
      </c>
      <c r="S139" s="43" t="s">
        <v>648</v>
      </c>
      <c r="T139" s="43"/>
      <c r="U139" s="43"/>
      <c r="V139" s="43"/>
      <c r="W139" s="43"/>
      <c r="X139" s="43"/>
      <c r="Y139" s="43"/>
      <c r="Z139" s="43"/>
    </row>
    <row r="140" spans="1:26" ht="15.75" customHeight="1" x14ac:dyDescent="0.25">
      <c r="A140" s="43" t="s">
        <v>222</v>
      </c>
      <c r="B140" s="43" t="s">
        <v>1599</v>
      </c>
      <c r="C140" s="43" t="s">
        <v>1600</v>
      </c>
      <c r="D140" s="43" t="s">
        <v>1601</v>
      </c>
      <c r="E140" s="43" t="s">
        <v>1602</v>
      </c>
      <c r="F140" s="43" t="s">
        <v>619</v>
      </c>
      <c r="G140" s="43" t="s">
        <v>1603</v>
      </c>
      <c r="H140" s="43" t="s">
        <v>735</v>
      </c>
      <c r="I140" s="43" t="s">
        <v>1604</v>
      </c>
      <c r="J140" s="43" t="s">
        <v>1605</v>
      </c>
      <c r="K140" s="43" t="s">
        <v>1123</v>
      </c>
      <c r="L140" s="43" t="s">
        <v>636</v>
      </c>
      <c r="M140" s="43" t="s">
        <v>625</v>
      </c>
      <c r="N140" s="43" t="s">
        <v>617</v>
      </c>
      <c r="O140" s="43" t="s">
        <v>626</v>
      </c>
      <c r="P140" s="43" t="s">
        <v>637</v>
      </c>
      <c r="Q140" s="43" t="s">
        <v>1606</v>
      </c>
      <c r="R140" s="43" t="s">
        <v>1607</v>
      </c>
      <c r="S140" s="43" t="s">
        <v>730</v>
      </c>
      <c r="T140" s="43"/>
      <c r="U140" s="43"/>
      <c r="V140" s="43"/>
      <c r="W140" s="43"/>
      <c r="X140" s="43"/>
      <c r="Y140" s="43"/>
      <c r="Z140" s="43"/>
    </row>
    <row r="141" spans="1:26" ht="15.75" customHeight="1" x14ac:dyDescent="0.25">
      <c r="A141" s="43" t="s">
        <v>223</v>
      </c>
      <c r="B141" s="43" t="s">
        <v>1608</v>
      </c>
      <c r="C141" s="43" t="s">
        <v>1609</v>
      </c>
      <c r="D141" s="43" t="s">
        <v>617</v>
      </c>
      <c r="E141" s="43" t="s">
        <v>1610</v>
      </c>
      <c r="F141" s="43" t="s">
        <v>740</v>
      </c>
      <c r="G141" s="43" t="s">
        <v>1611</v>
      </c>
      <c r="H141" s="43" t="s">
        <v>653</v>
      </c>
      <c r="I141" s="43" t="s">
        <v>1612</v>
      </c>
      <c r="J141" s="43" t="s">
        <v>1122</v>
      </c>
      <c r="K141" s="43" t="s">
        <v>928</v>
      </c>
      <c r="L141" s="43" t="s">
        <v>636</v>
      </c>
      <c r="M141" s="43" t="s">
        <v>625</v>
      </c>
      <c r="N141" s="43" t="s">
        <v>617</v>
      </c>
      <c r="O141" s="43" t="s">
        <v>626</v>
      </c>
      <c r="P141" s="43" t="s">
        <v>906</v>
      </c>
      <c r="Q141" s="43" t="s">
        <v>1613</v>
      </c>
      <c r="R141" s="43" t="s">
        <v>1614</v>
      </c>
      <c r="S141" s="43" t="s">
        <v>893</v>
      </c>
      <c r="T141" s="43"/>
      <c r="U141" s="43"/>
      <c r="V141" s="43"/>
      <c r="W141" s="43"/>
      <c r="X141" s="43"/>
      <c r="Y141" s="43"/>
      <c r="Z141" s="43"/>
    </row>
    <row r="142" spans="1:26" ht="15.75" customHeight="1" x14ac:dyDescent="0.25">
      <c r="A142" s="43" t="s">
        <v>224</v>
      </c>
      <c r="B142" s="43" t="s">
        <v>1615</v>
      </c>
      <c r="C142" s="43" t="s">
        <v>1616</v>
      </c>
      <c r="D142" s="43" t="s">
        <v>617</v>
      </c>
      <c r="E142" s="43" t="s">
        <v>1032</v>
      </c>
      <c r="F142" s="43" t="s">
        <v>619</v>
      </c>
      <c r="G142" s="43" t="s">
        <v>1617</v>
      </c>
      <c r="H142" s="43" t="s">
        <v>653</v>
      </c>
      <c r="I142" s="43" t="s">
        <v>973</v>
      </c>
      <c r="J142" s="43" t="s">
        <v>84</v>
      </c>
      <c r="K142" s="43" t="s">
        <v>623</v>
      </c>
      <c r="L142" s="43" t="s">
        <v>680</v>
      </c>
      <c r="M142" s="43" t="s">
        <v>617</v>
      </c>
      <c r="N142" s="43" t="s">
        <v>617</v>
      </c>
      <c r="O142" s="43" t="s">
        <v>626</v>
      </c>
      <c r="P142" s="43" t="s">
        <v>714</v>
      </c>
      <c r="Q142" s="43" t="s">
        <v>1618</v>
      </c>
      <c r="R142" s="43" t="s">
        <v>1619</v>
      </c>
      <c r="S142" s="43" t="s">
        <v>629</v>
      </c>
      <c r="T142" s="43"/>
      <c r="U142" s="43"/>
      <c r="V142" s="43"/>
      <c r="W142" s="43"/>
      <c r="X142" s="43"/>
      <c r="Y142" s="43"/>
      <c r="Z142" s="43"/>
    </row>
    <row r="143" spans="1:26" ht="15.75" customHeight="1" x14ac:dyDescent="0.25">
      <c r="A143" s="43" t="s">
        <v>225</v>
      </c>
      <c r="B143" s="43" t="s">
        <v>1620</v>
      </c>
      <c r="C143" s="43" t="s">
        <v>1621</v>
      </c>
      <c r="D143" s="43" t="s">
        <v>617</v>
      </c>
      <c r="E143" s="43" t="s">
        <v>1622</v>
      </c>
      <c r="F143" s="43" t="s">
        <v>740</v>
      </c>
      <c r="G143" s="43" t="s">
        <v>1623</v>
      </c>
      <c r="H143" s="43" t="s">
        <v>735</v>
      </c>
      <c r="I143" s="43" t="s">
        <v>1624</v>
      </c>
      <c r="J143" s="43" t="s">
        <v>1625</v>
      </c>
      <c r="K143" s="43" t="s">
        <v>1397</v>
      </c>
      <c r="L143" s="43" t="s">
        <v>913</v>
      </c>
      <c r="M143" s="43" t="s">
        <v>914</v>
      </c>
      <c r="N143" s="43" t="s">
        <v>617</v>
      </c>
      <c r="O143" s="43" t="s">
        <v>626</v>
      </c>
      <c r="P143" s="43" t="s">
        <v>1626</v>
      </c>
      <c r="Q143" s="43" t="s">
        <v>1627</v>
      </c>
      <c r="R143" s="43" t="s">
        <v>1628</v>
      </c>
      <c r="S143" s="43" t="s">
        <v>893</v>
      </c>
      <c r="T143" s="43"/>
      <c r="U143" s="43"/>
      <c r="V143" s="43"/>
      <c r="W143" s="43"/>
      <c r="X143" s="43"/>
      <c r="Y143" s="43"/>
      <c r="Z143" s="43"/>
    </row>
    <row r="144" spans="1:26" ht="15.75" customHeight="1" x14ac:dyDescent="0.25">
      <c r="A144" s="43" t="s">
        <v>226</v>
      </c>
      <c r="B144" s="43" t="s">
        <v>1629</v>
      </c>
      <c r="C144" s="43" t="s">
        <v>1630</v>
      </c>
      <c r="D144" s="43" t="s">
        <v>617</v>
      </c>
      <c r="E144" s="43" t="s">
        <v>1631</v>
      </c>
      <c r="F144" s="43" t="s">
        <v>619</v>
      </c>
      <c r="G144" s="43" t="s">
        <v>1632</v>
      </c>
      <c r="H144" s="43" t="s">
        <v>621</v>
      </c>
      <c r="I144" s="43" t="s">
        <v>1633</v>
      </c>
      <c r="J144" s="43" t="s">
        <v>84</v>
      </c>
      <c r="K144" s="43" t="s">
        <v>623</v>
      </c>
      <c r="L144" s="43" t="s">
        <v>1001</v>
      </c>
      <c r="M144" s="43" t="s">
        <v>744</v>
      </c>
      <c r="N144" s="43" t="s">
        <v>617</v>
      </c>
      <c r="O144" s="43" t="s">
        <v>626</v>
      </c>
      <c r="P144" s="43" t="s">
        <v>1136</v>
      </c>
      <c r="Q144" s="43" t="s">
        <v>1634</v>
      </c>
      <c r="R144" s="43" t="s">
        <v>1635</v>
      </c>
      <c r="S144" s="43" t="s">
        <v>629</v>
      </c>
      <c r="T144" s="43"/>
      <c r="U144" s="43"/>
      <c r="V144" s="43"/>
      <c r="W144" s="43"/>
      <c r="X144" s="43"/>
      <c r="Y144" s="43"/>
      <c r="Z144" s="43"/>
    </row>
    <row r="145" spans="1:26" ht="15.75" customHeight="1" x14ac:dyDescent="0.25">
      <c r="A145" s="43" t="s">
        <v>227</v>
      </c>
      <c r="B145" s="43" t="s">
        <v>1636</v>
      </c>
      <c r="C145" s="43" t="s">
        <v>1637</v>
      </c>
      <c r="D145" s="43" t="s">
        <v>617</v>
      </c>
      <c r="E145" s="43" t="s">
        <v>1638</v>
      </c>
      <c r="F145" s="43" t="s">
        <v>619</v>
      </c>
      <c r="G145" s="43" t="s">
        <v>1639</v>
      </c>
      <c r="H145" s="43" t="s">
        <v>735</v>
      </c>
      <c r="I145" s="43" t="s">
        <v>1640</v>
      </c>
      <c r="J145" s="43" t="s">
        <v>84</v>
      </c>
      <c r="K145" s="43" t="s">
        <v>623</v>
      </c>
      <c r="L145" s="43" t="s">
        <v>898</v>
      </c>
      <c r="M145" s="43" t="s">
        <v>794</v>
      </c>
      <c r="N145" s="43" t="s">
        <v>617</v>
      </c>
      <c r="O145" s="43" t="s">
        <v>626</v>
      </c>
      <c r="P145" s="43" t="s">
        <v>1641</v>
      </c>
      <c r="Q145" s="43" t="s">
        <v>1642</v>
      </c>
      <c r="R145" s="43" t="s">
        <v>1642</v>
      </c>
      <c r="S145" s="43" t="s">
        <v>648</v>
      </c>
      <c r="T145" s="43"/>
      <c r="U145" s="43"/>
      <c r="V145" s="43"/>
      <c r="W145" s="43"/>
      <c r="X145" s="43"/>
      <c r="Y145" s="43"/>
      <c r="Z145" s="43"/>
    </row>
    <row r="146" spans="1:26" ht="15.75" customHeight="1" x14ac:dyDescent="0.25">
      <c r="A146" s="43" t="s">
        <v>228</v>
      </c>
      <c r="B146" s="43" t="s">
        <v>1643</v>
      </c>
      <c r="C146" s="43" t="s">
        <v>1644</v>
      </c>
      <c r="D146" s="43" t="s">
        <v>617</v>
      </c>
      <c r="E146" s="43" t="s">
        <v>1645</v>
      </c>
      <c r="F146" s="43" t="s">
        <v>619</v>
      </c>
      <c r="G146" s="43" t="s">
        <v>1646</v>
      </c>
      <c r="H146" s="43" t="s">
        <v>1318</v>
      </c>
      <c r="I146" s="43" t="s">
        <v>1357</v>
      </c>
      <c r="J146" s="43" t="s">
        <v>87</v>
      </c>
      <c r="K146" s="43" t="s">
        <v>623</v>
      </c>
      <c r="L146" s="43" t="s">
        <v>1358</v>
      </c>
      <c r="M146" s="43" t="s">
        <v>855</v>
      </c>
      <c r="N146" s="43" t="s">
        <v>617</v>
      </c>
      <c r="O146" s="43" t="s">
        <v>626</v>
      </c>
      <c r="P146" s="43" t="s">
        <v>1647</v>
      </c>
      <c r="Q146" s="43" t="s">
        <v>1648</v>
      </c>
      <c r="R146" s="43" t="s">
        <v>1649</v>
      </c>
      <c r="S146" s="43" t="s">
        <v>629</v>
      </c>
      <c r="T146" s="43"/>
      <c r="U146" s="43"/>
      <c r="V146" s="43"/>
      <c r="W146" s="43"/>
      <c r="X146" s="43"/>
      <c r="Y146" s="43"/>
      <c r="Z146" s="43"/>
    </row>
    <row r="147" spans="1:26" ht="15.75" customHeight="1" x14ac:dyDescent="0.25">
      <c r="A147" s="43" t="s">
        <v>229</v>
      </c>
      <c r="B147" s="43" t="s">
        <v>1650</v>
      </c>
      <c r="C147" s="43" t="s">
        <v>1651</v>
      </c>
      <c r="D147" s="43" t="s">
        <v>617</v>
      </c>
      <c r="E147" s="43" t="s">
        <v>1652</v>
      </c>
      <c r="F147" s="43" t="s">
        <v>619</v>
      </c>
      <c r="G147" s="43" t="s">
        <v>1653</v>
      </c>
      <c r="H147" s="43" t="s">
        <v>653</v>
      </c>
      <c r="I147" s="43" t="s">
        <v>1654</v>
      </c>
      <c r="J147" s="43" t="s">
        <v>86</v>
      </c>
      <c r="K147" s="43" t="s">
        <v>623</v>
      </c>
      <c r="L147" s="43" t="s">
        <v>958</v>
      </c>
      <c r="M147" s="43" t="s">
        <v>855</v>
      </c>
      <c r="N147" s="43" t="s">
        <v>617</v>
      </c>
      <c r="O147" s="43" t="s">
        <v>626</v>
      </c>
      <c r="P147" s="43" t="s">
        <v>929</v>
      </c>
      <c r="Q147" s="43" t="s">
        <v>1655</v>
      </c>
      <c r="R147" s="43" t="s">
        <v>1123</v>
      </c>
      <c r="S147" s="43" t="s">
        <v>629</v>
      </c>
      <c r="T147" s="43"/>
      <c r="U147" s="43"/>
      <c r="V147" s="43"/>
      <c r="W147" s="43"/>
      <c r="X147" s="43"/>
      <c r="Y147" s="43"/>
      <c r="Z147" s="43"/>
    </row>
    <row r="148" spans="1:26" ht="15.75" customHeight="1" x14ac:dyDescent="0.25">
      <c r="A148" s="43" t="s">
        <v>230</v>
      </c>
      <c r="B148" s="43" t="s">
        <v>1656</v>
      </c>
      <c r="C148" s="43" t="s">
        <v>1657</v>
      </c>
      <c r="D148" s="43" t="s">
        <v>617</v>
      </c>
      <c r="E148" s="43" t="s">
        <v>1658</v>
      </c>
      <c r="F148" s="43" t="s">
        <v>619</v>
      </c>
      <c r="G148" s="43" t="s">
        <v>1659</v>
      </c>
      <c r="H148" s="43" t="s">
        <v>621</v>
      </c>
      <c r="I148" s="43" t="s">
        <v>1660</v>
      </c>
      <c r="J148" s="43" t="s">
        <v>85</v>
      </c>
      <c r="K148" s="43" t="s">
        <v>623</v>
      </c>
      <c r="L148" s="43" t="s">
        <v>1069</v>
      </c>
      <c r="M148" s="43" t="s">
        <v>914</v>
      </c>
      <c r="N148" s="43" t="s">
        <v>617</v>
      </c>
      <c r="O148" s="43" t="s">
        <v>626</v>
      </c>
      <c r="P148" s="43" t="s">
        <v>891</v>
      </c>
      <c r="Q148" s="43" t="s">
        <v>1661</v>
      </c>
      <c r="R148" s="43" t="s">
        <v>1123</v>
      </c>
      <c r="S148" s="43" t="s">
        <v>730</v>
      </c>
      <c r="T148" s="43"/>
      <c r="U148" s="43"/>
      <c r="V148" s="43"/>
      <c r="W148" s="43"/>
      <c r="X148" s="43"/>
      <c r="Y148" s="43"/>
      <c r="Z148" s="43"/>
    </row>
    <row r="149" spans="1:26" ht="15.75" customHeight="1" x14ac:dyDescent="0.25">
      <c r="A149" s="43" t="s">
        <v>231</v>
      </c>
      <c r="B149" s="43" t="s">
        <v>1662</v>
      </c>
      <c r="C149" s="43" t="s">
        <v>4521</v>
      </c>
      <c r="D149" s="43" t="s">
        <v>1663</v>
      </c>
      <c r="E149" s="43" t="s">
        <v>1547</v>
      </c>
      <c r="F149" s="43" t="s">
        <v>619</v>
      </c>
      <c r="G149" s="43" t="s">
        <v>1664</v>
      </c>
      <c r="H149" s="43" t="s">
        <v>621</v>
      </c>
      <c r="I149" s="43" t="s">
        <v>720</v>
      </c>
      <c r="J149" s="43" t="s">
        <v>87</v>
      </c>
      <c r="K149" s="43"/>
      <c r="L149" s="43" t="s">
        <v>680</v>
      </c>
      <c r="M149" s="43" t="s">
        <v>617</v>
      </c>
      <c r="N149" s="43" t="s">
        <v>617</v>
      </c>
      <c r="O149" s="43" t="s">
        <v>626</v>
      </c>
      <c r="P149" s="43" t="s">
        <v>1665</v>
      </c>
      <c r="Q149" s="43" t="s">
        <v>1666</v>
      </c>
      <c r="R149" s="43" t="s">
        <v>1667</v>
      </c>
      <c r="S149" s="43" t="s">
        <v>648</v>
      </c>
      <c r="T149" s="43"/>
      <c r="U149" s="43"/>
      <c r="V149" s="43"/>
      <c r="W149" s="43"/>
      <c r="X149" s="43"/>
      <c r="Y149" s="43"/>
      <c r="Z149" s="43"/>
    </row>
    <row r="150" spans="1:26" ht="15.75" customHeight="1" x14ac:dyDescent="0.25">
      <c r="A150" s="43" t="s">
        <v>232</v>
      </c>
      <c r="B150" s="43" t="s">
        <v>1668</v>
      </c>
      <c r="C150" s="43" t="s">
        <v>1669</v>
      </c>
      <c r="D150" s="43" t="s">
        <v>617</v>
      </c>
      <c r="E150" s="43" t="s">
        <v>1670</v>
      </c>
      <c r="F150" s="43" t="s">
        <v>619</v>
      </c>
      <c r="G150" s="43" t="s">
        <v>1671</v>
      </c>
      <c r="H150" s="43" t="s">
        <v>653</v>
      </c>
      <c r="I150" s="43" t="s">
        <v>1672</v>
      </c>
      <c r="J150" s="43" t="s">
        <v>88</v>
      </c>
      <c r="K150" s="43" t="s">
        <v>623</v>
      </c>
      <c r="L150" s="43" t="s">
        <v>958</v>
      </c>
      <c r="M150" s="43" t="s">
        <v>855</v>
      </c>
      <c r="N150" s="43" t="s">
        <v>617</v>
      </c>
      <c r="O150" s="43" t="s">
        <v>626</v>
      </c>
      <c r="P150" s="43" t="s">
        <v>929</v>
      </c>
      <c r="Q150" s="43" t="s">
        <v>1673</v>
      </c>
      <c r="R150" s="43" t="s">
        <v>1674</v>
      </c>
      <c r="S150" s="43" t="s">
        <v>629</v>
      </c>
      <c r="T150" s="43"/>
      <c r="U150" s="43"/>
      <c r="V150" s="43"/>
      <c r="W150" s="43"/>
      <c r="X150" s="43"/>
      <c r="Y150" s="43"/>
      <c r="Z150" s="43"/>
    </row>
    <row r="151" spans="1:26" ht="15.75" customHeight="1" x14ac:dyDescent="0.25">
      <c r="A151" s="43" t="s">
        <v>233</v>
      </c>
      <c r="B151" s="43" t="s">
        <v>1675</v>
      </c>
      <c r="C151" s="43" t="s">
        <v>1676</v>
      </c>
      <c r="D151" s="43" t="s">
        <v>1677</v>
      </c>
      <c r="E151" s="43" t="s">
        <v>1678</v>
      </c>
      <c r="F151" s="43" t="s">
        <v>619</v>
      </c>
      <c r="G151" s="43" t="s">
        <v>1679</v>
      </c>
      <c r="H151" s="43" t="s">
        <v>1292</v>
      </c>
      <c r="I151" s="43" t="s">
        <v>1680</v>
      </c>
      <c r="J151" s="43" t="s">
        <v>1681</v>
      </c>
      <c r="K151" s="43" t="s">
        <v>1397</v>
      </c>
      <c r="L151" s="43" t="s">
        <v>617</v>
      </c>
      <c r="M151" s="43" t="s">
        <v>617</v>
      </c>
      <c r="N151" s="43" t="s">
        <v>617</v>
      </c>
      <c r="O151" s="43" t="s">
        <v>626</v>
      </c>
      <c r="P151" s="43" t="s">
        <v>688</v>
      </c>
      <c r="Q151" s="43" t="s">
        <v>1682</v>
      </c>
      <c r="R151" s="43" t="s">
        <v>1682</v>
      </c>
      <c r="S151" s="43" t="s">
        <v>629</v>
      </c>
      <c r="T151" s="43"/>
      <c r="U151" s="43"/>
      <c r="V151" s="43"/>
      <c r="W151" s="43"/>
      <c r="X151" s="43"/>
      <c r="Y151" s="43"/>
      <c r="Z151" s="43"/>
    </row>
    <row r="152" spans="1:26" ht="15.75" customHeight="1" x14ac:dyDescent="0.25">
      <c r="A152" s="43" t="s">
        <v>234</v>
      </c>
      <c r="B152" s="43" t="s">
        <v>1683</v>
      </c>
      <c r="C152" s="43" t="s">
        <v>4522</v>
      </c>
      <c r="D152" s="43" t="s">
        <v>1684</v>
      </c>
      <c r="E152" s="43" t="s">
        <v>1685</v>
      </c>
      <c r="F152" s="43" t="s">
        <v>619</v>
      </c>
      <c r="G152" s="43" t="s">
        <v>1686</v>
      </c>
      <c r="H152" s="43" t="s">
        <v>735</v>
      </c>
      <c r="I152" s="43" t="s">
        <v>1687</v>
      </c>
      <c r="J152" s="43" t="s">
        <v>1101</v>
      </c>
      <c r="K152" s="43" t="s">
        <v>1102</v>
      </c>
      <c r="L152" s="43" t="s">
        <v>966</v>
      </c>
      <c r="M152" s="43" t="s">
        <v>645</v>
      </c>
      <c r="N152" s="43" t="s">
        <v>617</v>
      </c>
      <c r="O152" s="43" t="s">
        <v>626</v>
      </c>
      <c r="P152" s="43" t="s">
        <v>967</v>
      </c>
      <c r="Q152" s="43" t="s">
        <v>1688</v>
      </c>
      <c r="R152" s="43" t="s">
        <v>1688</v>
      </c>
      <c r="S152" s="43" t="s">
        <v>629</v>
      </c>
      <c r="T152" s="43"/>
      <c r="U152" s="43"/>
      <c r="V152" s="43"/>
      <c r="W152" s="43"/>
      <c r="X152" s="43"/>
      <c r="Y152" s="43"/>
      <c r="Z152" s="43"/>
    </row>
    <row r="153" spans="1:26" ht="15.75" customHeight="1" x14ac:dyDescent="0.25">
      <c r="A153" s="43" t="s">
        <v>235</v>
      </c>
      <c r="B153" s="43" t="s">
        <v>1689</v>
      </c>
      <c r="C153" s="43" t="s">
        <v>4515</v>
      </c>
      <c r="D153" s="43" t="s">
        <v>617</v>
      </c>
      <c r="E153" s="43" t="s">
        <v>1690</v>
      </c>
      <c r="F153" s="43" t="s">
        <v>619</v>
      </c>
      <c r="G153" s="43" t="s">
        <v>1691</v>
      </c>
      <c r="H153" s="43" t="s">
        <v>653</v>
      </c>
      <c r="I153" s="43" t="s">
        <v>1692</v>
      </c>
      <c r="J153" s="43" t="s">
        <v>88</v>
      </c>
      <c r="K153" s="43" t="s">
        <v>623</v>
      </c>
      <c r="L153" s="43" t="s">
        <v>1412</v>
      </c>
      <c r="M153" s="43" t="s">
        <v>645</v>
      </c>
      <c r="N153" s="43" t="s">
        <v>617</v>
      </c>
      <c r="O153" s="43" t="s">
        <v>626</v>
      </c>
      <c r="P153" s="43" t="s">
        <v>688</v>
      </c>
      <c r="Q153" s="43" t="s">
        <v>1693</v>
      </c>
      <c r="R153" s="43" t="s">
        <v>1694</v>
      </c>
      <c r="S153" s="43" t="s">
        <v>648</v>
      </c>
      <c r="T153" s="43"/>
      <c r="U153" s="43"/>
      <c r="V153" s="43"/>
      <c r="W153" s="43"/>
      <c r="X153" s="43"/>
      <c r="Y153" s="43"/>
      <c r="Z153" s="43"/>
    </row>
    <row r="154" spans="1:26" ht="15.75" customHeight="1" x14ac:dyDescent="0.25">
      <c r="A154" s="43" t="s">
        <v>236</v>
      </c>
      <c r="B154" s="43" t="s">
        <v>1695</v>
      </c>
      <c r="C154" s="43" t="s">
        <v>1696</v>
      </c>
      <c r="D154" s="43" t="s">
        <v>617</v>
      </c>
      <c r="E154" s="43" t="s">
        <v>1128</v>
      </c>
      <c r="F154" s="43" t="s">
        <v>619</v>
      </c>
      <c r="G154" s="43" t="s">
        <v>1697</v>
      </c>
      <c r="H154" s="43" t="s">
        <v>621</v>
      </c>
      <c r="I154" s="43" t="s">
        <v>671</v>
      </c>
      <c r="J154" s="43" t="s">
        <v>1227</v>
      </c>
      <c r="K154" s="43"/>
      <c r="L154" s="43" t="s">
        <v>672</v>
      </c>
      <c r="M154" s="43" t="s">
        <v>617</v>
      </c>
      <c r="N154" s="43" t="s">
        <v>617</v>
      </c>
      <c r="O154" s="43" t="s">
        <v>626</v>
      </c>
      <c r="P154" s="43" t="s">
        <v>656</v>
      </c>
      <c r="Q154" s="43" t="s">
        <v>1698</v>
      </c>
      <c r="R154" s="43" t="s">
        <v>1699</v>
      </c>
      <c r="S154" s="43" t="s">
        <v>893</v>
      </c>
      <c r="T154" s="43"/>
      <c r="U154" s="43"/>
      <c r="V154" s="43"/>
      <c r="W154" s="43"/>
      <c r="X154" s="43"/>
      <c r="Y154" s="43"/>
      <c r="Z154" s="43"/>
    </row>
    <row r="155" spans="1:26" ht="15.75" customHeight="1" x14ac:dyDescent="0.25">
      <c r="A155" s="43" t="s">
        <v>237</v>
      </c>
      <c r="B155" s="43" t="s">
        <v>1700</v>
      </c>
      <c r="C155" s="43" t="s">
        <v>1701</v>
      </c>
      <c r="D155" s="43" t="s">
        <v>617</v>
      </c>
      <c r="E155" s="43" t="s">
        <v>1702</v>
      </c>
      <c r="F155" s="43" t="s">
        <v>619</v>
      </c>
      <c r="G155" s="43" t="s">
        <v>1703</v>
      </c>
      <c r="H155" s="43" t="s">
        <v>621</v>
      </c>
      <c r="I155" s="43" t="s">
        <v>808</v>
      </c>
      <c r="J155" s="43" t="s">
        <v>84</v>
      </c>
      <c r="K155" s="43" t="s">
        <v>623</v>
      </c>
      <c r="L155" s="43" t="s">
        <v>809</v>
      </c>
      <c r="M155" s="43" t="s">
        <v>744</v>
      </c>
      <c r="N155" s="43" t="s">
        <v>617</v>
      </c>
      <c r="O155" s="43" t="s">
        <v>626</v>
      </c>
      <c r="P155" s="43" t="s">
        <v>745</v>
      </c>
      <c r="Q155" s="43" t="s">
        <v>1704</v>
      </c>
      <c r="R155" s="43" t="s">
        <v>1705</v>
      </c>
      <c r="S155" s="43" t="s">
        <v>648</v>
      </c>
      <c r="T155" s="43"/>
      <c r="U155" s="43"/>
      <c r="V155" s="43"/>
      <c r="W155" s="43"/>
      <c r="X155" s="43"/>
      <c r="Y155" s="43"/>
      <c r="Z155" s="43"/>
    </row>
    <row r="156" spans="1:26" ht="15.75" customHeight="1" x14ac:dyDescent="0.25">
      <c r="A156" s="43" t="s">
        <v>238</v>
      </c>
      <c r="B156" s="43" t="s">
        <v>1706</v>
      </c>
      <c r="C156" s="43" t="s">
        <v>1707</v>
      </c>
      <c r="D156" s="43" t="s">
        <v>617</v>
      </c>
      <c r="E156" s="43" t="s">
        <v>1708</v>
      </c>
      <c r="F156" s="43" t="s">
        <v>619</v>
      </c>
      <c r="G156" s="43" t="s">
        <v>1709</v>
      </c>
      <c r="H156" s="43" t="s">
        <v>653</v>
      </c>
      <c r="I156" s="43" t="s">
        <v>1710</v>
      </c>
      <c r="J156" s="43" t="s">
        <v>88</v>
      </c>
      <c r="K156" s="43" t="s">
        <v>623</v>
      </c>
      <c r="L156" s="43" t="s">
        <v>958</v>
      </c>
      <c r="M156" s="43" t="s">
        <v>855</v>
      </c>
      <c r="N156" s="43" t="s">
        <v>617</v>
      </c>
      <c r="O156" s="43" t="s">
        <v>626</v>
      </c>
      <c r="P156" s="43" t="s">
        <v>1711</v>
      </c>
      <c r="Q156" s="43" t="s">
        <v>1712</v>
      </c>
      <c r="R156" s="43" t="s">
        <v>1123</v>
      </c>
      <c r="S156" s="43" t="s">
        <v>648</v>
      </c>
      <c r="T156" s="43"/>
      <c r="U156" s="43"/>
      <c r="V156" s="43"/>
      <c r="W156" s="43"/>
      <c r="X156" s="43"/>
      <c r="Y156" s="43"/>
      <c r="Z156" s="43"/>
    </row>
    <row r="157" spans="1:26" ht="15.75" customHeight="1" x14ac:dyDescent="0.25">
      <c r="A157" s="43" t="s">
        <v>239</v>
      </c>
      <c r="B157" s="43" t="s">
        <v>1713</v>
      </c>
      <c r="C157" s="43" t="s">
        <v>1714</v>
      </c>
      <c r="D157" s="43" t="s">
        <v>617</v>
      </c>
      <c r="E157" s="43" t="s">
        <v>1715</v>
      </c>
      <c r="F157" s="43" t="s">
        <v>619</v>
      </c>
      <c r="G157" s="43" t="s">
        <v>1716</v>
      </c>
      <c r="H157" s="43" t="s">
        <v>653</v>
      </c>
      <c r="I157" s="43" t="s">
        <v>1261</v>
      </c>
      <c r="J157" s="43" t="s">
        <v>87</v>
      </c>
      <c r="K157" s="43" t="s">
        <v>623</v>
      </c>
      <c r="L157" s="43" t="s">
        <v>695</v>
      </c>
      <c r="M157" s="43" t="s">
        <v>664</v>
      </c>
      <c r="N157" s="43" t="s">
        <v>617</v>
      </c>
      <c r="O157" s="43" t="s">
        <v>626</v>
      </c>
      <c r="P157" s="43" t="s">
        <v>665</v>
      </c>
      <c r="Q157" s="43" t="s">
        <v>1717</v>
      </c>
      <c r="R157" s="43" t="s">
        <v>1718</v>
      </c>
      <c r="S157" s="43" t="s">
        <v>648</v>
      </c>
      <c r="T157" s="43"/>
      <c r="U157" s="43"/>
      <c r="V157" s="43"/>
      <c r="W157" s="43"/>
      <c r="X157" s="43"/>
      <c r="Y157" s="43"/>
      <c r="Z157" s="43"/>
    </row>
    <row r="158" spans="1:26" ht="15.75" customHeight="1" x14ac:dyDescent="0.25">
      <c r="A158" s="43" t="s">
        <v>240</v>
      </c>
      <c r="B158" s="43" t="s">
        <v>1719</v>
      </c>
      <c r="C158" s="43" t="s">
        <v>1720</v>
      </c>
      <c r="D158" s="43" t="s">
        <v>617</v>
      </c>
      <c r="E158" s="43" t="s">
        <v>1721</v>
      </c>
      <c r="F158" s="43" t="s">
        <v>619</v>
      </c>
      <c r="G158" s="43" t="s">
        <v>1722</v>
      </c>
      <c r="H158" s="43" t="s">
        <v>735</v>
      </c>
      <c r="I158" s="43" t="s">
        <v>1723</v>
      </c>
      <c r="J158" s="43" t="s">
        <v>1681</v>
      </c>
      <c r="K158" s="43" t="s">
        <v>1123</v>
      </c>
      <c r="L158" s="43" t="s">
        <v>817</v>
      </c>
      <c r="M158" s="43" t="s">
        <v>818</v>
      </c>
      <c r="N158" s="43" t="s">
        <v>617</v>
      </c>
      <c r="O158" s="43" t="s">
        <v>626</v>
      </c>
      <c r="P158" s="43" t="s">
        <v>819</v>
      </c>
      <c r="Q158" s="43" t="s">
        <v>1724</v>
      </c>
      <c r="R158" s="43" t="s">
        <v>1725</v>
      </c>
      <c r="S158" s="43" t="s">
        <v>730</v>
      </c>
      <c r="T158" s="43"/>
      <c r="U158" s="43"/>
      <c r="V158" s="43"/>
      <c r="W158" s="43"/>
      <c r="X158" s="43"/>
      <c r="Y158" s="43"/>
      <c r="Z158" s="43"/>
    </row>
    <row r="159" spans="1:26" ht="15.75" customHeight="1" x14ac:dyDescent="0.25">
      <c r="A159" s="43" t="s">
        <v>241</v>
      </c>
      <c r="B159" s="43" t="s">
        <v>1726</v>
      </c>
      <c r="C159" s="43" t="s">
        <v>1727</v>
      </c>
      <c r="D159" s="43" t="s">
        <v>617</v>
      </c>
      <c r="E159" s="43" t="s">
        <v>903</v>
      </c>
      <c r="F159" s="43" t="s">
        <v>619</v>
      </c>
      <c r="G159" s="43" t="s">
        <v>1257</v>
      </c>
      <c r="H159" s="43" t="s">
        <v>653</v>
      </c>
      <c r="I159" s="43" t="s">
        <v>1728</v>
      </c>
      <c r="J159" s="43" t="s">
        <v>88</v>
      </c>
      <c r="K159" s="43" t="s">
        <v>623</v>
      </c>
      <c r="L159" s="43" t="s">
        <v>655</v>
      </c>
      <c r="M159" s="43" t="s">
        <v>617</v>
      </c>
      <c r="N159" s="43" t="s">
        <v>617</v>
      </c>
      <c r="O159" s="43" t="s">
        <v>626</v>
      </c>
      <c r="P159" s="43" t="s">
        <v>656</v>
      </c>
      <c r="Q159" s="43" t="s">
        <v>1729</v>
      </c>
      <c r="R159" s="43" t="s">
        <v>1730</v>
      </c>
      <c r="S159" s="43" t="s">
        <v>629</v>
      </c>
      <c r="T159" s="43"/>
      <c r="U159" s="43"/>
      <c r="V159" s="43"/>
      <c r="W159" s="43"/>
      <c r="X159" s="43"/>
      <c r="Y159" s="43"/>
      <c r="Z159" s="43"/>
    </row>
    <row r="160" spans="1:26" ht="15.75" customHeight="1" x14ac:dyDescent="0.25">
      <c r="A160" s="43" t="s">
        <v>242</v>
      </c>
      <c r="B160" s="43" t="s">
        <v>1731</v>
      </c>
      <c r="C160" s="43" t="s">
        <v>1732</v>
      </c>
      <c r="D160" s="43" t="s">
        <v>617</v>
      </c>
      <c r="E160" s="43" t="s">
        <v>851</v>
      </c>
      <c r="F160" s="43" t="s">
        <v>619</v>
      </c>
      <c r="G160" s="43" t="s">
        <v>1733</v>
      </c>
      <c r="H160" s="43" t="s">
        <v>735</v>
      </c>
      <c r="I160" s="43" t="s">
        <v>973</v>
      </c>
      <c r="J160" s="43" t="s">
        <v>928</v>
      </c>
      <c r="K160" s="43" t="s">
        <v>99</v>
      </c>
      <c r="L160" s="43" t="s">
        <v>680</v>
      </c>
      <c r="M160" s="43" t="s">
        <v>617</v>
      </c>
      <c r="N160" s="43" t="s">
        <v>617</v>
      </c>
      <c r="O160" s="43" t="s">
        <v>626</v>
      </c>
      <c r="P160" s="43" t="s">
        <v>656</v>
      </c>
      <c r="Q160" s="43" t="s">
        <v>1734</v>
      </c>
      <c r="R160" s="43" t="s">
        <v>1735</v>
      </c>
      <c r="S160" s="43" t="s">
        <v>629</v>
      </c>
      <c r="T160" s="43"/>
      <c r="U160" s="43"/>
      <c r="V160" s="43"/>
      <c r="W160" s="43"/>
      <c r="X160" s="43"/>
      <c r="Y160" s="43"/>
      <c r="Z160" s="43"/>
    </row>
    <row r="161" spans="1:26" ht="15.75" customHeight="1" x14ac:dyDescent="0.25">
      <c r="A161" s="43" t="s">
        <v>243</v>
      </c>
      <c r="B161" s="43" t="s">
        <v>1736</v>
      </c>
      <c r="C161" s="43" t="s">
        <v>1737</v>
      </c>
      <c r="D161" s="43" t="s">
        <v>885</v>
      </c>
      <c r="E161" s="43" t="s">
        <v>1738</v>
      </c>
      <c r="F161" s="43" t="s">
        <v>619</v>
      </c>
      <c r="G161" s="43" t="s">
        <v>1739</v>
      </c>
      <c r="H161" s="43" t="s">
        <v>634</v>
      </c>
      <c r="I161" s="43" t="s">
        <v>1333</v>
      </c>
      <c r="J161" s="43" t="s">
        <v>1304</v>
      </c>
      <c r="K161" s="43" t="s">
        <v>1227</v>
      </c>
      <c r="L161" s="43" t="s">
        <v>1334</v>
      </c>
      <c r="M161" s="43" t="s">
        <v>1335</v>
      </c>
      <c r="N161" s="43" t="s">
        <v>885</v>
      </c>
      <c r="O161" s="43" t="s">
        <v>626</v>
      </c>
      <c r="P161" s="43" t="s">
        <v>1740</v>
      </c>
      <c r="Q161" s="43" t="s">
        <v>1741</v>
      </c>
      <c r="R161" s="43" t="s">
        <v>1742</v>
      </c>
      <c r="S161" s="43" t="s">
        <v>648</v>
      </c>
      <c r="T161" s="43"/>
      <c r="U161" s="43"/>
      <c r="V161" s="43"/>
      <c r="W161" s="43"/>
      <c r="X161" s="43"/>
      <c r="Y161" s="43"/>
      <c r="Z161" s="43"/>
    </row>
    <row r="162" spans="1:26" ht="15.75" customHeight="1" x14ac:dyDescent="0.25">
      <c r="A162" s="43" t="s">
        <v>244</v>
      </c>
      <c r="B162" s="43" t="s">
        <v>1743</v>
      </c>
      <c r="C162" s="43" t="s">
        <v>1744</v>
      </c>
      <c r="D162" s="43" t="s">
        <v>885</v>
      </c>
      <c r="E162" s="43" t="s">
        <v>1745</v>
      </c>
      <c r="F162" s="43" t="s">
        <v>619</v>
      </c>
      <c r="G162" s="43" t="s">
        <v>1746</v>
      </c>
      <c r="H162" s="43" t="s">
        <v>634</v>
      </c>
      <c r="I162" s="43" t="s">
        <v>1442</v>
      </c>
      <c r="J162" s="43" t="s">
        <v>86</v>
      </c>
      <c r="K162" s="43" t="s">
        <v>89</v>
      </c>
      <c r="L162" s="43" t="s">
        <v>1334</v>
      </c>
      <c r="M162" s="43" t="s">
        <v>1335</v>
      </c>
      <c r="N162" s="43" t="s">
        <v>885</v>
      </c>
      <c r="O162" s="43" t="s">
        <v>626</v>
      </c>
      <c r="P162" s="43" t="s">
        <v>1740</v>
      </c>
      <c r="Q162" s="43" t="s">
        <v>1747</v>
      </c>
      <c r="R162" s="43" t="s">
        <v>1748</v>
      </c>
      <c r="S162" s="43" t="s">
        <v>648</v>
      </c>
      <c r="T162" s="43"/>
      <c r="U162" s="43"/>
      <c r="V162" s="43"/>
      <c r="W162" s="43"/>
      <c r="X162" s="43"/>
      <c r="Y162" s="43"/>
      <c r="Z162" s="43"/>
    </row>
    <row r="163" spans="1:26" ht="15.75" customHeight="1" x14ac:dyDescent="0.25">
      <c r="A163" s="43" t="s">
        <v>245</v>
      </c>
      <c r="B163" s="43" t="s">
        <v>1749</v>
      </c>
      <c r="C163" s="43" t="s">
        <v>1750</v>
      </c>
      <c r="D163" s="43" t="s">
        <v>617</v>
      </c>
      <c r="E163" s="43" t="s">
        <v>872</v>
      </c>
      <c r="F163" s="43" t="s">
        <v>619</v>
      </c>
      <c r="G163" s="43" t="s">
        <v>1751</v>
      </c>
      <c r="H163" s="43" t="s">
        <v>634</v>
      </c>
      <c r="I163" s="43" t="s">
        <v>1752</v>
      </c>
      <c r="J163" s="43" t="s">
        <v>84</v>
      </c>
      <c r="K163" s="43" t="s">
        <v>623</v>
      </c>
      <c r="L163" s="43" t="s">
        <v>695</v>
      </c>
      <c r="M163" s="43" t="s">
        <v>664</v>
      </c>
      <c r="N163" s="43" t="s">
        <v>617</v>
      </c>
      <c r="O163" s="43" t="s">
        <v>626</v>
      </c>
      <c r="P163" s="43" t="s">
        <v>1130</v>
      </c>
      <c r="Q163" s="43" t="s">
        <v>1753</v>
      </c>
      <c r="R163" s="43" t="s">
        <v>1754</v>
      </c>
      <c r="S163" s="43" t="s">
        <v>648</v>
      </c>
      <c r="T163" s="43"/>
      <c r="U163" s="43"/>
      <c r="V163" s="43"/>
      <c r="W163" s="43"/>
      <c r="X163" s="43"/>
      <c r="Y163" s="43"/>
      <c r="Z163" s="43"/>
    </row>
    <row r="164" spans="1:26" ht="15.75" customHeight="1" x14ac:dyDescent="0.25">
      <c r="A164" s="43" t="s">
        <v>246</v>
      </c>
      <c r="B164" s="43" t="s">
        <v>1755</v>
      </c>
      <c r="C164" s="43" t="s">
        <v>1756</v>
      </c>
      <c r="D164" s="43" t="s">
        <v>617</v>
      </c>
      <c r="E164" s="43" t="s">
        <v>1757</v>
      </c>
      <c r="F164" s="43" t="s">
        <v>619</v>
      </c>
      <c r="G164" s="43" t="s">
        <v>1758</v>
      </c>
      <c r="H164" s="43" t="s">
        <v>735</v>
      </c>
      <c r="I164" s="43" t="s">
        <v>1759</v>
      </c>
      <c r="J164" s="43" t="s">
        <v>94</v>
      </c>
      <c r="K164" s="43"/>
      <c r="L164" s="43" t="s">
        <v>644</v>
      </c>
      <c r="M164" s="43" t="s">
        <v>645</v>
      </c>
      <c r="N164" s="43" t="s">
        <v>617</v>
      </c>
      <c r="O164" s="43" t="s">
        <v>626</v>
      </c>
      <c r="P164" s="43" t="s">
        <v>1760</v>
      </c>
      <c r="Q164" s="43" t="s">
        <v>1761</v>
      </c>
      <c r="R164" s="43" t="s">
        <v>1762</v>
      </c>
      <c r="S164" s="43" t="s">
        <v>893</v>
      </c>
      <c r="T164" s="43"/>
      <c r="U164" s="43"/>
      <c r="V164" s="43"/>
      <c r="W164" s="43"/>
      <c r="X164" s="43"/>
      <c r="Y164" s="43"/>
      <c r="Z164" s="43"/>
    </row>
    <row r="165" spans="1:26" ht="15.75" customHeight="1" x14ac:dyDescent="0.25">
      <c r="A165" s="43" t="s">
        <v>247</v>
      </c>
      <c r="B165" s="43" t="s">
        <v>1763</v>
      </c>
      <c r="C165" s="43" t="s">
        <v>1764</v>
      </c>
      <c r="D165" s="43" t="s">
        <v>617</v>
      </c>
      <c r="E165" s="43" t="s">
        <v>1765</v>
      </c>
      <c r="F165" s="43" t="s">
        <v>619</v>
      </c>
      <c r="G165" s="43" t="s">
        <v>1766</v>
      </c>
      <c r="H165" s="43" t="s">
        <v>888</v>
      </c>
      <c r="I165" s="43" t="s">
        <v>1081</v>
      </c>
      <c r="J165" s="43" t="s">
        <v>90</v>
      </c>
      <c r="K165" s="43" t="s">
        <v>623</v>
      </c>
      <c r="L165" s="43" t="s">
        <v>680</v>
      </c>
      <c r="M165" s="43" t="s">
        <v>617</v>
      </c>
      <c r="N165" s="43" t="s">
        <v>617</v>
      </c>
      <c r="O165" s="43" t="s">
        <v>626</v>
      </c>
      <c r="P165" s="43" t="s">
        <v>1268</v>
      </c>
      <c r="Q165" s="43" t="s">
        <v>1767</v>
      </c>
      <c r="R165" s="43" t="s">
        <v>1768</v>
      </c>
      <c r="S165" s="43" t="s">
        <v>893</v>
      </c>
      <c r="T165" s="43"/>
      <c r="U165" s="43"/>
      <c r="V165" s="43"/>
      <c r="W165" s="43"/>
      <c r="X165" s="43"/>
      <c r="Y165" s="43"/>
      <c r="Z165" s="43"/>
    </row>
    <row r="166" spans="1:26" ht="15.75" customHeight="1" x14ac:dyDescent="0.25">
      <c r="A166" s="43" t="s">
        <v>248</v>
      </c>
      <c r="B166" s="43" t="s">
        <v>1769</v>
      </c>
      <c r="C166" s="43" t="s">
        <v>1770</v>
      </c>
      <c r="D166" s="43" t="s">
        <v>617</v>
      </c>
      <c r="E166" s="43" t="s">
        <v>1771</v>
      </c>
      <c r="F166" s="43" t="s">
        <v>619</v>
      </c>
      <c r="G166" s="43" t="s">
        <v>1772</v>
      </c>
      <c r="H166" s="43" t="s">
        <v>888</v>
      </c>
      <c r="I166" s="43" t="s">
        <v>1710</v>
      </c>
      <c r="J166" s="43" t="s">
        <v>89</v>
      </c>
      <c r="K166" s="43" t="s">
        <v>623</v>
      </c>
      <c r="L166" s="43" t="s">
        <v>958</v>
      </c>
      <c r="M166" s="43" t="s">
        <v>855</v>
      </c>
      <c r="N166" s="43" t="s">
        <v>617</v>
      </c>
      <c r="O166" s="43" t="s">
        <v>626</v>
      </c>
      <c r="P166" s="43" t="s">
        <v>714</v>
      </c>
      <c r="Q166" s="43" t="s">
        <v>1773</v>
      </c>
      <c r="R166" s="43" t="s">
        <v>1774</v>
      </c>
      <c r="S166" s="43" t="s">
        <v>648</v>
      </c>
      <c r="T166" s="43"/>
      <c r="U166" s="43"/>
      <c r="V166" s="43"/>
      <c r="W166" s="43"/>
      <c r="X166" s="43"/>
      <c r="Y166" s="43"/>
      <c r="Z166" s="43"/>
    </row>
    <row r="167" spans="1:26" ht="15.75" customHeight="1" x14ac:dyDescent="0.25">
      <c r="A167" s="43" t="s">
        <v>249</v>
      </c>
      <c r="B167" s="43" t="s">
        <v>1775</v>
      </c>
      <c r="C167" s="43" t="s">
        <v>1776</v>
      </c>
      <c r="D167" s="43" t="s">
        <v>617</v>
      </c>
      <c r="E167" s="43" t="s">
        <v>1777</v>
      </c>
      <c r="F167" s="43" t="s">
        <v>619</v>
      </c>
      <c r="G167" s="43" t="s">
        <v>1778</v>
      </c>
      <c r="H167" s="43" t="s">
        <v>735</v>
      </c>
      <c r="I167" s="43" t="s">
        <v>1779</v>
      </c>
      <c r="J167" s="43" t="s">
        <v>134</v>
      </c>
      <c r="K167" s="43" t="s">
        <v>1123</v>
      </c>
      <c r="L167" s="43" t="s">
        <v>1214</v>
      </c>
      <c r="M167" s="43" t="s">
        <v>1113</v>
      </c>
      <c r="N167" s="43" t="s">
        <v>617</v>
      </c>
      <c r="O167" s="43" t="s">
        <v>626</v>
      </c>
      <c r="P167" s="43" t="s">
        <v>1114</v>
      </c>
      <c r="Q167" s="43" t="s">
        <v>1780</v>
      </c>
      <c r="R167" s="43" t="s">
        <v>1781</v>
      </c>
      <c r="S167" s="43" t="s">
        <v>648</v>
      </c>
      <c r="T167" s="43"/>
      <c r="U167" s="43"/>
      <c r="V167" s="43"/>
      <c r="W167" s="43"/>
      <c r="X167" s="43"/>
      <c r="Y167" s="43"/>
      <c r="Z167" s="43"/>
    </row>
    <row r="168" spans="1:26" ht="15.75" customHeight="1" x14ac:dyDescent="0.25">
      <c r="A168" s="43" t="s">
        <v>250</v>
      </c>
      <c r="B168" s="43" t="s">
        <v>1782</v>
      </c>
      <c r="C168" s="43" t="s">
        <v>1783</v>
      </c>
      <c r="D168" s="43" t="s">
        <v>962</v>
      </c>
      <c r="E168" s="43" t="s">
        <v>1784</v>
      </c>
      <c r="F168" s="43" t="s">
        <v>619</v>
      </c>
      <c r="G168" s="43" t="s">
        <v>1785</v>
      </c>
      <c r="H168" s="43" t="s">
        <v>735</v>
      </c>
      <c r="I168" s="43" t="s">
        <v>1786</v>
      </c>
      <c r="J168" s="43" t="s">
        <v>1111</v>
      </c>
      <c r="K168" s="43" t="s">
        <v>1102</v>
      </c>
      <c r="L168" s="43" t="s">
        <v>898</v>
      </c>
      <c r="M168" s="43" t="s">
        <v>794</v>
      </c>
      <c r="N168" s="43" t="s">
        <v>617</v>
      </c>
      <c r="O168" s="43" t="s">
        <v>626</v>
      </c>
      <c r="P168" s="43" t="s">
        <v>899</v>
      </c>
      <c r="Q168" s="43" t="s">
        <v>1787</v>
      </c>
      <c r="R168" s="43" t="s">
        <v>1788</v>
      </c>
      <c r="S168" s="43" t="s">
        <v>1271</v>
      </c>
      <c r="T168" s="43"/>
      <c r="U168" s="43"/>
      <c r="V168" s="43"/>
      <c r="W168" s="43"/>
      <c r="X168" s="43"/>
      <c r="Y168" s="43"/>
      <c r="Z168" s="43"/>
    </row>
    <row r="169" spans="1:26" ht="15.75" customHeight="1" x14ac:dyDescent="0.25">
      <c r="A169" s="43" t="s">
        <v>251</v>
      </c>
      <c r="B169" s="43" t="s">
        <v>1789</v>
      </c>
      <c r="C169" s="43" t="s">
        <v>1790</v>
      </c>
      <c r="D169" s="43" t="s">
        <v>617</v>
      </c>
      <c r="E169" s="43" t="s">
        <v>1658</v>
      </c>
      <c r="F169" s="43" t="s">
        <v>619</v>
      </c>
      <c r="G169" s="43" t="s">
        <v>1791</v>
      </c>
      <c r="H169" s="43" t="s">
        <v>735</v>
      </c>
      <c r="I169" s="43" t="s">
        <v>1792</v>
      </c>
      <c r="J169" s="43" t="s">
        <v>86</v>
      </c>
      <c r="K169" s="43" t="s">
        <v>623</v>
      </c>
      <c r="L169" s="43" t="s">
        <v>1793</v>
      </c>
      <c r="M169" s="43" t="s">
        <v>1794</v>
      </c>
      <c r="N169" s="43" t="s">
        <v>617</v>
      </c>
      <c r="O169" s="43" t="s">
        <v>626</v>
      </c>
      <c r="P169" s="43" t="s">
        <v>1795</v>
      </c>
      <c r="Q169" s="43" t="s">
        <v>1796</v>
      </c>
      <c r="R169" s="43" t="s">
        <v>1797</v>
      </c>
      <c r="S169" s="43" t="s">
        <v>730</v>
      </c>
      <c r="T169" s="43"/>
      <c r="U169" s="43"/>
      <c r="V169" s="43"/>
      <c r="W169" s="43"/>
      <c r="X169" s="43"/>
      <c r="Y169" s="43"/>
      <c r="Z169" s="43"/>
    </row>
    <row r="170" spans="1:26" ht="15.75" customHeight="1" x14ac:dyDescent="0.25">
      <c r="A170" s="43" t="s">
        <v>252</v>
      </c>
      <c r="B170" s="43" t="s">
        <v>1798</v>
      </c>
      <c r="C170" s="43" t="s">
        <v>1799</v>
      </c>
      <c r="D170" s="43" t="s">
        <v>617</v>
      </c>
      <c r="E170" s="43" t="s">
        <v>1800</v>
      </c>
      <c r="F170" s="43" t="s">
        <v>619</v>
      </c>
      <c r="G170" s="43" t="s">
        <v>1801</v>
      </c>
      <c r="H170" s="43" t="s">
        <v>653</v>
      </c>
      <c r="I170" s="43" t="s">
        <v>643</v>
      </c>
      <c r="J170" s="43" t="s">
        <v>87</v>
      </c>
      <c r="K170" s="43" t="s">
        <v>623</v>
      </c>
      <c r="L170" s="43" t="s">
        <v>644</v>
      </c>
      <c r="M170" s="43" t="s">
        <v>645</v>
      </c>
      <c r="N170" s="43" t="s">
        <v>617</v>
      </c>
      <c r="O170" s="43" t="s">
        <v>626</v>
      </c>
      <c r="P170" s="43" t="s">
        <v>1388</v>
      </c>
      <c r="Q170" s="43" t="s">
        <v>1802</v>
      </c>
      <c r="R170" s="43" t="s">
        <v>1803</v>
      </c>
      <c r="S170" s="43" t="s">
        <v>629</v>
      </c>
      <c r="T170" s="43"/>
      <c r="U170" s="43"/>
      <c r="V170" s="43"/>
      <c r="W170" s="43"/>
      <c r="X170" s="43"/>
      <c r="Y170" s="43"/>
      <c r="Z170" s="43"/>
    </row>
    <row r="171" spans="1:26" ht="15.75" customHeight="1" x14ac:dyDescent="0.25">
      <c r="A171" s="43" t="s">
        <v>253</v>
      </c>
      <c r="B171" s="43" t="s">
        <v>1804</v>
      </c>
      <c r="C171" s="43" t="s">
        <v>1805</v>
      </c>
      <c r="D171" s="43" t="s">
        <v>1806</v>
      </c>
      <c r="E171" s="43" t="s">
        <v>1807</v>
      </c>
      <c r="F171" s="43" t="s">
        <v>619</v>
      </c>
      <c r="G171" s="43" t="s">
        <v>1808</v>
      </c>
      <c r="H171" s="43" t="s">
        <v>634</v>
      </c>
      <c r="I171" s="43" t="s">
        <v>1333</v>
      </c>
      <c r="J171" s="43" t="s">
        <v>88</v>
      </c>
      <c r="K171" s="43" t="s">
        <v>84</v>
      </c>
      <c r="L171" s="43" t="s">
        <v>1334</v>
      </c>
      <c r="M171" s="43" t="s">
        <v>1335</v>
      </c>
      <c r="N171" s="43" t="s">
        <v>885</v>
      </c>
      <c r="O171" s="43" t="s">
        <v>626</v>
      </c>
      <c r="P171" s="43" t="s">
        <v>1740</v>
      </c>
      <c r="Q171" s="43" t="s">
        <v>1809</v>
      </c>
      <c r="R171" s="43" t="s">
        <v>1810</v>
      </c>
      <c r="S171" s="43" t="s">
        <v>648</v>
      </c>
      <c r="T171" s="43"/>
      <c r="U171" s="43"/>
      <c r="V171" s="43"/>
      <c r="W171" s="43"/>
      <c r="X171" s="43"/>
      <c r="Y171" s="43"/>
      <c r="Z171" s="43"/>
    </row>
    <row r="172" spans="1:26" ht="15.75" customHeight="1" x14ac:dyDescent="0.25">
      <c r="A172" s="43" t="s">
        <v>254</v>
      </c>
      <c r="B172" s="43" t="s">
        <v>1811</v>
      </c>
      <c r="C172" s="43" t="s">
        <v>1812</v>
      </c>
      <c r="D172" s="43" t="s">
        <v>1813</v>
      </c>
      <c r="E172" s="43" t="s">
        <v>1814</v>
      </c>
      <c r="F172" s="43" t="s">
        <v>619</v>
      </c>
      <c r="G172" s="43" t="s">
        <v>1815</v>
      </c>
      <c r="H172" s="43" t="s">
        <v>1816</v>
      </c>
      <c r="I172" s="43" t="s">
        <v>1817</v>
      </c>
      <c r="J172" s="43" t="s">
        <v>1304</v>
      </c>
      <c r="K172" s="43" t="s">
        <v>101</v>
      </c>
      <c r="L172" s="43" t="s">
        <v>1794</v>
      </c>
      <c r="M172" s="43" t="s">
        <v>1794</v>
      </c>
      <c r="N172" s="43" t="s">
        <v>617</v>
      </c>
      <c r="O172" s="43" t="s">
        <v>626</v>
      </c>
      <c r="P172" s="43" t="s">
        <v>1818</v>
      </c>
      <c r="Q172" s="43" t="s">
        <v>1819</v>
      </c>
      <c r="R172" s="43" t="s">
        <v>1820</v>
      </c>
      <c r="S172" s="43" t="s">
        <v>730</v>
      </c>
      <c r="T172" s="43"/>
      <c r="U172" s="43"/>
      <c r="V172" s="43"/>
      <c r="W172" s="43"/>
      <c r="X172" s="43"/>
      <c r="Y172" s="43"/>
      <c r="Z172" s="43"/>
    </row>
    <row r="173" spans="1:26" ht="15.75" customHeight="1" x14ac:dyDescent="0.25">
      <c r="A173" s="43" t="s">
        <v>255</v>
      </c>
      <c r="B173" s="43" t="s">
        <v>1821</v>
      </c>
      <c r="C173" s="43" t="s">
        <v>1822</v>
      </c>
      <c r="D173" s="43" t="s">
        <v>617</v>
      </c>
      <c r="E173" s="43" t="s">
        <v>1823</v>
      </c>
      <c r="F173" s="43" t="s">
        <v>619</v>
      </c>
      <c r="G173" s="43" t="s">
        <v>1824</v>
      </c>
      <c r="H173" s="43" t="s">
        <v>653</v>
      </c>
      <c r="I173" s="43" t="s">
        <v>1825</v>
      </c>
      <c r="J173" s="43" t="s">
        <v>1111</v>
      </c>
      <c r="K173" s="43"/>
      <c r="L173" s="43" t="s">
        <v>966</v>
      </c>
      <c r="M173" s="43" t="s">
        <v>645</v>
      </c>
      <c r="N173" s="43" t="s">
        <v>617</v>
      </c>
      <c r="O173" s="43" t="s">
        <v>626</v>
      </c>
      <c r="P173" s="43" t="s">
        <v>1826</v>
      </c>
      <c r="Q173" s="43" t="s">
        <v>1827</v>
      </c>
      <c r="R173" s="43" t="s">
        <v>1828</v>
      </c>
      <c r="S173" s="43" t="s">
        <v>730</v>
      </c>
      <c r="T173" s="43"/>
      <c r="U173" s="43"/>
      <c r="V173" s="43"/>
      <c r="W173" s="43"/>
      <c r="X173" s="43"/>
      <c r="Y173" s="43"/>
      <c r="Z173" s="43"/>
    </row>
    <row r="174" spans="1:26" ht="15.75" customHeight="1" x14ac:dyDescent="0.25">
      <c r="A174" s="43" t="s">
        <v>256</v>
      </c>
      <c r="B174" s="43" t="s">
        <v>1829</v>
      </c>
      <c r="C174" s="43" t="s">
        <v>1830</v>
      </c>
      <c r="D174" s="43" t="s">
        <v>617</v>
      </c>
      <c r="E174" s="43" t="s">
        <v>1005</v>
      </c>
      <c r="F174" s="43" t="s">
        <v>619</v>
      </c>
      <c r="G174" s="43" t="s">
        <v>1831</v>
      </c>
      <c r="H174" s="43" t="s">
        <v>653</v>
      </c>
      <c r="I174" s="43" t="s">
        <v>840</v>
      </c>
      <c r="J174" s="43" t="s">
        <v>87</v>
      </c>
      <c r="K174" s="43" t="s">
        <v>623</v>
      </c>
      <c r="L174" s="43" t="s">
        <v>1186</v>
      </c>
      <c r="M174" s="43" t="s">
        <v>818</v>
      </c>
      <c r="N174" s="43" t="s">
        <v>617</v>
      </c>
      <c r="O174" s="43" t="s">
        <v>626</v>
      </c>
      <c r="P174" s="43" t="s">
        <v>819</v>
      </c>
      <c r="Q174" s="43" t="s">
        <v>1832</v>
      </c>
      <c r="R174" s="43" t="s">
        <v>1833</v>
      </c>
      <c r="S174" s="43" t="s">
        <v>629</v>
      </c>
      <c r="T174" s="43"/>
      <c r="U174" s="43"/>
      <c r="V174" s="43"/>
      <c r="W174" s="43"/>
      <c r="X174" s="43"/>
      <c r="Y174" s="43"/>
      <c r="Z174" s="43"/>
    </row>
    <row r="175" spans="1:26" ht="15.75" customHeight="1" x14ac:dyDescent="0.25">
      <c r="A175" s="43" t="s">
        <v>257</v>
      </c>
      <c r="B175" s="43" t="s">
        <v>1834</v>
      </c>
      <c r="C175" s="43" t="s">
        <v>1835</v>
      </c>
      <c r="D175" s="43" t="s">
        <v>617</v>
      </c>
      <c r="E175" s="43" t="s">
        <v>1836</v>
      </c>
      <c r="F175" s="43" t="s">
        <v>740</v>
      </c>
      <c r="G175" s="43" t="s">
        <v>1837</v>
      </c>
      <c r="H175" s="43" t="s">
        <v>735</v>
      </c>
      <c r="I175" s="43" t="s">
        <v>1838</v>
      </c>
      <c r="J175" s="43" t="s">
        <v>122</v>
      </c>
      <c r="K175" s="43" t="s">
        <v>623</v>
      </c>
      <c r="L175" s="43" t="s">
        <v>1320</v>
      </c>
      <c r="M175" s="43" t="s">
        <v>818</v>
      </c>
      <c r="N175" s="43" t="s">
        <v>617</v>
      </c>
      <c r="O175" s="43" t="s">
        <v>626</v>
      </c>
      <c r="P175" s="43" t="s">
        <v>1187</v>
      </c>
      <c r="Q175" s="43" t="s">
        <v>1839</v>
      </c>
      <c r="R175" s="43" t="s">
        <v>1840</v>
      </c>
      <c r="S175" s="43" t="s">
        <v>893</v>
      </c>
      <c r="T175" s="43"/>
      <c r="U175" s="43"/>
      <c r="V175" s="43"/>
      <c r="W175" s="43"/>
      <c r="X175" s="43"/>
      <c r="Y175" s="43"/>
      <c r="Z175" s="43"/>
    </row>
    <row r="176" spans="1:26" ht="15.75" customHeight="1" x14ac:dyDescent="0.25">
      <c r="A176" s="43" t="s">
        <v>258</v>
      </c>
      <c r="B176" s="43" t="s">
        <v>1841</v>
      </c>
      <c r="C176" s="43" t="s">
        <v>1842</v>
      </c>
      <c r="D176" s="43" t="s">
        <v>1843</v>
      </c>
      <c r="E176" s="43" t="s">
        <v>1163</v>
      </c>
      <c r="F176" s="43" t="s">
        <v>619</v>
      </c>
      <c r="G176" s="43" t="s">
        <v>1844</v>
      </c>
      <c r="H176" s="43" t="s">
        <v>1292</v>
      </c>
      <c r="I176" s="43" t="s">
        <v>1845</v>
      </c>
      <c r="J176" s="43" t="s">
        <v>89</v>
      </c>
      <c r="K176" s="43" t="s">
        <v>623</v>
      </c>
      <c r="L176" s="43" t="s">
        <v>1380</v>
      </c>
      <c r="M176" s="43" t="s">
        <v>645</v>
      </c>
      <c r="N176" s="43" t="s">
        <v>617</v>
      </c>
      <c r="O176" s="43" t="s">
        <v>626</v>
      </c>
      <c r="P176" s="43" t="s">
        <v>688</v>
      </c>
      <c r="Q176" s="43" t="s">
        <v>1846</v>
      </c>
      <c r="R176" s="43" t="s">
        <v>1847</v>
      </c>
      <c r="S176" s="43" t="s">
        <v>629</v>
      </c>
      <c r="T176" s="43"/>
      <c r="U176" s="43"/>
      <c r="V176" s="43"/>
      <c r="W176" s="43"/>
      <c r="X176" s="43"/>
      <c r="Y176" s="43"/>
      <c r="Z176" s="43"/>
    </row>
    <row r="177" spans="1:26" ht="15.75" customHeight="1" x14ac:dyDescent="0.25">
      <c r="A177" s="43" t="s">
        <v>259</v>
      </c>
      <c r="B177" s="43" t="s">
        <v>1848</v>
      </c>
      <c r="C177" s="43" t="s">
        <v>1849</v>
      </c>
      <c r="D177" s="43" t="s">
        <v>617</v>
      </c>
      <c r="E177" s="43" t="s">
        <v>1850</v>
      </c>
      <c r="F177" s="43" t="s">
        <v>619</v>
      </c>
      <c r="G177" s="43" t="s">
        <v>1851</v>
      </c>
      <c r="H177" s="43" t="s">
        <v>653</v>
      </c>
      <c r="I177" s="43" t="s">
        <v>1852</v>
      </c>
      <c r="J177" s="43" t="s">
        <v>1625</v>
      </c>
      <c r="K177" s="43" t="s">
        <v>1123</v>
      </c>
      <c r="L177" s="43" t="s">
        <v>644</v>
      </c>
      <c r="M177" s="43" t="s">
        <v>645</v>
      </c>
      <c r="N177" s="43" t="s">
        <v>617</v>
      </c>
      <c r="O177" s="43" t="s">
        <v>626</v>
      </c>
      <c r="P177" s="43" t="s">
        <v>1647</v>
      </c>
      <c r="Q177" s="43" t="s">
        <v>1853</v>
      </c>
      <c r="R177" s="43" t="s">
        <v>1854</v>
      </c>
      <c r="S177" s="43" t="s">
        <v>648</v>
      </c>
      <c r="T177" s="43"/>
      <c r="U177" s="43"/>
      <c r="V177" s="43"/>
      <c r="W177" s="43"/>
      <c r="X177" s="43"/>
      <c r="Y177" s="43"/>
      <c r="Z177" s="43"/>
    </row>
    <row r="178" spans="1:26" ht="15.75" customHeight="1" x14ac:dyDescent="0.25">
      <c r="A178" s="43" t="s">
        <v>260</v>
      </c>
      <c r="B178" s="43" t="s">
        <v>1855</v>
      </c>
      <c r="C178" s="43" t="s">
        <v>1856</v>
      </c>
      <c r="D178" s="43" t="s">
        <v>617</v>
      </c>
      <c r="E178" s="43" t="s">
        <v>1857</v>
      </c>
      <c r="F178" s="43" t="s">
        <v>619</v>
      </c>
      <c r="G178" s="43" t="s">
        <v>1858</v>
      </c>
      <c r="H178" s="43" t="s">
        <v>735</v>
      </c>
      <c r="I178" s="43" t="s">
        <v>1859</v>
      </c>
      <c r="J178" s="43" t="s">
        <v>1111</v>
      </c>
      <c r="K178" s="43" t="s">
        <v>1123</v>
      </c>
      <c r="L178" s="43" t="s">
        <v>1305</v>
      </c>
      <c r="M178" s="43" t="s">
        <v>744</v>
      </c>
      <c r="N178" s="43" t="s">
        <v>617</v>
      </c>
      <c r="O178" s="43" t="s">
        <v>626</v>
      </c>
      <c r="P178" s="43" t="s">
        <v>745</v>
      </c>
      <c r="Q178" s="43" t="s">
        <v>1860</v>
      </c>
      <c r="R178" s="43" t="s">
        <v>1861</v>
      </c>
      <c r="S178" s="43" t="s">
        <v>648</v>
      </c>
      <c r="T178" s="43"/>
      <c r="U178" s="43"/>
      <c r="V178" s="43"/>
      <c r="W178" s="43"/>
      <c r="X178" s="43"/>
      <c r="Y178" s="43"/>
      <c r="Z178" s="43"/>
    </row>
    <row r="179" spans="1:26" ht="15.75" customHeight="1" x14ac:dyDescent="0.25">
      <c r="A179" s="43" t="s">
        <v>261</v>
      </c>
      <c r="B179" s="43" t="s">
        <v>1862</v>
      </c>
      <c r="C179" s="43" t="s">
        <v>1863</v>
      </c>
      <c r="D179" s="43" t="s">
        <v>617</v>
      </c>
      <c r="E179" s="43" t="s">
        <v>1864</v>
      </c>
      <c r="F179" s="43" t="s">
        <v>619</v>
      </c>
      <c r="G179" s="43" t="s">
        <v>1865</v>
      </c>
      <c r="H179" s="43" t="s">
        <v>653</v>
      </c>
      <c r="I179" s="43" t="s">
        <v>840</v>
      </c>
      <c r="J179" s="43" t="s">
        <v>86</v>
      </c>
      <c r="K179" s="43" t="s">
        <v>623</v>
      </c>
      <c r="L179" s="43" t="s">
        <v>743</v>
      </c>
      <c r="M179" s="43" t="s">
        <v>744</v>
      </c>
      <c r="N179" s="43" t="s">
        <v>617</v>
      </c>
      <c r="O179" s="43" t="s">
        <v>626</v>
      </c>
      <c r="P179" s="43" t="s">
        <v>810</v>
      </c>
      <c r="Q179" s="43" t="s">
        <v>1866</v>
      </c>
      <c r="R179" s="43" t="s">
        <v>1866</v>
      </c>
      <c r="S179" s="43" t="s">
        <v>629</v>
      </c>
      <c r="T179" s="43"/>
      <c r="U179" s="43"/>
      <c r="V179" s="43"/>
      <c r="W179" s="43"/>
      <c r="X179" s="43"/>
      <c r="Y179" s="43"/>
      <c r="Z179" s="43"/>
    </row>
    <row r="180" spans="1:26" ht="15.75" customHeight="1" x14ac:dyDescent="0.25">
      <c r="A180" s="43" t="s">
        <v>262</v>
      </c>
      <c r="B180" s="43" t="s">
        <v>1867</v>
      </c>
      <c r="C180" s="43" t="s">
        <v>4517</v>
      </c>
      <c r="D180" s="43" t="s">
        <v>617</v>
      </c>
      <c r="E180" s="43" t="s">
        <v>1868</v>
      </c>
      <c r="F180" s="43" t="s">
        <v>619</v>
      </c>
      <c r="G180" s="43" t="s">
        <v>1869</v>
      </c>
      <c r="H180" s="43" t="s">
        <v>621</v>
      </c>
      <c r="I180" s="43" t="s">
        <v>1692</v>
      </c>
      <c r="J180" s="43" t="s">
        <v>88</v>
      </c>
      <c r="K180" s="43" t="s">
        <v>1123</v>
      </c>
      <c r="L180" s="43" t="s">
        <v>1412</v>
      </c>
      <c r="M180" s="43" t="s">
        <v>645</v>
      </c>
      <c r="N180" s="43" t="s">
        <v>617</v>
      </c>
      <c r="O180" s="43" t="s">
        <v>626</v>
      </c>
      <c r="P180" s="43" t="s">
        <v>1870</v>
      </c>
      <c r="Q180" s="43" t="s">
        <v>1871</v>
      </c>
      <c r="R180" s="43" t="s">
        <v>1872</v>
      </c>
      <c r="S180" s="43" t="s">
        <v>648</v>
      </c>
      <c r="T180" s="43"/>
      <c r="U180" s="43"/>
      <c r="V180" s="43"/>
      <c r="W180" s="43"/>
      <c r="X180" s="43"/>
      <c r="Y180" s="43"/>
      <c r="Z180" s="43"/>
    </row>
    <row r="181" spans="1:26" ht="15.75" customHeight="1" x14ac:dyDescent="0.25">
      <c r="A181" s="43" t="s">
        <v>263</v>
      </c>
      <c r="B181" s="43" t="s">
        <v>1873</v>
      </c>
      <c r="C181" s="43" t="s">
        <v>1874</v>
      </c>
      <c r="D181" s="43" t="s">
        <v>617</v>
      </c>
      <c r="E181" s="43" t="s">
        <v>1875</v>
      </c>
      <c r="F181" s="43" t="s">
        <v>619</v>
      </c>
      <c r="G181" s="43" t="s">
        <v>1876</v>
      </c>
      <c r="H181" s="43" t="s">
        <v>1877</v>
      </c>
      <c r="I181" s="43" t="s">
        <v>713</v>
      </c>
      <c r="J181" s="43" t="s">
        <v>86</v>
      </c>
      <c r="K181" s="43" t="s">
        <v>623</v>
      </c>
      <c r="L181" s="43" t="s">
        <v>680</v>
      </c>
      <c r="M181" s="43" t="s">
        <v>617</v>
      </c>
      <c r="N181" s="43" t="s">
        <v>617</v>
      </c>
      <c r="O181" s="43" t="s">
        <v>626</v>
      </c>
      <c r="P181" s="43" t="s">
        <v>1878</v>
      </c>
      <c r="Q181" s="43" t="s">
        <v>1879</v>
      </c>
      <c r="R181" s="43" t="s">
        <v>1880</v>
      </c>
      <c r="S181" s="43" t="s">
        <v>629</v>
      </c>
      <c r="T181" s="43"/>
      <c r="U181" s="43"/>
      <c r="V181" s="43"/>
      <c r="W181" s="43"/>
      <c r="X181" s="43"/>
      <c r="Y181" s="43"/>
      <c r="Z181" s="43"/>
    </row>
    <row r="182" spans="1:26" ht="15.75" customHeight="1" x14ac:dyDescent="0.25">
      <c r="A182" s="43" t="s">
        <v>264</v>
      </c>
      <c r="B182" s="43" t="s">
        <v>1881</v>
      </c>
      <c r="C182" s="43" t="s">
        <v>1882</v>
      </c>
      <c r="D182" s="43" t="s">
        <v>617</v>
      </c>
      <c r="E182" s="43" t="s">
        <v>1883</v>
      </c>
      <c r="F182" s="43" t="s">
        <v>619</v>
      </c>
      <c r="G182" s="43" t="s">
        <v>1884</v>
      </c>
      <c r="H182" s="43" t="s">
        <v>653</v>
      </c>
      <c r="I182" s="43" t="s">
        <v>1885</v>
      </c>
      <c r="J182" s="43" t="s">
        <v>85</v>
      </c>
      <c r="K182" s="43" t="s">
        <v>623</v>
      </c>
      <c r="L182" s="43" t="s">
        <v>672</v>
      </c>
      <c r="M182" s="43" t="s">
        <v>617</v>
      </c>
      <c r="N182" s="43" t="s">
        <v>617</v>
      </c>
      <c r="O182" s="43" t="s">
        <v>626</v>
      </c>
      <c r="P182" s="43" t="s">
        <v>656</v>
      </c>
      <c r="Q182" s="43" t="s">
        <v>1123</v>
      </c>
      <c r="R182" s="43" t="s">
        <v>1886</v>
      </c>
      <c r="S182" s="43" t="s">
        <v>1271</v>
      </c>
      <c r="T182" s="43"/>
      <c r="U182" s="43"/>
      <c r="V182" s="43"/>
      <c r="W182" s="43"/>
      <c r="X182" s="43"/>
      <c r="Y182" s="43"/>
      <c r="Z182" s="43"/>
    </row>
    <row r="183" spans="1:26" ht="15.75" customHeight="1" x14ac:dyDescent="0.25">
      <c r="A183" s="43" t="s">
        <v>265</v>
      </c>
      <c r="B183" s="43" t="s">
        <v>1887</v>
      </c>
      <c r="C183" s="43" t="s">
        <v>1888</v>
      </c>
      <c r="D183" s="43" t="s">
        <v>617</v>
      </c>
      <c r="E183" s="43" t="s">
        <v>1074</v>
      </c>
      <c r="F183" s="43" t="s">
        <v>619</v>
      </c>
      <c r="G183" s="43" t="s">
        <v>1889</v>
      </c>
      <c r="H183" s="43" t="s">
        <v>653</v>
      </c>
      <c r="I183" s="43" t="s">
        <v>1890</v>
      </c>
      <c r="J183" s="43" t="s">
        <v>88</v>
      </c>
      <c r="K183" s="43" t="s">
        <v>623</v>
      </c>
      <c r="L183" s="43" t="s">
        <v>809</v>
      </c>
      <c r="M183" s="43" t="s">
        <v>744</v>
      </c>
      <c r="N183" s="43" t="s">
        <v>617</v>
      </c>
      <c r="O183" s="43" t="s">
        <v>626</v>
      </c>
      <c r="P183" s="43" t="s">
        <v>906</v>
      </c>
      <c r="Q183" s="43" t="s">
        <v>1891</v>
      </c>
      <c r="R183" s="43" t="s">
        <v>1892</v>
      </c>
      <c r="S183" s="43" t="s">
        <v>648</v>
      </c>
      <c r="T183" s="43"/>
      <c r="U183" s="43"/>
      <c r="V183" s="43"/>
      <c r="W183" s="43"/>
      <c r="X183" s="43"/>
      <c r="Y183" s="43"/>
      <c r="Z183" s="43"/>
    </row>
    <row r="184" spans="1:26" ht="15.75" customHeight="1" x14ac:dyDescent="0.25">
      <c r="A184" s="43" t="s">
        <v>266</v>
      </c>
      <c r="B184" s="43" t="s">
        <v>1893</v>
      </c>
      <c r="C184" s="43" t="s">
        <v>1894</v>
      </c>
      <c r="D184" s="43" t="s">
        <v>617</v>
      </c>
      <c r="E184" s="43" t="s">
        <v>1060</v>
      </c>
      <c r="F184" s="43" t="s">
        <v>619</v>
      </c>
      <c r="G184" s="43" t="s">
        <v>1895</v>
      </c>
      <c r="H184" s="43" t="s">
        <v>735</v>
      </c>
      <c r="I184" s="43" t="s">
        <v>1896</v>
      </c>
      <c r="J184" s="43" t="s">
        <v>84</v>
      </c>
      <c r="K184" s="43" t="s">
        <v>623</v>
      </c>
      <c r="L184" s="43" t="s">
        <v>898</v>
      </c>
      <c r="M184" s="43" t="s">
        <v>794</v>
      </c>
      <c r="N184" s="43" t="s">
        <v>617</v>
      </c>
      <c r="O184" s="43" t="s">
        <v>626</v>
      </c>
      <c r="P184" s="43" t="s">
        <v>899</v>
      </c>
      <c r="Q184" s="43" t="s">
        <v>1897</v>
      </c>
      <c r="R184" s="43" t="s">
        <v>1898</v>
      </c>
      <c r="S184" s="43" t="s">
        <v>648</v>
      </c>
      <c r="T184" s="43"/>
      <c r="U184" s="43"/>
      <c r="V184" s="43"/>
      <c r="W184" s="43"/>
      <c r="X184" s="43"/>
      <c r="Y184" s="43"/>
      <c r="Z184" s="43"/>
    </row>
    <row r="185" spans="1:26" ht="15.75" customHeight="1" x14ac:dyDescent="0.25">
      <c r="A185" s="43" t="s">
        <v>267</v>
      </c>
      <c r="B185" s="43" t="s">
        <v>1899</v>
      </c>
      <c r="C185" s="43" t="s">
        <v>1900</v>
      </c>
      <c r="D185" s="43" t="s">
        <v>617</v>
      </c>
      <c r="E185" s="43" t="s">
        <v>1901</v>
      </c>
      <c r="F185" s="43" t="s">
        <v>619</v>
      </c>
      <c r="G185" s="43" t="s">
        <v>1902</v>
      </c>
      <c r="H185" s="43" t="s">
        <v>735</v>
      </c>
      <c r="I185" s="43" t="s">
        <v>816</v>
      </c>
      <c r="J185" s="43" t="s">
        <v>85</v>
      </c>
      <c r="K185" s="43" t="s">
        <v>623</v>
      </c>
      <c r="L185" s="43" t="s">
        <v>817</v>
      </c>
      <c r="M185" s="43" t="s">
        <v>818</v>
      </c>
      <c r="N185" s="43" t="s">
        <v>617</v>
      </c>
      <c r="O185" s="43" t="s">
        <v>626</v>
      </c>
      <c r="P185" s="43" t="s">
        <v>1187</v>
      </c>
      <c r="Q185" s="43" t="s">
        <v>1903</v>
      </c>
      <c r="R185" s="43" t="s">
        <v>1904</v>
      </c>
      <c r="S185" s="43" t="s">
        <v>629</v>
      </c>
      <c r="T185" s="43"/>
      <c r="U185" s="43"/>
      <c r="V185" s="43"/>
      <c r="W185" s="43"/>
      <c r="X185" s="43"/>
      <c r="Y185" s="43"/>
      <c r="Z185" s="43"/>
    </row>
    <row r="186" spans="1:26" ht="15.75" customHeight="1" x14ac:dyDescent="0.25">
      <c r="A186" s="43" t="s">
        <v>268</v>
      </c>
      <c r="B186" s="43" t="s">
        <v>1905</v>
      </c>
      <c r="C186" s="43" t="s">
        <v>1906</v>
      </c>
      <c r="D186" s="43" t="s">
        <v>617</v>
      </c>
      <c r="E186" s="43" t="s">
        <v>1907</v>
      </c>
      <c r="F186" s="43" t="s">
        <v>619</v>
      </c>
      <c r="G186" s="43" t="s">
        <v>1473</v>
      </c>
      <c r="H186" s="43" t="s">
        <v>621</v>
      </c>
      <c r="I186" s="43" t="s">
        <v>1908</v>
      </c>
      <c r="J186" s="43" t="s">
        <v>87</v>
      </c>
      <c r="K186" s="43" t="s">
        <v>623</v>
      </c>
      <c r="L186" s="43" t="s">
        <v>624</v>
      </c>
      <c r="M186" s="43" t="s">
        <v>625</v>
      </c>
      <c r="N186" s="43" t="s">
        <v>617</v>
      </c>
      <c r="O186" s="43" t="s">
        <v>626</v>
      </c>
      <c r="P186" s="43" t="s">
        <v>637</v>
      </c>
      <c r="Q186" s="43" t="s">
        <v>1909</v>
      </c>
      <c r="R186" s="43" t="s">
        <v>1909</v>
      </c>
      <c r="S186" s="43" t="s">
        <v>648</v>
      </c>
      <c r="T186" s="43"/>
      <c r="U186" s="43"/>
      <c r="V186" s="43"/>
      <c r="W186" s="43"/>
      <c r="X186" s="43"/>
      <c r="Y186" s="43"/>
      <c r="Z186" s="43"/>
    </row>
    <row r="187" spans="1:26" ht="15.75" customHeight="1" x14ac:dyDescent="0.25">
      <c r="A187" s="43" t="s">
        <v>269</v>
      </c>
      <c r="B187" s="43" t="s">
        <v>1910</v>
      </c>
      <c r="C187" s="43" t="s">
        <v>1911</v>
      </c>
      <c r="D187" s="43" t="s">
        <v>617</v>
      </c>
      <c r="E187" s="43" t="s">
        <v>1573</v>
      </c>
      <c r="F187" s="43" t="s">
        <v>619</v>
      </c>
      <c r="G187" s="43" t="s">
        <v>1912</v>
      </c>
      <c r="H187" s="43" t="s">
        <v>735</v>
      </c>
      <c r="I187" s="43" t="s">
        <v>766</v>
      </c>
      <c r="J187" s="43" t="s">
        <v>87</v>
      </c>
      <c r="K187" s="43" t="s">
        <v>623</v>
      </c>
      <c r="L187" s="43" t="s">
        <v>680</v>
      </c>
      <c r="M187" s="43" t="s">
        <v>617</v>
      </c>
      <c r="N187" s="43" t="s">
        <v>617</v>
      </c>
      <c r="O187" s="43" t="s">
        <v>626</v>
      </c>
      <c r="P187" s="43" t="s">
        <v>1913</v>
      </c>
      <c r="Q187" s="43" t="s">
        <v>1914</v>
      </c>
      <c r="R187" s="43" t="s">
        <v>1915</v>
      </c>
      <c r="S187" s="43" t="s">
        <v>893</v>
      </c>
      <c r="T187" s="43"/>
      <c r="U187" s="43"/>
      <c r="V187" s="43"/>
      <c r="W187" s="43"/>
      <c r="X187" s="43"/>
      <c r="Y187" s="43"/>
      <c r="Z187" s="43"/>
    </row>
    <row r="188" spans="1:26" ht="15.75" customHeight="1" x14ac:dyDescent="0.25">
      <c r="A188" s="43" t="s">
        <v>270</v>
      </c>
      <c r="B188" s="43" t="s">
        <v>1916</v>
      </c>
      <c r="C188" s="43" t="s">
        <v>1917</v>
      </c>
      <c r="D188" s="43" t="s">
        <v>617</v>
      </c>
      <c r="E188" s="43" t="s">
        <v>1918</v>
      </c>
      <c r="F188" s="43" t="s">
        <v>619</v>
      </c>
      <c r="G188" s="43" t="s">
        <v>1919</v>
      </c>
      <c r="H188" s="43" t="s">
        <v>653</v>
      </c>
      <c r="I188" s="43" t="s">
        <v>1459</v>
      </c>
      <c r="J188" s="43" t="s">
        <v>84</v>
      </c>
      <c r="K188" s="43" t="s">
        <v>623</v>
      </c>
      <c r="L188" s="43" t="s">
        <v>913</v>
      </c>
      <c r="M188" s="43" t="s">
        <v>914</v>
      </c>
      <c r="N188" s="43" t="s">
        <v>617</v>
      </c>
      <c r="O188" s="43" t="s">
        <v>626</v>
      </c>
      <c r="P188" s="43" t="s">
        <v>1626</v>
      </c>
      <c r="Q188" s="43" t="s">
        <v>1920</v>
      </c>
      <c r="R188" s="43" t="s">
        <v>1921</v>
      </c>
      <c r="S188" s="43" t="s">
        <v>648</v>
      </c>
      <c r="T188" s="43"/>
      <c r="U188" s="43"/>
      <c r="V188" s="43"/>
      <c r="W188" s="43"/>
      <c r="X188" s="43"/>
      <c r="Y188" s="43"/>
      <c r="Z188" s="43"/>
    </row>
    <row r="189" spans="1:26" ht="15.75" customHeight="1" x14ac:dyDescent="0.25">
      <c r="A189" s="43" t="s">
        <v>271</v>
      </c>
      <c r="B189" s="43" t="s">
        <v>1922</v>
      </c>
      <c r="C189" s="43" t="s">
        <v>1923</v>
      </c>
      <c r="D189" s="43" t="s">
        <v>1924</v>
      </c>
      <c r="E189" s="43" t="s">
        <v>1925</v>
      </c>
      <c r="F189" s="43" t="s">
        <v>619</v>
      </c>
      <c r="G189" s="43" t="s">
        <v>1926</v>
      </c>
      <c r="H189" s="43" t="s">
        <v>735</v>
      </c>
      <c r="I189" s="43" t="s">
        <v>1303</v>
      </c>
      <c r="J189" s="43" t="s">
        <v>85</v>
      </c>
      <c r="K189" s="43" t="s">
        <v>623</v>
      </c>
      <c r="L189" s="43" t="s">
        <v>1305</v>
      </c>
      <c r="M189" s="43" t="s">
        <v>744</v>
      </c>
      <c r="N189" s="43" t="s">
        <v>617</v>
      </c>
      <c r="O189" s="43" t="s">
        <v>626</v>
      </c>
      <c r="P189" s="43" t="s">
        <v>745</v>
      </c>
      <c r="Q189" s="43" t="s">
        <v>1927</v>
      </c>
      <c r="R189" s="43" t="s">
        <v>1123</v>
      </c>
      <c r="S189" s="43" t="s">
        <v>629</v>
      </c>
      <c r="T189" s="43"/>
      <c r="U189" s="43"/>
      <c r="V189" s="43"/>
      <c r="W189" s="43"/>
      <c r="X189" s="43"/>
      <c r="Y189" s="43"/>
      <c r="Z189" s="43"/>
    </row>
    <row r="190" spans="1:26" ht="15.75" customHeight="1" x14ac:dyDescent="0.25">
      <c r="A190" s="43" t="s">
        <v>272</v>
      </c>
      <c r="B190" s="43" t="s">
        <v>1928</v>
      </c>
      <c r="C190" s="43" t="s">
        <v>1929</v>
      </c>
      <c r="D190" s="43" t="s">
        <v>617</v>
      </c>
      <c r="E190" s="43" t="s">
        <v>1930</v>
      </c>
      <c r="F190" s="43" t="s">
        <v>619</v>
      </c>
      <c r="G190" s="43" t="s">
        <v>1931</v>
      </c>
      <c r="H190" s="43" t="s">
        <v>621</v>
      </c>
      <c r="I190" s="43" t="s">
        <v>1932</v>
      </c>
      <c r="J190" s="43" t="s">
        <v>129</v>
      </c>
      <c r="K190" s="43" t="s">
        <v>623</v>
      </c>
      <c r="L190" s="43" t="s">
        <v>1412</v>
      </c>
      <c r="M190" s="43" t="s">
        <v>645</v>
      </c>
      <c r="N190" s="43" t="s">
        <v>617</v>
      </c>
      <c r="O190" s="43" t="s">
        <v>626</v>
      </c>
      <c r="P190" s="43" t="s">
        <v>1647</v>
      </c>
      <c r="Q190" s="43" t="s">
        <v>1933</v>
      </c>
      <c r="R190" s="43" t="s">
        <v>4525</v>
      </c>
      <c r="S190" s="43" t="s">
        <v>648</v>
      </c>
      <c r="T190" s="43"/>
      <c r="U190" s="43"/>
      <c r="V190" s="43"/>
      <c r="W190" s="43"/>
      <c r="X190" s="43"/>
      <c r="Y190" s="43"/>
      <c r="Z190" s="43"/>
    </row>
    <row r="191" spans="1:26" ht="15.75" customHeight="1" x14ac:dyDescent="0.25">
      <c r="A191" s="43" t="s">
        <v>273</v>
      </c>
      <c r="B191" s="43" t="s">
        <v>1934</v>
      </c>
      <c r="C191" s="43" t="s">
        <v>1935</v>
      </c>
      <c r="D191" s="43" t="s">
        <v>617</v>
      </c>
      <c r="E191" s="43" t="s">
        <v>1936</v>
      </c>
      <c r="F191" s="43" t="s">
        <v>619</v>
      </c>
      <c r="G191" s="43" t="s">
        <v>1937</v>
      </c>
      <c r="H191" s="43" t="s">
        <v>653</v>
      </c>
      <c r="I191" s="43" t="s">
        <v>1845</v>
      </c>
      <c r="J191" s="43" t="s">
        <v>89</v>
      </c>
      <c r="K191" s="43" t="s">
        <v>623</v>
      </c>
      <c r="L191" s="43" t="s">
        <v>1380</v>
      </c>
      <c r="M191" s="43" t="s">
        <v>645</v>
      </c>
      <c r="N191" s="43" t="s">
        <v>617</v>
      </c>
      <c r="O191" s="43" t="s">
        <v>626</v>
      </c>
      <c r="P191" s="43" t="s">
        <v>1938</v>
      </c>
      <c r="Q191" s="43" t="s">
        <v>1939</v>
      </c>
      <c r="R191" s="43" t="s">
        <v>1123</v>
      </c>
      <c r="S191" s="43" t="s">
        <v>648</v>
      </c>
      <c r="T191" s="43"/>
      <c r="U191" s="43"/>
      <c r="V191" s="43"/>
      <c r="W191" s="43"/>
      <c r="X191" s="43"/>
      <c r="Y191" s="43"/>
      <c r="Z191" s="43"/>
    </row>
    <row r="192" spans="1:26" ht="15.75" customHeight="1" x14ac:dyDescent="0.25">
      <c r="A192" s="43" t="s">
        <v>274</v>
      </c>
      <c r="B192" s="43" t="s">
        <v>1940</v>
      </c>
      <c r="C192" s="43" t="s">
        <v>1941</v>
      </c>
      <c r="D192" s="43" t="s">
        <v>617</v>
      </c>
      <c r="E192" s="43" t="s">
        <v>971</v>
      </c>
      <c r="F192" s="43" t="s">
        <v>619</v>
      </c>
      <c r="G192" s="43" t="s">
        <v>1942</v>
      </c>
      <c r="H192" s="43" t="s">
        <v>653</v>
      </c>
      <c r="I192" s="43" t="s">
        <v>1943</v>
      </c>
      <c r="J192" s="43" t="s">
        <v>86</v>
      </c>
      <c r="K192" s="43" t="s">
        <v>623</v>
      </c>
      <c r="L192" s="43" t="s">
        <v>958</v>
      </c>
      <c r="M192" s="43" t="s">
        <v>855</v>
      </c>
      <c r="N192" s="43" t="s">
        <v>617</v>
      </c>
      <c r="O192" s="43" t="s">
        <v>626</v>
      </c>
      <c r="P192" s="43" t="s">
        <v>1711</v>
      </c>
      <c r="Q192" s="43" t="s">
        <v>1944</v>
      </c>
      <c r="R192" s="43" t="s">
        <v>1945</v>
      </c>
      <c r="S192" s="43" t="s">
        <v>730</v>
      </c>
      <c r="T192" s="43"/>
      <c r="U192" s="43"/>
      <c r="V192" s="43"/>
      <c r="W192" s="43"/>
      <c r="X192" s="43"/>
      <c r="Y192" s="43"/>
      <c r="Z192" s="43"/>
    </row>
    <row r="193" spans="1:26" ht="15.75" customHeight="1" x14ac:dyDescent="0.25">
      <c r="A193" s="43" t="s">
        <v>275</v>
      </c>
      <c r="B193" s="43" t="s">
        <v>1946</v>
      </c>
      <c r="C193" s="43" t="s">
        <v>1947</v>
      </c>
      <c r="D193" s="43" t="s">
        <v>617</v>
      </c>
      <c r="E193" s="43" t="s">
        <v>1948</v>
      </c>
      <c r="F193" s="43" t="s">
        <v>619</v>
      </c>
      <c r="G193" s="43" t="s">
        <v>1949</v>
      </c>
      <c r="H193" s="43" t="s">
        <v>888</v>
      </c>
      <c r="I193" s="43" t="s">
        <v>1950</v>
      </c>
      <c r="J193" s="43" t="s">
        <v>84</v>
      </c>
      <c r="K193" s="43" t="s">
        <v>623</v>
      </c>
      <c r="L193" s="43" t="s">
        <v>1794</v>
      </c>
      <c r="M193" s="43" t="s">
        <v>1794</v>
      </c>
      <c r="N193" s="43" t="s">
        <v>617</v>
      </c>
      <c r="O193" s="43" t="s">
        <v>626</v>
      </c>
      <c r="P193" s="43" t="s">
        <v>1818</v>
      </c>
      <c r="Q193" s="43" t="s">
        <v>1951</v>
      </c>
      <c r="R193" s="43" t="s">
        <v>1952</v>
      </c>
      <c r="S193" s="43" t="s">
        <v>629</v>
      </c>
      <c r="T193" s="43"/>
      <c r="U193" s="43"/>
      <c r="V193" s="43"/>
      <c r="W193" s="43"/>
      <c r="X193" s="43"/>
      <c r="Y193" s="43"/>
      <c r="Z193" s="43"/>
    </row>
    <row r="194" spans="1:26" ht="15.75" customHeight="1" x14ac:dyDescent="0.25">
      <c r="A194" s="43" t="s">
        <v>276</v>
      </c>
      <c r="B194" s="43" t="s">
        <v>1953</v>
      </c>
      <c r="C194" s="43" t="s">
        <v>4519</v>
      </c>
      <c r="D194" s="43" t="s">
        <v>617</v>
      </c>
      <c r="E194" s="43" t="s">
        <v>1954</v>
      </c>
      <c r="F194" s="43" t="s">
        <v>619</v>
      </c>
      <c r="G194" s="43" t="s">
        <v>1955</v>
      </c>
      <c r="H194" s="43" t="s">
        <v>1956</v>
      </c>
      <c r="I194" s="43" t="s">
        <v>1957</v>
      </c>
      <c r="J194" s="43" t="s">
        <v>1111</v>
      </c>
      <c r="K194" s="43"/>
      <c r="L194" s="43" t="s">
        <v>1958</v>
      </c>
      <c r="M194" s="43" t="s">
        <v>794</v>
      </c>
      <c r="N194" s="43" t="s">
        <v>617</v>
      </c>
      <c r="O194" s="43" t="s">
        <v>626</v>
      </c>
      <c r="P194" s="43" t="s">
        <v>1959</v>
      </c>
      <c r="Q194" s="43" t="s">
        <v>1960</v>
      </c>
      <c r="R194" s="43" t="s">
        <v>1960</v>
      </c>
      <c r="S194" s="43" t="s">
        <v>893</v>
      </c>
      <c r="T194" s="43"/>
      <c r="U194" s="43"/>
      <c r="V194" s="43"/>
      <c r="W194" s="43"/>
      <c r="X194" s="43"/>
      <c r="Y194" s="43"/>
      <c r="Z194" s="43"/>
    </row>
    <row r="195" spans="1:26" ht="15.75" customHeight="1" x14ac:dyDescent="0.25">
      <c r="A195" s="43" t="s">
        <v>277</v>
      </c>
      <c r="B195" s="43" t="s">
        <v>1961</v>
      </c>
      <c r="C195" s="43" t="s">
        <v>1962</v>
      </c>
      <c r="D195" s="43" t="s">
        <v>617</v>
      </c>
      <c r="E195" s="43" t="s">
        <v>1963</v>
      </c>
      <c r="F195" s="43" t="s">
        <v>619</v>
      </c>
      <c r="G195" s="43" t="s">
        <v>1964</v>
      </c>
      <c r="H195" s="43" t="s">
        <v>888</v>
      </c>
      <c r="I195" s="43" t="s">
        <v>1965</v>
      </c>
      <c r="J195" s="43" t="s">
        <v>89</v>
      </c>
      <c r="K195" s="43" t="s">
        <v>623</v>
      </c>
      <c r="L195" s="43" t="s">
        <v>663</v>
      </c>
      <c r="M195" s="43" t="s">
        <v>664</v>
      </c>
      <c r="N195" s="43" t="s">
        <v>617</v>
      </c>
      <c r="O195" s="43" t="s">
        <v>626</v>
      </c>
      <c r="P195" s="43" t="s">
        <v>819</v>
      </c>
      <c r="Q195" s="43" t="s">
        <v>1966</v>
      </c>
      <c r="R195" s="43" t="s">
        <v>1967</v>
      </c>
      <c r="S195" s="43" t="s">
        <v>629</v>
      </c>
      <c r="T195" s="43"/>
      <c r="U195" s="43"/>
      <c r="V195" s="43"/>
      <c r="W195" s="43"/>
      <c r="X195" s="43"/>
      <c r="Y195" s="43"/>
      <c r="Z195" s="43"/>
    </row>
    <row r="196" spans="1:26" ht="15.75" customHeight="1" x14ac:dyDescent="0.25">
      <c r="A196" s="43" t="s">
        <v>278</v>
      </c>
      <c r="B196" s="43" t="s">
        <v>1968</v>
      </c>
      <c r="C196" s="43" t="s">
        <v>1969</v>
      </c>
      <c r="D196" s="43" t="s">
        <v>617</v>
      </c>
      <c r="E196" s="43" t="s">
        <v>1970</v>
      </c>
      <c r="F196" s="43" t="s">
        <v>619</v>
      </c>
      <c r="G196" s="43" t="s">
        <v>1971</v>
      </c>
      <c r="H196" s="43" t="s">
        <v>653</v>
      </c>
      <c r="I196" s="43" t="s">
        <v>1972</v>
      </c>
      <c r="J196" s="43" t="s">
        <v>89</v>
      </c>
      <c r="K196" s="43" t="s">
        <v>623</v>
      </c>
      <c r="L196" s="43" t="s">
        <v>1794</v>
      </c>
      <c r="M196" s="43" t="s">
        <v>1794</v>
      </c>
      <c r="N196" s="43" t="s">
        <v>617</v>
      </c>
      <c r="O196" s="43" t="s">
        <v>626</v>
      </c>
      <c r="P196" s="43" t="s">
        <v>1818</v>
      </c>
      <c r="Q196" s="43" t="s">
        <v>1973</v>
      </c>
      <c r="R196" s="43" t="s">
        <v>1974</v>
      </c>
      <c r="S196" s="43" t="s">
        <v>648</v>
      </c>
      <c r="T196" s="43"/>
      <c r="U196" s="43"/>
      <c r="V196" s="43"/>
      <c r="W196" s="43"/>
      <c r="X196" s="43"/>
      <c r="Y196" s="43"/>
      <c r="Z196" s="43"/>
    </row>
    <row r="197" spans="1:26" ht="15.75" customHeight="1" x14ac:dyDescent="0.25">
      <c r="A197" s="43" t="s">
        <v>279</v>
      </c>
      <c r="B197" s="43" t="s">
        <v>1975</v>
      </c>
      <c r="C197" s="43" t="s">
        <v>1976</v>
      </c>
      <c r="D197" s="43" t="s">
        <v>617</v>
      </c>
      <c r="E197" s="43" t="s">
        <v>1977</v>
      </c>
      <c r="F197" s="43" t="s">
        <v>619</v>
      </c>
      <c r="G197" s="43" t="s">
        <v>1617</v>
      </c>
      <c r="H197" s="43" t="s">
        <v>735</v>
      </c>
      <c r="I197" s="43" t="s">
        <v>4527</v>
      </c>
      <c r="J197" s="43" t="s">
        <v>87</v>
      </c>
      <c r="K197" s="43" t="s">
        <v>623</v>
      </c>
      <c r="L197" s="43" t="s">
        <v>2254</v>
      </c>
      <c r="M197" s="43" t="s">
        <v>1113</v>
      </c>
      <c r="N197" s="43" t="s">
        <v>617</v>
      </c>
      <c r="O197" s="43" t="s">
        <v>626</v>
      </c>
      <c r="P197" s="43" t="s">
        <v>1978</v>
      </c>
      <c r="Q197" s="43" t="s">
        <v>1979</v>
      </c>
      <c r="R197" s="43" t="s">
        <v>1980</v>
      </c>
      <c r="S197" s="43" t="s">
        <v>629</v>
      </c>
      <c r="T197" s="43"/>
      <c r="U197" s="43"/>
      <c r="V197" s="43"/>
      <c r="W197" s="43"/>
      <c r="X197" s="43"/>
      <c r="Y197" s="43"/>
      <c r="Z197" s="43"/>
    </row>
    <row r="198" spans="1:26" ht="15.75" customHeight="1" x14ac:dyDescent="0.25">
      <c r="A198" s="43" t="s">
        <v>280</v>
      </c>
      <c r="B198" s="43" t="s">
        <v>1981</v>
      </c>
      <c r="C198" s="43" t="s">
        <v>1982</v>
      </c>
      <c r="D198" s="43" t="s">
        <v>617</v>
      </c>
      <c r="E198" s="43" t="s">
        <v>1983</v>
      </c>
      <c r="F198" s="43" t="s">
        <v>619</v>
      </c>
      <c r="G198" s="43" t="s">
        <v>1984</v>
      </c>
      <c r="H198" s="43" t="s">
        <v>653</v>
      </c>
      <c r="I198" s="43" t="s">
        <v>1943</v>
      </c>
      <c r="J198" s="43" t="s">
        <v>85</v>
      </c>
      <c r="K198" s="43" t="s">
        <v>623</v>
      </c>
      <c r="L198" s="43" t="s">
        <v>958</v>
      </c>
      <c r="M198" s="43" t="s">
        <v>855</v>
      </c>
      <c r="N198" s="43" t="s">
        <v>617</v>
      </c>
      <c r="O198" s="43" t="s">
        <v>626</v>
      </c>
      <c r="P198" s="43" t="s">
        <v>1711</v>
      </c>
      <c r="Q198" s="43" t="s">
        <v>1985</v>
      </c>
      <c r="R198" s="43" t="s">
        <v>1986</v>
      </c>
      <c r="S198" s="43" t="s">
        <v>648</v>
      </c>
      <c r="T198" s="43"/>
      <c r="U198" s="43"/>
      <c r="V198" s="43"/>
      <c r="W198" s="43"/>
      <c r="X198" s="43"/>
      <c r="Y198" s="43"/>
      <c r="Z198" s="43"/>
    </row>
    <row r="199" spans="1:26" ht="15.75" customHeight="1" x14ac:dyDescent="0.25">
      <c r="A199" s="43" t="s">
        <v>281</v>
      </c>
      <c r="B199" s="43" t="s">
        <v>1987</v>
      </c>
      <c r="C199" s="43" t="s">
        <v>1988</v>
      </c>
      <c r="D199" s="43" t="s">
        <v>617</v>
      </c>
      <c r="E199" s="43" t="s">
        <v>1989</v>
      </c>
      <c r="F199" s="43" t="s">
        <v>619</v>
      </c>
      <c r="G199" s="43" t="s">
        <v>1990</v>
      </c>
      <c r="H199" s="43" t="s">
        <v>653</v>
      </c>
      <c r="I199" s="43" t="s">
        <v>1972</v>
      </c>
      <c r="J199" s="43" t="s">
        <v>1111</v>
      </c>
      <c r="K199" s="43" t="s">
        <v>99</v>
      </c>
      <c r="L199" s="43" t="s">
        <v>1794</v>
      </c>
      <c r="M199" s="43" t="s">
        <v>1794</v>
      </c>
      <c r="N199" s="43" t="s">
        <v>617</v>
      </c>
      <c r="O199" s="43" t="s">
        <v>626</v>
      </c>
      <c r="P199" s="43" t="s">
        <v>1818</v>
      </c>
      <c r="Q199" s="43" t="s">
        <v>1991</v>
      </c>
      <c r="R199" s="43" t="s">
        <v>1992</v>
      </c>
      <c r="S199" s="43" t="s">
        <v>629</v>
      </c>
      <c r="T199" s="43"/>
      <c r="U199" s="43"/>
      <c r="V199" s="43"/>
      <c r="W199" s="43"/>
      <c r="X199" s="43"/>
      <c r="Y199" s="43"/>
      <c r="Z199" s="43"/>
    </row>
    <row r="200" spans="1:26" ht="15.75" customHeight="1" x14ac:dyDescent="0.25">
      <c r="A200" s="43" t="s">
        <v>282</v>
      </c>
      <c r="B200" s="43" t="s">
        <v>1993</v>
      </c>
      <c r="C200" s="43" t="s">
        <v>1994</v>
      </c>
      <c r="D200" s="43" t="s">
        <v>617</v>
      </c>
      <c r="E200" s="43" t="s">
        <v>1995</v>
      </c>
      <c r="F200" s="43" t="s">
        <v>619</v>
      </c>
      <c r="G200" s="43" t="s">
        <v>1996</v>
      </c>
      <c r="H200" s="43" t="s">
        <v>621</v>
      </c>
      <c r="I200" s="43" t="s">
        <v>1997</v>
      </c>
      <c r="J200" s="43" t="s">
        <v>89</v>
      </c>
      <c r="K200" s="43" t="s">
        <v>623</v>
      </c>
      <c r="L200" s="43" t="s">
        <v>695</v>
      </c>
      <c r="M200" s="43" t="s">
        <v>664</v>
      </c>
      <c r="N200" s="43" t="s">
        <v>617</v>
      </c>
      <c r="O200" s="43" t="s">
        <v>626</v>
      </c>
      <c r="P200" s="43" t="s">
        <v>665</v>
      </c>
      <c r="Q200" s="43" t="s">
        <v>1998</v>
      </c>
      <c r="R200" s="43" t="s">
        <v>1123</v>
      </c>
      <c r="S200" s="43" t="s">
        <v>893</v>
      </c>
      <c r="T200" s="43"/>
      <c r="U200" s="43"/>
      <c r="V200" s="43"/>
      <c r="W200" s="43"/>
      <c r="X200" s="43"/>
      <c r="Y200" s="43"/>
      <c r="Z200" s="43"/>
    </row>
    <row r="201" spans="1:26" ht="15.75" customHeight="1" x14ac:dyDescent="0.25">
      <c r="A201" s="43" t="s">
        <v>283</v>
      </c>
      <c r="B201" s="43" t="s">
        <v>1999</v>
      </c>
      <c r="C201" s="43" t="s">
        <v>2000</v>
      </c>
      <c r="D201" s="43" t="s">
        <v>2001</v>
      </c>
      <c r="E201" s="43" t="s">
        <v>2002</v>
      </c>
      <c r="F201" s="43" t="s">
        <v>619</v>
      </c>
      <c r="G201" s="43" t="s">
        <v>2003</v>
      </c>
      <c r="H201" s="43" t="s">
        <v>653</v>
      </c>
      <c r="I201" s="43" t="s">
        <v>1604</v>
      </c>
      <c r="J201" s="43" t="s">
        <v>84</v>
      </c>
      <c r="K201" s="43" t="s">
        <v>623</v>
      </c>
      <c r="L201" s="43" t="s">
        <v>636</v>
      </c>
      <c r="M201" s="43" t="s">
        <v>625</v>
      </c>
      <c r="N201" s="43" t="s">
        <v>617</v>
      </c>
      <c r="O201" s="43" t="s">
        <v>626</v>
      </c>
      <c r="P201" s="43" t="s">
        <v>637</v>
      </c>
      <c r="Q201" s="43" t="s">
        <v>2004</v>
      </c>
      <c r="R201" s="43" t="s">
        <v>2005</v>
      </c>
      <c r="S201" s="43" t="s">
        <v>893</v>
      </c>
      <c r="T201" s="43"/>
      <c r="U201" s="43"/>
      <c r="V201" s="43"/>
      <c r="W201" s="43"/>
      <c r="X201" s="43"/>
      <c r="Y201" s="43"/>
      <c r="Z201" s="43"/>
    </row>
    <row r="202" spans="1:26" ht="15.75" customHeight="1" x14ac:dyDescent="0.25">
      <c r="A202" s="43" t="s">
        <v>284</v>
      </c>
      <c r="B202" s="43" t="s">
        <v>2006</v>
      </c>
      <c r="C202" s="43" t="s">
        <v>2007</v>
      </c>
      <c r="D202" s="43" t="s">
        <v>617</v>
      </c>
      <c r="E202" s="43" t="s">
        <v>1519</v>
      </c>
      <c r="F202" s="43" t="s">
        <v>619</v>
      </c>
      <c r="G202" s="43" t="s">
        <v>2008</v>
      </c>
      <c r="H202" s="43" t="s">
        <v>653</v>
      </c>
      <c r="I202" s="43" t="s">
        <v>2009</v>
      </c>
      <c r="J202" s="43" t="s">
        <v>1304</v>
      </c>
      <c r="K202" s="43" t="s">
        <v>1123</v>
      </c>
      <c r="L202" s="43" t="s">
        <v>1794</v>
      </c>
      <c r="M202" s="43" t="s">
        <v>1794</v>
      </c>
      <c r="N202" s="43" t="s">
        <v>617</v>
      </c>
      <c r="O202" s="43" t="s">
        <v>626</v>
      </c>
      <c r="P202" s="43" t="s">
        <v>2010</v>
      </c>
      <c r="Q202" s="43" t="s">
        <v>2011</v>
      </c>
      <c r="R202" s="43" t="s">
        <v>2012</v>
      </c>
      <c r="S202" s="43" t="s">
        <v>648</v>
      </c>
      <c r="T202" s="43"/>
      <c r="U202" s="43"/>
      <c r="V202" s="43"/>
      <c r="W202" s="43"/>
      <c r="X202" s="43"/>
      <c r="Y202" s="43"/>
      <c r="Z202" s="43"/>
    </row>
    <row r="203" spans="1:26" ht="15.75" customHeight="1" x14ac:dyDescent="0.25">
      <c r="A203" s="43" t="s">
        <v>285</v>
      </c>
      <c r="B203" s="43" t="s">
        <v>2013</v>
      </c>
      <c r="C203" s="43" t="s">
        <v>2014</v>
      </c>
      <c r="D203" s="43" t="s">
        <v>617</v>
      </c>
      <c r="E203" s="43" t="s">
        <v>2015</v>
      </c>
      <c r="F203" s="43" t="s">
        <v>619</v>
      </c>
      <c r="G203" s="43" t="s">
        <v>2016</v>
      </c>
      <c r="H203" s="43" t="s">
        <v>653</v>
      </c>
      <c r="I203" s="43" t="s">
        <v>2017</v>
      </c>
      <c r="J203" s="43" t="s">
        <v>88</v>
      </c>
      <c r="K203" s="43" t="s">
        <v>623</v>
      </c>
      <c r="L203" s="43" t="s">
        <v>913</v>
      </c>
      <c r="M203" s="43" t="s">
        <v>914</v>
      </c>
      <c r="N203" s="43" t="s">
        <v>617</v>
      </c>
      <c r="O203" s="43" t="s">
        <v>626</v>
      </c>
      <c r="P203" s="43" t="s">
        <v>1626</v>
      </c>
      <c r="Q203" s="43" t="s">
        <v>2018</v>
      </c>
      <c r="R203" s="43" t="s">
        <v>2018</v>
      </c>
      <c r="S203" s="43" t="s">
        <v>648</v>
      </c>
      <c r="T203" s="43"/>
      <c r="U203" s="43"/>
      <c r="V203" s="43"/>
      <c r="W203" s="43"/>
      <c r="X203" s="43"/>
      <c r="Y203" s="43"/>
      <c r="Z203" s="43"/>
    </row>
    <row r="204" spans="1:26" ht="15.75" customHeight="1" x14ac:dyDescent="0.25">
      <c r="A204" s="43" t="s">
        <v>286</v>
      </c>
      <c r="B204" s="43" t="s">
        <v>2019</v>
      </c>
      <c r="C204" s="43" t="s">
        <v>2020</v>
      </c>
      <c r="D204" s="43" t="s">
        <v>617</v>
      </c>
      <c r="E204" s="43" t="s">
        <v>2021</v>
      </c>
      <c r="F204" s="43" t="s">
        <v>619</v>
      </c>
      <c r="G204" s="43" t="s">
        <v>2022</v>
      </c>
      <c r="H204" s="43" t="s">
        <v>653</v>
      </c>
      <c r="I204" s="43" t="s">
        <v>1194</v>
      </c>
      <c r="J204" s="43" t="s">
        <v>134</v>
      </c>
      <c r="K204" s="43" t="s">
        <v>623</v>
      </c>
      <c r="L204" s="43" t="s">
        <v>779</v>
      </c>
      <c r="M204" s="43" t="s">
        <v>780</v>
      </c>
      <c r="N204" s="43" t="s">
        <v>617</v>
      </c>
      <c r="O204" s="43" t="s">
        <v>626</v>
      </c>
      <c r="P204" s="43" t="s">
        <v>2023</v>
      </c>
      <c r="Q204" s="43" t="s">
        <v>2024</v>
      </c>
      <c r="R204" s="43" t="s">
        <v>2025</v>
      </c>
      <c r="S204" s="43" t="s">
        <v>648</v>
      </c>
      <c r="T204" s="43"/>
      <c r="U204" s="43"/>
      <c r="V204" s="43"/>
      <c r="W204" s="43"/>
      <c r="X204" s="43"/>
      <c r="Y204" s="43"/>
      <c r="Z204" s="43"/>
    </row>
    <row r="205" spans="1:26" ht="15.75" customHeight="1" x14ac:dyDescent="0.25">
      <c r="A205" s="43" t="s">
        <v>287</v>
      </c>
      <c r="B205" s="43" t="s">
        <v>2026</v>
      </c>
      <c r="C205" s="43" t="s">
        <v>2027</v>
      </c>
      <c r="D205" s="43" t="s">
        <v>617</v>
      </c>
      <c r="E205" s="43" t="s">
        <v>2028</v>
      </c>
      <c r="F205" s="43" t="s">
        <v>619</v>
      </c>
      <c r="G205" s="43" t="s">
        <v>2029</v>
      </c>
      <c r="H205" s="43" t="s">
        <v>735</v>
      </c>
      <c r="I205" s="43" t="s">
        <v>2030</v>
      </c>
      <c r="J205" s="43" t="s">
        <v>623</v>
      </c>
      <c r="K205" s="43" t="s">
        <v>623</v>
      </c>
      <c r="L205" s="43" t="s">
        <v>898</v>
      </c>
      <c r="M205" s="43" t="s">
        <v>794</v>
      </c>
      <c r="N205" s="43" t="s">
        <v>617</v>
      </c>
      <c r="O205" s="43" t="s">
        <v>626</v>
      </c>
      <c r="P205" s="43" t="s">
        <v>2031</v>
      </c>
      <c r="Q205" s="43" t="s">
        <v>2032</v>
      </c>
      <c r="R205" s="43" t="s">
        <v>2033</v>
      </c>
      <c r="S205" s="43" t="s">
        <v>648</v>
      </c>
      <c r="T205" s="43"/>
      <c r="U205" s="43"/>
      <c r="V205" s="43"/>
      <c r="W205" s="43"/>
      <c r="X205" s="43"/>
      <c r="Y205" s="43"/>
      <c r="Z205" s="43"/>
    </row>
    <row r="206" spans="1:26" ht="15.75" customHeight="1" x14ac:dyDescent="0.25">
      <c r="A206" s="43" t="s">
        <v>288</v>
      </c>
      <c r="B206" s="43" t="s">
        <v>2034</v>
      </c>
      <c r="C206" s="43" t="s">
        <v>2035</v>
      </c>
      <c r="D206" s="43" t="s">
        <v>617</v>
      </c>
      <c r="E206" s="43" t="s">
        <v>2036</v>
      </c>
      <c r="F206" s="43" t="s">
        <v>619</v>
      </c>
      <c r="G206" s="43" t="s">
        <v>2037</v>
      </c>
      <c r="H206" s="43" t="s">
        <v>653</v>
      </c>
      <c r="I206" s="43" t="s">
        <v>2038</v>
      </c>
      <c r="J206" s="43" t="s">
        <v>87</v>
      </c>
      <c r="K206" s="43" t="s">
        <v>623</v>
      </c>
      <c r="L206" s="43" t="s">
        <v>898</v>
      </c>
      <c r="M206" s="43" t="s">
        <v>794</v>
      </c>
      <c r="N206" s="43" t="s">
        <v>617</v>
      </c>
      <c r="O206" s="43" t="s">
        <v>626</v>
      </c>
      <c r="P206" s="43" t="s">
        <v>1537</v>
      </c>
      <c r="Q206" s="43" t="s">
        <v>2039</v>
      </c>
      <c r="R206" s="43" t="s">
        <v>2040</v>
      </c>
      <c r="S206" s="43" t="s">
        <v>648</v>
      </c>
      <c r="T206" s="43"/>
      <c r="U206" s="43"/>
      <c r="V206" s="43"/>
      <c r="W206" s="43"/>
      <c r="X206" s="43"/>
      <c r="Y206" s="43"/>
      <c r="Z206" s="43"/>
    </row>
    <row r="207" spans="1:26" ht="15.75" customHeight="1" x14ac:dyDescent="0.25">
      <c r="A207" s="43" t="s">
        <v>289</v>
      </c>
      <c r="B207" s="43" t="s">
        <v>2041</v>
      </c>
      <c r="C207" s="43" t="s">
        <v>2042</v>
      </c>
      <c r="D207" s="43" t="s">
        <v>617</v>
      </c>
      <c r="E207" s="43" t="s">
        <v>2043</v>
      </c>
      <c r="F207" s="43" t="s">
        <v>619</v>
      </c>
      <c r="G207" s="43" t="s">
        <v>2044</v>
      </c>
      <c r="H207" s="43" t="s">
        <v>735</v>
      </c>
      <c r="I207" s="43" t="s">
        <v>2045</v>
      </c>
      <c r="J207" s="43" t="s">
        <v>102</v>
      </c>
      <c r="K207" s="43" t="s">
        <v>623</v>
      </c>
      <c r="L207" s="43" t="s">
        <v>1214</v>
      </c>
      <c r="M207" s="43" t="s">
        <v>1113</v>
      </c>
      <c r="N207" s="43" t="s">
        <v>617</v>
      </c>
      <c r="O207" s="43" t="s">
        <v>626</v>
      </c>
      <c r="P207" s="43" t="s">
        <v>1114</v>
      </c>
      <c r="Q207" s="43" t="s">
        <v>2046</v>
      </c>
      <c r="R207" s="43" t="s">
        <v>1123</v>
      </c>
      <c r="S207" s="43" t="s">
        <v>730</v>
      </c>
      <c r="T207" s="43"/>
      <c r="U207" s="43"/>
      <c r="V207" s="43"/>
      <c r="W207" s="43"/>
      <c r="X207" s="43"/>
      <c r="Y207" s="43"/>
      <c r="Z207" s="43"/>
    </row>
    <row r="208" spans="1:26" ht="15.75" customHeight="1" x14ac:dyDescent="0.25">
      <c r="A208" s="43" t="s">
        <v>290</v>
      </c>
      <c r="B208" s="43" t="s">
        <v>2047</v>
      </c>
      <c r="C208" s="43" t="s">
        <v>2048</v>
      </c>
      <c r="D208" s="43" t="s">
        <v>617</v>
      </c>
      <c r="E208" s="43" t="s">
        <v>2049</v>
      </c>
      <c r="F208" s="43" t="s">
        <v>619</v>
      </c>
      <c r="G208" s="43" t="s">
        <v>2050</v>
      </c>
      <c r="H208" s="43" t="s">
        <v>1292</v>
      </c>
      <c r="I208" s="43" t="s">
        <v>2051</v>
      </c>
      <c r="J208" s="43" t="s">
        <v>1304</v>
      </c>
      <c r="K208" s="43" t="s">
        <v>1102</v>
      </c>
      <c r="L208" s="43" t="s">
        <v>1158</v>
      </c>
      <c r="M208" s="43" t="s">
        <v>617</v>
      </c>
      <c r="N208" s="43" t="s">
        <v>617</v>
      </c>
      <c r="O208" s="43" t="s">
        <v>626</v>
      </c>
      <c r="P208" s="43" t="s">
        <v>656</v>
      </c>
      <c r="Q208" s="43" t="s">
        <v>2052</v>
      </c>
      <c r="R208" s="43" t="s">
        <v>2053</v>
      </c>
      <c r="S208" s="43" t="s">
        <v>629</v>
      </c>
      <c r="T208" s="43"/>
      <c r="U208" s="43"/>
      <c r="V208" s="43"/>
      <c r="W208" s="43"/>
      <c r="X208" s="43"/>
      <c r="Y208" s="43"/>
      <c r="Z208" s="43"/>
    </row>
    <row r="209" spans="1:26" ht="15.75" customHeight="1" x14ac:dyDescent="0.25">
      <c r="A209" s="43" t="s">
        <v>291</v>
      </c>
      <c r="B209" s="43" t="s">
        <v>2054</v>
      </c>
      <c r="C209" s="43" t="s">
        <v>2055</v>
      </c>
      <c r="D209" s="43" t="s">
        <v>617</v>
      </c>
      <c r="E209" s="43" t="s">
        <v>1875</v>
      </c>
      <c r="F209" s="43" t="s">
        <v>619</v>
      </c>
      <c r="G209" s="43" t="s">
        <v>2056</v>
      </c>
      <c r="H209" s="43" t="s">
        <v>1956</v>
      </c>
      <c r="I209" s="43" t="s">
        <v>2057</v>
      </c>
      <c r="J209" s="43" t="s">
        <v>88</v>
      </c>
      <c r="K209" s="43"/>
      <c r="L209" s="43" t="s">
        <v>2058</v>
      </c>
      <c r="M209" s="43" t="s">
        <v>818</v>
      </c>
      <c r="N209" s="43" t="s">
        <v>617</v>
      </c>
      <c r="O209" s="43" t="s">
        <v>626</v>
      </c>
      <c r="P209" s="43" t="s">
        <v>2059</v>
      </c>
      <c r="Q209" s="43" t="s">
        <v>2060</v>
      </c>
      <c r="R209" s="43" t="s">
        <v>2061</v>
      </c>
      <c r="S209" s="43" t="s">
        <v>730</v>
      </c>
      <c r="T209" s="43"/>
      <c r="U209" s="43"/>
      <c r="V209" s="43"/>
      <c r="W209" s="43"/>
      <c r="X209" s="43"/>
      <c r="Y209" s="43"/>
      <c r="Z209" s="43"/>
    </row>
    <row r="210" spans="1:26" ht="15.75" customHeight="1" x14ac:dyDescent="0.25">
      <c r="A210" s="43" t="s">
        <v>292</v>
      </c>
      <c r="B210" s="43" t="s">
        <v>2062</v>
      </c>
      <c r="C210" s="43" t="s">
        <v>2063</v>
      </c>
      <c r="D210" s="43" t="s">
        <v>962</v>
      </c>
      <c r="E210" s="43" t="s">
        <v>1638</v>
      </c>
      <c r="F210" s="43" t="s">
        <v>619</v>
      </c>
      <c r="G210" s="43" t="s">
        <v>2064</v>
      </c>
      <c r="H210" s="43" t="s">
        <v>1156</v>
      </c>
      <c r="I210" s="43" t="s">
        <v>2065</v>
      </c>
      <c r="J210" s="43" t="s">
        <v>2066</v>
      </c>
      <c r="K210" s="43" t="s">
        <v>1123</v>
      </c>
      <c r="L210" s="43" t="s">
        <v>644</v>
      </c>
      <c r="M210" s="43" t="s">
        <v>645</v>
      </c>
      <c r="N210" s="43" t="s">
        <v>617</v>
      </c>
      <c r="O210" s="43" t="s">
        <v>626</v>
      </c>
      <c r="P210" s="43" t="s">
        <v>646</v>
      </c>
      <c r="Q210" s="43" t="s">
        <v>2067</v>
      </c>
      <c r="R210" s="43" t="s">
        <v>2068</v>
      </c>
      <c r="S210" s="43" t="s">
        <v>648</v>
      </c>
      <c r="T210" s="43"/>
      <c r="U210" s="43"/>
      <c r="V210" s="43"/>
      <c r="W210" s="43"/>
      <c r="X210" s="43"/>
      <c r="Y210" s="43"/>
      <c r="Z210" s="43"/>
    </row>
    <row r="211" spans="1:26" ht="15.75" customHeight="1" x14ac:dyDescent="0.25">
      <c r="A211" s="43" t="s">
        <v>293</v>
      </c>
      <c r="B211" s="43" t="s">
        <v>2069</v>
      </c>
      <c r="C211" s="43" t="s">
        <v>2070</v>
      </c>
      <c r="D211" s="43" t="s">
        <v>2071</v>
      </c>
      <c r="E211" s="43" t="s">
        <v>2072</v>
      </c>
      <c r="F211" s="43" t="s">
        <v>619</v>
      </c>
      <c r="G211" s="43" t="s">
        <v>2073</v>
      </c>
      <c r="H211" s="43" t="s">
        <v>888</v>
      </c>
      <c r="I211" s="43" t="s">
        <v>2074</v>
      </c>
      <c r="J211" s="43" t="s">
        <v>87</v>
      </c>
      <c r="K211" s="43" t="s">
        <v>87</v>
      </c>
      <c r="L211" s="43" t="s">
        <v>2075</v>
      </c>
      <c r="M211" s="43" t="s">
        <v>2071</v>
      </c>
      <c r="N211" s="43" t="s">
        <v>2071</v>
      </c>
      <c r="O211" s="43" t="s">
        <v>2076</v>
      </c>
      <c r="P211" s="43" t="s">
        <v>2077</v>
      </c>
      <c r="Q211" s="43" t="s">
        <v>2078</v>
      </c>
      <c r="R211" s="43" t="s">
        <v>2079</v>
      </c>
      <c r="S211" s="43" t="s">
        <v>1271</v>
      </c>
      <c r="T211" s="43"/>
      <c r="U211" s="43"/>
      <c r="V211" s="43"/>
      <c r="W211" s="43"/>
      <c r="X211" s="43"/>
      <c r="Y211" s="43"/>
      <c r="Z211" s="43"/>
    </row>
    <row r="212" spans="1:26" ht="15.75" customHeight="1" x14ac:dyDescent="0.25">
      <c r="A212" s="43" t="s">
        <v>294</v>
      </c>
      <c r="B212" s="43" t="s">
        <v>2080</v>
      </c>
      <c r="C212" s="43" t="s">
        <v>2081</v>
      </c>
      <c r="D212" s="43" t="s">
        <v>617</v>
      </c>
      <c r="E212" s="43" t="s">
        <v>2082</v>
      </c>
      <c r="F212" s="43" t="s">
        <v>619</v>
      </c>
      <c r="G212" s="43" t="s">
        <v>2083</v>
      </c>
      <c r="H212" s="43" t="s">
        <v>653</v>
      </c>
      <c r="I212" s="43" t="s">
        <v>654</v>
      </c>
      <c r="J212" s="43" t="s">
        <v>2084</v>
      </c>
      <c r="K212" s="43" t="s">
        <v>1102</v>
      </c>
      <c r="L212" s="43" t="s">
        <v>655</v>
      </c>
      <c r="M212" s="43" t="s">
        <v>617</v>
      </c>
      <c r="N212" s="43" t="s">
        <v>617</v>
      </c>
      <c r="O212" s="43" t="s">
        <v>626</v>
      </c>
      <c r="P212" s="43" t="s">
        <v>656</v>
      </c>
      <c r="Q212" s="43" t="s">
        <v>2085</v>
      </c>
      <c r="R212" s="43" t="s">
        <v>2086</v>
      </c>
      <c r="S212" s="43" t="s">
        <v>648</v>
      </c>
      <c r="T212" s="43"/>
      <c r="U212" s="43"/>
      <c r="V212" s="43"/>
      <c r="W212" s="43"/>
      <c r="X212" s="43"/>
      <c r="Y212" s="43"/>
      <c r="Z212" s="43"/>
    </row>
    <row r="213" spans="1:26" ht="15.75" customHeight="1" x14ac:dyDescent="0.25">
      <c r="A213" s="43" t="s">
        <v>295</v>
      </c>
      <c r="B213" s="43" t="s">
        <v>2087</v>
      </c>
      <c r="C213" s="43" t="s">
        <v>2088</v>
      </c>
      <c r="D213" s="43" t="s">
        <v>617</v>
      </c>
      <c r="E213" s="43" t="s">
        <v>2089</v>
      </c>
      <c r="F213" s="43" t="s">
        <v>619</v>
      </c>
      <c r="G213" s="43" t="s">
        <v>2090</v>
      </c>
      <c r="H213" s="43" t="s">
        <v>653</v>
      </c>
      <c r="I213" s="43" t="s">
        <v>2091</v>
      </c>
      <c r="J213" s="43" t="s">
        <v>92</v>
      </c>
      <c r="K213" s="43" t="s">
        <v>606</v>
      </c>
      <c r="L213" s="43" t="s">
        <v>680</v>
      </c>
      <c r="M213" s="43" t="s">
        <v>617</v>
      </c>
      <c r="N213" s="43" t="s">
        <v>617</v>
      </c>
      <c r="O213" s="43" t="s">
        <v>626</v>
      </c>
      <c r="P213" s="43" t="s">
        <v>714</v>
      </c>
      <c r="Q213" s="43" t="s">
        <v>2092</v>
      </c>
      <c r="R213" s="43" t="s">
        <v>2092</v>
      </c>
      <c r="S213" s="43" t="s">
        <v>648</v>
      </c>
      <c r="T213" s="43"/>
      <c r="U213" s="43"/>
      <c r="V213" s="43"/>
      <c r="W213" s="43"/>
      <c r="X213" s="43"/>
      <c r="Y213" s="43"/>
      <c r="Z213" s="43"/>
    </row>
    <row r="214" spans="1:26" ht="15.75" customHeight="1" x14ac:dyDescent="0.25">
      <c r="A214" s="43" t="s">
        <v>296</v>
      </c>
      <c r="B214" s="43" t="s">
        <v>2093</v>
      </c>
      <c r="C214" s="43" t="s">
        <v>2094</v>
      </c>
      <c r="D214" s="43" t="s">
        <v>617</v>
      </c>
      <c r="E214" s="43" t="s">
        <v>2095</v>
      </c>
      <c r="F214" s="43" t="s">
        <v>740</v>
      </c>
      <c r="G214" s="43" t="s">
        <v>2096</v>
      </c>
      <c r="H214" s="43" t="s">
        <v>653</v>
      </c>
      <c r="I214" s="43" t="s">
        <v>713</v>
      </c>
      <c r="J214" s="43" t="s">
        <v>1227</v>
      </c>
      <c r="K214" s="43"/>
      <c r="L214" s="43" t="s">
        <v>680</v>
      </c>
      <c r="M214" s="43" t="s">
        <v>617</v>
      </c>
      <c r="N214" s="43" t="s">
        <v>617</v>
      </c>
      <c r="O214" s="43" t="s">
        <v>626</v>
      </c>
      <c r="P214" s="43" t="s">
        <v>1228</v>
      </c>
      <c r="Q214" s="43" t="s">
        <v>2097</v>
      </c>
      <c r="R214" s="43" t="s">
        <v>2098</v>
      </c>
      <c r="S214" s="43" t="s">
        <v>893</v>
      </c>
      <c r="T214" s="43"/>
      <c r="U214" s="43"/>
      <c r="V214" s="43"/>
      <c r="W214" s="43"/>
      <c r="X214" s="43"/>
      <c r="Y214" s="43"/>
      <c r="Z214" s="43"/>
    </row>
    <row r="215" spans="1:26" ht="15.75" customHeight="1" x14ac:dyDescent="0.25">
      <c r="A215" s="43" t="s">
        <v>297</v>
      </c>
      <c r="B215" s="43" t="s">
        <v>2099</v>
      </c>
      <c r="C215" s="43" t="s">
        <v>2100</v>
      </c>
      <c r="D215" s="43" t="s">
        <v>885</v>
      </c>
      <c r="E215" s="43" t="s">
        <v>2021</v>
      </c>
      <c r="F215" s="43" t="s">
        <v>619</v>
      </c>
      <c r="G215" s="43" t="s">
        <v>2101</v>
      </c>
      <c r="H215" s="43" t="s">
        <v>634</v>
      </c>
      <c r="I215" s="43" t="s">
        <v>1521</v>
      </c>
      <c r="J215" s="43" t="s">
        <v>101</v>
      </c>
      <c r="K215" s="43" t="s">
        <v>87</v>
      </c>
      <c r="L215" s="43" t="s">
        <v>1522</v>
      </c>
      <c r="M215" s="43" t="s">
        <v>1335</v>
      </c>
      <c r="N215" s="43" t="s">
        <v>885</v>
      </c>
      <c r="O215" s="43" t="s">
        <v>626</v>
      </c>
      <c r="P215" s="43" t="s">
        <v>1336</v>
      </c>
      <c r="Q215" s="43" t="s">
        <v>2102</v>
      </c>
      <c r="R215" s="43" t="s">
        <v>2103</v>
      </c>
      <c r="S215" s="43" t="s">
        <v>648</v>
      </c>
      <c r="T215" s="43"/>
      <c r="U215" s="43"/>
      <c r="V215" s="43"/>
      <c r="W215" s="43"/>
      <c r="X215" s="43"/>
      <c r="Y215" s="43"/>
      <c r="Z215" s="43"/>
    </row>
    <row r="216" spans="1:26" ht="15.75" customHeight="1" x14ac:dyDescent="0.25">
      <c r="A216" s="43" t="s">
        <v>298</v>
      </c>
      <c r="B216" s="43" t="s">
        <v>2104</v>
      </c>
      <c r="C216" s="43" t="s">
        <v>2105</v>
      </c>
      <c r="D216" s="43" t="s">
        <v>617</v>
      </c>
      <c r="E216" s="43" t="s">
        <v>2106</v>
      </c>
      <c r="F216" s="43" t="s">
        <v>619</v>
      </c>
      <c r="G216" s="43" t="s">
        <v>2107</v>
      </c>
      <c r="H216" s="43" t="s">
        <v>621</v>
      </c>
      <c r="I216" s="43" t="s">
        <v>2108</v>
      </c>
      <c r="J216" s="43" t="s">
        <v>1227</v>
      </c>
      <c r="K216" s="43" t="s">
        <v>1123</v>
      </c>
      <c r="L216" s="43" t="s">
        <v>663</v>
      </c>
      <c r="M216" s="43" t="s">
        <v>664</v>
      </c>
      <c r="N216" s="43" t="s">
        <v>617</v>
      </c>
      <c r="O216" s="43" t="s">
        <v>626</v>
      </c>
      <c r="P216" s="43" t="s">
        <v>1537</v>
      </c>
      <c r="Q216" s="43" t="s">
        <v>2109</v>
      </c>
      <c r="R216" s="43" t="s">
        <v>2110</v>
      </c>
      <c r="S216" s="43" t="s">
        <v>648</v>
      </c>
      <c r="T216" s="43"/>
      <c r="U216" s="43"/>
      <c r="V216" s="43"/>
      <c r="W216" s="43"/>
      <c r="X216" s="43"/>
      <c r="Y216" s="43"/>
      <c r="Z216" s="43"/>
    </row>
    <row r="217" spans="1:26" ht="15.75" customHeight="1" x14ac:dyDescent="0.25">
      <c r="A217" s="43" t="s">
        <v>299</v>
      </c>
      <c r="B217" s="43" t="s">
        <v>2111</v>
      </c>
      <c r="C217" s="43" t="s">
        <v>2112</v>
      </c>
      <c r="D217" s="43" t="s">
        <v>617</v>
      </c>
      <c r="E217" s="43" t="s">
        <v>1555</v>
      </c>
      <c r="F217" s="43" t="s">
        <v>619</v>
      </c>
      <c r="G217" s="43" t="s">
        <v>2113</v>
      </c>
      <c r="H217" s="43" t="s">
        <v>621</v>
      </c>
      <c r="I217" s="43" t="s">
        <v>1007</v>
      </c>
      <c r="J217" s="43" t="s">
        <v>928</v>
      </c>
      <c r="K217" s="43"/>
      <c r="L217" s="43" t="s">
        <v>854</v>
      </c>
      <c r="M217" s="43" t="s">
        <v>855</v>
      </c>
      <c r="N217" s="43" t="s">
        <v>617</v>
      </c>
      <c r="O217" s="43" t="s">
        <v>626</v>
      </c>
      <c r="P217" s="43" t="s">
        <v>1388</v>
      </c>
      <c r="Q217" s="43" t="s">
        <v>2114</v>
      </c>
      <c r="R217" s="43" t="s">
        <v>2115</v>
      </c>
      <c r="S217" s="43" t="s">
        <v>629</v>
      </c>
      <c r="T217" s="43"/>
      <c r="U217" s="43"/>
      <c r="V217" s="43"/>
      <c r="W217" s="43"/>
      <c r="X217" s="43"/>
      <c r="Y217" s="43"/>
      <c r="Z217" s="43"/>
    </row>
    <row r="218" spans="1:26" ht="15.75" customHeight="1" x14ac:dyDescent="0.25">
      <c r="A218" s="43" t="s">
        <v>300</v>
      </c>
      <c r="B218" s="43" t="s">
        <v>2116</v>
      </c>
      <c r="C218" s="43" t="s">
        <v>2117</v>
      </c>
      <c r="D218" s="43" t="s">
        <v>617</v>
      </c>
      <c r="E218" s="43" t="s">
        <v>971</v>
      </c>
      <c r="F218" s="43" t="s">
        <v>619</v>
      </c>
      <c r="G218" s="43" t="s">
        <v>2118</v>
      </c>
      <c r="H218" s="43" t="s">
        <v>735</v>
      </c>
      <c r="I218" s="43" t="s">
        <v>1896</v>
      </c>
      <c r="J218" s="43" t="s">
        <v>1605</v>
      </c>
      <c r="K218" s="43" t="s">
        <v>1605</v>
      </c>
      <c r="L218" s="43" t="s">
        <v>898</v>
      </c>
      <c r="M218" s="43" t="s">
        <v>794</v>
      </c>
      <c r="N218" s="43" t="s">
        <v>617</v>
      </c>
      <c r="O218" s="43" t="s">
        <v>626</v>
      </c>
      <c r="P218" s="43" t="s">
        <v>899</v>
      </c>
      <c r="Q218" s="43" t="s">
        <v>2119</v>
      </c>
      <c r="R218" s="43" t="s">
        <v>2120</v>
      </c>
      <c r="S218" s="43" t="s">
        <v>648</v>
      </c>
      <c r="T218" s="43"/>
      <c r="U218" s="43"/>
      <c r="V218" s="43"/>
      <c r="W218" s="43"/>
      <c r="X218" s="43"/>
      <c r="Y218" s="43"/>
      <c r="Z218" s="43"/>
    </row>
    <row r="219" spans="1:26" ht="15.75" customHeight="1" x14ac:dyDescent="0.25">
      <c r="A219" s="43" t="s">
        <v>301</v>
      </c>
      <c r="B219" s="43" t="s">
        <v>2121</v>
      </c>
      <c r="C219" s="43" t="s">
        <v>2122</v>
      </c>
      <c r="D219" s="43" t="s">
        <v>885</v>
      </c>
      <c r="E219" s="43" t="s">
        <v>2123</v>
      </c>
      <c r="F219" s="43" t="s">
        <v>740</v>
      </c>
      <c r="G219" s="43" t="s">
        <v>2124</v>
      </c>
      <c r="H219" s="43" t="s">
        <v>653</v>
      </c>
      <c r="I219" s="43" t="s">
        <v>2125</v>
      </c>
      <c r="J219" s="43" t="s">
        <v>87</v>
      </c>
      <c r="K219" s="43" t="s">
        <v>84</v>
      </c>
      <c r="L219" s="43" t="s">
        <v>2126</v>
      </c>
      <c r="M219" s="43" t="s">
        <v>2127</v>
      </c>
      <c r="N219" s="43" t="s">
        <v>617</v>
      </c>
      <c r="O219" s="43" t="s">
        <v>626</v>
      </c>
      <c r="P219" s="43" t="s">
        <v>2128</v>
      </c>
      <c r="Q219" s="43" t="s">
        <v>2129</v>
      </c>
      <c r="R219" s="43" t="s">
        <v>2130</v>
      </c>
      <c r="S219" s="43" t="s">
        <v>629</v>
      </c>
      <c r="T219" s="43"/>
      <c r="U219" s="43"/>
      <c r="V219" s="43"/>
      <c r="W219" s="43"/>
      <c r="X219" s="43"/>
      <c r="Y219" s="43"/>
      <c r="Z219" s="43"/>
    </row>
    <row r="220" spans="1:26" ht="15.75" customHeight="1" x14ac:dyDescent="0.25">
      <c r="A220" s="43" t="s">
        <v>302</v>
      </c>
      <c r="B220" s="43" t="s">
        <v>2131</v>
      </c>
      <c r="C220" s="43" t="s">
        <v>2132</v>
      </c>
      <c r="D220" s="43" t="s">
        <v>617</v>
      </c>
      <c r="E220" s="43" t="s">
        <v>2133</v>
      </c>
      <c r="F220" s="43" t="s">
        <v>619</v>
      </c>
      <c r="G220" s="43" t="s">
        <v>2134</v>
      </c>
      <c r="H220" s="43" t="s">
        <v>735</v>
      </c>
      <c r="I220" s="43" t="s">
        <v>881</v>
      </c>
      <c r="J220" s="43" t="s">
        <v>89</v>
      </c>
      <c r="K220" s="43" t="s">
        <v>623</v>
      </c>
      <c r="L220" s="43" t="s">
        <v>663</v>
      </c>
      <c r="M220" s="43" t="s">
        <v>664</v>
      </c>
      <c r="N220" s="43" t="s">
        <v>617</v>
      </c>
      <c r="O220" s="43" t="s">
        <v>626</v>
      </c>
      <c r="P220" s="43" t="s">
        <v>2059</v>
      </c>
      <c r="Q220" s="43" t="s">
        <v>2135</v>
      </c>
      <c r="R220" s="43" t="s">
        <v>2136</v>
      </c>
      <c r="S220" s="43" t="s">
        <v>648</v>
      </c>
      <c r="T220" s="43"/>
      <c r="U220" s="43"/>
      <c r="V220" s="43"/>
      <c r="W220" s="43"/>
      <c r="X220" s="43"/>
      <c r="Y220" s="43"/>
      <c r="Z220" s="43"/>
    </row>
    <row r="221" spans="1:26" ht="15.75" customHeight="1" x14ac:dyDescent="0.25">
      <c r="A221" s="43" t="s">
        <v>303</v>
      </c>
      <c r="B221" s="43" t="s">
        <v>2137</v>
      </c>
      <c r="C221" s="43" t="s">
        <v>2138</v>
      </c>
      <c r="D221" s="43" t="s">
        <v>617</v>
      </c>
      <c r="E221" s="43" t="s">
        <v>2139</v>
      </c>
      <c r="F221" s="43" t="s">
        <v>619</v>
      </c>
      <c r="G221" s="43" t="s">
        <v>2140</v>
      </c>
      <c r="H221" s="43" t="s">
        <v>735</v>
      </c>
      <c r="I221" s="43" t="s">
        <v>1081</v>
      </c>
      <c r="J221" s="43" t="s">
        <v>84</v>
      </c>
      <c r="K221" s="43" t="s">
        <v>623</v>
      </c>
      <c r="L221" s="43" t="s">
        <v>793</v>
      </c>
      <c r="M221" s="43" t="s">
        <v>794</v>
      </c>
      <c r="N221" s="43" t="s">
        <v>617</v>
      </c>
      <c r="O221" s="43" t="s">
        <v>626</v>
      </c>
      <c r="P221" s="43" t="s">
        <v>1082</v>
      </c>
      <c r="Q221" s="43" t="s">
        <v>2141</v>
      </c>
      <c r="R221" s="43" t="s">
        <v>2141</v>
      </c>
      <c r="S221" s="43" t="s">
        <v>730</v>
      </c>
      <c r="T221" s="43"/>
      <c r="U221" s="43"/>
      <c r="V221" s="43"/>
      <c r="W221" s="43"/>
      <c r="X221" s="43"/>
      <c r="Y221" s="43"/>
      <c r="Z221" s="43"/>
    </row>
    <row r="222" spans="1:26" ht="15.75" customHeight="1" x14ac:dyDescent="0.25">
      <c r="A222" s="43" t="s">
        <v>304</v>
      </c>
      <c r="B222" s="43" t="s">
        <v>2142</v>
      </c>
      <c r="C222" s="43" t="s">
        <v>2143</v>
      </c>
      <c r="D222" s="43" t="s">
        <v>2144</v>
      </c>
      <c r="E222" s="43" t="s">
        <v>2145</v>
      </c>
      <c r="F222" s="43" t="s">
        <v>619</v>
      </c>
      <c r="G222" s="43" t="s">
        <v>2146</v>
      </c>
      <c r="H222" s="43" t="s">
        <v>735</v>
      </c>
      <c r="I222" s="43" t="s">
        <v>2147</v>
      </c>
      <c r="J222" s="43" t="s">
        <v>1102</v>
      </c>
      <c r="K222" s="43" t="s">
        <v>1102</v>
      </c>
      <c r="L222" s="43" t="s">
        <v>958</v>
      </c>
      <c r="M222" s="43" t="s">
        <v>855</v>
      </c>
      <c r="N222" s="43" t="s">
        <v>617</v>
      </c>
      <c r="O222" s="43" t="s">
        <v>626</v>
      </c>
      <c r="P222" s="43" t="s">
        <v>2148</v>
      </c>
      <c r="Q222" s="43" t="s">
        <v>2149</v>
      </c>
      <c r="R222" s="43" t="s">
        <v>2150</v>
      </c>
      <c r="S222" s="43" t="s">
        <v>629</v>
      </c>
      <c r="T222" s="43"/>
      <c r="U222" s="43"/>
      <c r="V222" s="43"/>
      <c r="W222" s="43"/>
      <c r="X222" s="43"/>
      <c r="Y222" s="43"/>
      <c r="Z222" s="43"/>
    </row>
    <row r="223" spans="1:26" ht="15.75" customHeight="1" x14ac:dyDescent="0.25">
      <c r="A223" s="43" t="s">
        <v>305</v>
      </c>
      <c r="B223" s="43" t="s">
        <v>2151</v>
      </c>
      <c r="C223" s="43" t="s">
        <v>2152</v>
      </c>
      <c r="D223" s="43" t="s">
        <v>2153</v>
      </c>
      <c r="E223" s="43" t="s">
        <v>2154</v>
      </c>
      <c r="F223" s="43" t="s">
        <v>619</v>
      </c>
      <c r="G223" s="43" t="s">
        <v>2155</v>
      </c>
      <c r="H223" s="43" t="s">
        <v>735</v>
      </c>
      <c r="I223" s="43" t="s">
        <v>2156</v>
      </c>
      <c r="J223" s="43" t="s">
        <v>87</v>
      </c>
      <c r="K223" s="43" t="s">
        <v>623</v>
      </c>
      <c r="L223" s="43" t="s">
        <v>1380</v>
      </c>
      <c r="M223" s="43" t="s">
        <v>645</v>
      </c>
      <c r="N223" s="43" t="s">
        <v>617</v>
      </c>
      <c r="O223" s="43" t="s">
        <v>626</v>
      </c>
      <c r="P223" s="43" t="s">
        <v>2157</v>
      </c>
      <c r="Q223" s="43" t="s">
        <v>2158</v>
      </c>
      <c r="R223" s="43" t="s">
        <v>2159</v>
      </c>
      <c r="S223" s="43" t="s">
        <v>730</v>
      </c>
      <c r="T223" s="43"/>
      <c r="U223" s="43"/>
      <c r="V223" s="43"/>
      <c r="W223" s="43"/>
      <c r="X223" s="43"/>
      <c r="Y223" s="43"/>
      <c r="Z223" s="43"/>
    </row>
    <row r="224" spans="1:26" ht="15.75" customHeight="1" x14ac:dyDescent="0.25">
      <c r="A224" s="43" t="s">
        <v>306</v>
      </c>
      <c r="B224" s="43" t="s">
        <v>2160</v>
      </c>
      <c r="C224" s="43" t="s">
        <v>2161</v>
      </c>
      <c r="D224" s="43" t="s">
        <v>617</v>
      </c>
      <c r="E224" s="43" t="s">
        <v>725</v>
      </c>
      <c r="F224" s="43" t="s">
        <v>740</v>
      </c>
      <c r="G224" s="43" t="s">
        <v>2162</v>
      </c>
      <c r="H224" s="43" t="s">
        <v>634</v>
      </c>
      <c r="I224" s="43" t="s">
        <v>2163</v>
      </c>
      <c r="J224" s="43" t="s">
        <v>1101</v>
      </c>
      <c r="K224" s="43" t="s">
        <v>1102</v>
      </c>
      <c r="L224" s="43" t="s">
        <v>2058</v>
      </c>
      <c r="M224" s="43" t="s">
        <v>818</v>
      </c>
      <c r="N224" s="43" t="s">
        <v>617</v>
      </c>
      <c r="O224" s="43" t="s">
        <v>626</v>
      </c>
      <c r="P224" s="43" t="s">
        <v>2059</v>
      </c>
      <c r="Q224" s="43" t="s">
        <v>2164</v>
      </c>
      <c r="R224" s="43" t="s">
        <v>2165</v>
      </c>
      <c r="S224" s="43" t="s">
        <v>730</v>
      </c>
      <c r="T224" s="43"/>
      <c r="U224" s="43"/>
      <c r="V224" s="43"/>
      <c r="W224" s="43"/>
      <c r="X224" s="43"/>
      <c r="Y224" s="43"/>
      <c r="Z224" s="43"/>
    </row>
    <row r="225" spans="1:26" ht="15.75" customHeight="1" x14ac:dyDescent="0.25">
      <c r="A225" s="43" t="s">
        <v>307</v>
      </c>
      <c r="B225" s="43" t="s">
        <v>2166</v>
      </c>
      <c r="C225" s="43" t="s">
        <v>2167</v>
      </c>
      <c r="D225" s="43" t="s">
        <v>617</v>
      </c>
      <c r="E225" s="43" t="s">
        <v>829</v>
      </c>
      <c r="F225" s="43" t="s">
        <v>619</v>
      </c>
      <c r="G225" s="43" t="s">
        <v>2168</v>
      </c>
      <c r="H225" s="43" t="s">
        <v>653</v>
      </c>
      <c r="I225" s="43" t="s">
        <v>2169</v>
      </c>
      <c r="J225" s="43" t="s">
        <v>2084</v>
      </c>
      <c r="K225" s="43" t="s">
        <v>114</v>
      </c>
      <c r="L225" s="43" t="s">
        <v>2170</v>
      </c>
      <c r="M225" s="43" t="s">
        <v>840</v>
      </c>
      <c r="N225" s="43" t="s">
        <v>617</v>
      </c>
      <c r="O225" s="43" t="s">
        <v>626</v>
      </c>
      <c r="P225" s="43" t="s">
        <v>2171</v>
      </c>
      <c r="Q225" s="43" t="s">
        <v>2172</v>
      </c>
      <c r="R225" s="43" t="s">
        <v>2173</v>
      </c>
      <c r="S225" s="43" t="s">
        <v>648</v>
      </c>
      <c r="T225" s="43"/>
      <c r="U225" s="43"/>
      <c r="V225" s="43"/>
      <c r="W225" s="43"/>
      <c r="X225" s="43"/>
      <c r="Y225" s="43"/>
      <c r="Z225" s="43"/>
    </row>
    <row r="226" spans="1:26" ht="15.75" customHeight="1" x14ac:dyDescent="0.25">
      <c r="A226" s="43" t="s">
        <v>308</v>
      </c>
      <c r="B226" s="43" t="s">
        <v>2174</v>
      </c>
      <c r="C226" s="43" t="s">
        <v>2175</v>
      </c>
      <c r="D226" s="43" t="s">
        <v>2176</v>
      </c>
      <c r="E226" s="43" t="s">
        <v>2177</v>
      </c>
      <c r="F226" s="43" t="s">
        <v>619</v>
      </c>
      <c r="G226" s="43" t="s">
        <v>2178</v>
      </c>
      <c r="H226" s="43" t="s">
        <v>621</v>
      </c>
      <c r="I226" s="43" t="s">
        <v>2179</v>
      </c>
      <c r="J226" s="43" t="s">
        <v>2180</v>
      </c>
      <c r="K226" s="43" t="s">
        <v>1102</v>
      </c>
      <c r="L226" s="43" t="s">
        <v>2181</v>
      </c>
      <c r="M226" s="43" t="s">
        <v>2182</v>
      </c>
      <c r="N226" s="43" t="s">
        <v>2176</v>
      </c>
      <c r="O226" s="43" t="s">
        <v>2183</v>
      </c>
      <c r="P226" s="43" t="s">
        <v>2184</v>
      </c>
      <c r="Q226" s="43" t="s">
        <v>2185</v>
      </c>
      <c r="R226" s="43" t="s">
        <v>2185</v>
      </c>
      <c r="S226" s="43" t="s">
        <v>648</v>
      </c>
      <c r="T226" s="43"/>
      <c r="U226" s="43"/>
      <c r="V226" s="43"/>
      <c r="W226" s="43"/>
      <c r="X226" s="43"/>
      <c r="Y226" s="43"/>
      <c r="Z226" s="43"/>
    </row>
    <row r="227" spans="1:26" ht="15.75" customHeight="1" x14ac:dyDescent="0.25">
      <c r="A227" s="43" t="s">
        <v>309</v>
      </c>
      <c r="B227" s="43" t="s">
        <v>2186</v>
      </c>
      <c r="C227" s="43" t="s">
        <v>2187</v>
      </c>
      <c r="D227" s="43" t="s">
        <v>2188</v>
      </c>
      <c r="E227" s="43" t="s">
        <v>2189</v>
      </c>
      <c r="F227" s="43" t="s">
        <v>619</v>
      </c>
      <c r="G227" s="43" t="s">
        <v>2190</v>
      </c>
      <c r="H227" s="43" t="s">
        <v>735</v>
      </c>
      <c r="I227" s="43" t="s">
        <v>2191</v>
      </c>
      <c r="J227" s="43" t="s">
        <v>84</v>
      </c>
      <c r="K227" s="43" t="s">
        <v>623</v>
      </c>
      <c r="L227" s="43" t="s">
        <v>1380</v>
      </c>
      <c r="M227" s="43" t="s">
        <v>645</v>
      </c>
      <c r="N227" s="43" t="s">
        <v>617</v>
      </c>
      <c r="O227" s="43" t="s">
        <v>626</v>
      </c>
      <c r="P227" s="43" t="s">
        <v>1760</v>
      </c>
      <c r="Q227" s="43" t="s">
        <v>2192</v>
      </c>
      <c r="R227" s="43" t="s">
        <v>2193</v>
      </c>
      <c r="S227" s="43" t="s">
        <v>648</v>
      </c>
      <c r="T227" s="43"/>
      <c r="U227" s="43"/>
      <c r="V227" s="43"/>
      <c r="W227" s="43"/>
      <c r="X227" s="43"/>
      <c r="Y227" s="43"/>
      <c r="Z227" s="43"/>
    </row>
    <row r="228" spans="1:26" ht="15.75" customHeight="1" x14ac:dyDescent="0.25">
      <c r="A228" s="43" t="s">
        <v>310</v>
      </c>
      <c r="B228" s="43" t="s">
        <v>2194</v>
      </c>
      <c r="C228" s="43" t="s">
        <v>2195</v>
      </c>
      <c r="D228" s="43" t="s">
        <v>828</v>
      </c>
      <c r="E228" s="43" t="s">
        <v>910</v>
      </c>
      <c r="F228" s="43" t="s">
        <v>619</v>
      </c>
      <c r="G228" s="43" t="s">
        <v>2196</v>
      </c>
      <c r="H228" s="43" t="s">
        <v>653</v>
      </c>
      <c r="I228" s="43" t="s">
        <v>1972</v>
      </c>
      <c r="J228" s="43" t="s">
        <v>2084</v>
      </c>
      <c r="K228" s="43" t="s">
        <v>1123</v>
      </c>
      <c r="L228" s="43" t="s">
        <v>1794</v>
      </c>
      <c r="M228" s="43" t="s">
        <v>1794</v>
      </c>
      <c r="N228" s="43" t="s">
        <v>617</v>
      </c>
      <c r="O228" s="43" t="s">
        <v>626</v>
      </c>
      <c r="P228" s="43" t="s">
        <v>1818</v>
      </c>
      <c r="Q228" s="43" t="s">
        <v>2197</v>
      </c>
      <c r="R228" s="43" t="s">
        <v>2198</v>
      </c>
      <c r="S228" s="43" t="s">
        <v>629</v>
      </c>
      <c r="T228" s="43"/>
      <c r="U228" s="43"/>
      <c r="V228" s="43"/>
      <c r="W228" s="43"/>
      <c r="X228" s="43"/>
      <c r="Y228" s="43"/>
      <c r="Z228" s="43"/>
    </row>
    <row r="229" spans="1:26" ht="15.75" customHeight="1" x14ac:dyDescent="0.25">
      <c r="A229" s="43" t="s">
        <v>311</v>
      </c>
      <c r="B229" s="43" t="s">
        <v>2199</v>
      </c>
      <c r="C229" s="43" t="s">
        <v>2200</v>
      </c>
      <c r="D229" s="43" t="s">
        <v>617</v>
      </c>
      <c r="E229" s="43" t="s">
        <v>1457</v>
      </c>
      <c r="F229" s="43" t="s">
        <v>619</v>
      </c>
      <c r="G229" s="43" t="s">
        <v>2201</v>
      </c>
      <c r="H229" s="43" t="s">
        <v>653</v>
      </c>
      <c r="I229" s="43" t="s">
        <v>2202</v>
      </c>
      <c r="J229" s="43" t="s">
        <v>928</v>
      </c>
      <c r="K229" s="43" t="s">
        <v>1102</v>
      </c>
      <c r="L229" s="43" t="s">
        <v>1794</v>
      </c>
      <c r="M229" s="43" t="s">
        <v>1794</v>
      </c>
      <c r="N229" s="43" t="s">
        <v>617</v>
      </c>
      <c r="O229" s="43" t="s">
        <v>626</v>
      </c>
      <c r="P229" s="43" t="s">
        <v>2203</v>
      </c>
      <c r="Q229" s="43" t="s">
        <v>2204</v>
      </c>
      <c r="R229" s="43" t="s">
        <v>2204</v>
      </c>
      <c r="S229" s="43" t="s">
        <v>730</v>
      </c>
      <c r="T229" s="43"/>
      <c r="U229" s="43"/>
      <c r="V229" s="43"/>
      <c r="W229" s="43"/>
      <c r="X229" s="43"/>
      <c r="Y229" s="43"/>
      <c r="Z229" s="43"/>
    </row>
    <row r="230" spans="1:26" ht="15.75" customHeight="1" x14ac:dyDescent="0.25">
      <c r="A230" s="43" t="s">
        <v>312</v>
      </c>
      <c r="B230" s="43" t="s">
        <v>2205</v>
      </c>
      <c r="C230" s="43" t="s">
        <v>2206</v>
      </c>
      <c r="D230" s="43" t="s">
        <v>617</v>
      </c>
      <c r="E230" s="43" t="s">
        <v>2207</v>
      </c>
      <c r="F230" s="43" t="s">
        <v>619</v>
      </c>
      <c r="G230" s="43" t="s">
        <v>2208</v>
      </c>
      <c r="H230" s="43" t="s">
        <v>621</v>
      </c>
      <c r="I230" s="43" t="s">
        <v>1219</v>
      </c>
      <c r="J230" s="43" t="s">
        <v>1101</v>
      </c>
      <c r="K230" s="43" t="s">
        <v>1397</v>
      </c>
      <c r="L230" s="43" t="s">
        <v>958</v>
      </c>
      <c r="M230" s="43" t="s">
        <v>855</v>
      </c>
      <c r="N230" s="43" t="s">
        <v>617</v>
      </c>
      <c r="O230" s="43" t="s">
        <v>626</v>
      </c>
      <c r="P230" s="43" t="s">
        <v>714</v>
      </c>
      <c r="Q230" s="43" t="s">
        <v>2209</v>
      </c>
      <c r="R230" s="43" t="s">
        <v>2210</v>
      </c>
      <c r="S230" s="43" t="s">
        <v>893</v>
      </c>
      <c r="T230" s="43"/>
      <c r="U230" s="43"/>
      <c r="V230" s="43"/>
      <c r="W230" s="43"/>
      <c r="X230" s="43"/>
      <c r="Y230" s="43"/>
      <c r="Z230" s="43"/>
    </row>
    <row r="231" spans="1:26" ht="15.75" customHeight="1" x14ac:dyDescent="0.25">
      <c r="A231" s="43" t="s">
        <v>313</v>
      </c>
      <c r="B231" s="43" t="s">
        <v>2211</v>
      </c>
      <c r="C231" s="43" t="s">
        <v>2212</v>
      </c>
      <c r="D231" s="43" t="s">
        <v>617</v>
      </c>
      <c r="E231" s="43" t="s">
        <v>2213</v>
      </c>
      <c r="F231" s="43" t="s">
        <v>619</v>
      </c>
      <c r="G231" s="43" t="s">
        <v>2214</v>
      </c>
      <c r="H231" s="43" t="s">
        <v>735</v>
      </c>
      <c r="I231" s="43" t="s">
        <v>2215</v>
      </c>
      <c r="J231" s="43" t="s">
        <v>87</v>
      </c>
      <c r="K231" s="43" t="s">
        <v>623</v>
      </c>
      <c r="L231" s="43" t="s">
        <v>2216</v>
      </c>
      <c r="M231" s="43" t="s">
        <v>625</v>
      </c>
      <c r="N231" s="43" t="s">
        <v>617</v>
      </c>
      <c r="O231" s="43" t="s">
        <v>626</v>
      </c>
      <c r="P231" s="43" t="s">
        <v>899</v>
      </c>
      <c r="Q231" s="43" t="s">
        <v>2217</v>
      </c>
      <c r="R231" s="43" t="s">
        <v>2218</v>
      </c>
      <c r="S231" s="43" t="s">
        <v>648</v>
      </c>
      <c r="T231" s="43"/>
      <c r="U231" s="43"/>
      <c r="V231" s="43"/>
      <c r="W231" s="43"/>
      <c r="X231" s="43"/>
      <c r="Y231" s="43"/>
      <c r="Z231" s="43"/>
    </row>
    <row r="232" spans="1:26" ht="15.75" customHeight="1" x14ac:dyDescent="0.25">
      <c r="A232" s="43" t="s">
        <v>314</v>
      </c>
      <c r="B232" s="43" t="s">
        <v>2219</v>
      </c>
      <c r="C232" s="43" t="s">
        <v>2220</v>
      </c>
      <c r="D232" s="43" t="s">
        <v>617</v>
      </c>
      <c r="E232" s="43" t="s">
        <v>2221</v>
      </c>
      <c r="F232" s="43" t="s">
        <v>619</v>
      </c>
      <c r="G232" s="43" t="s">
        <v>2222</v>
      </c>
      <c r="H232" s="43" t="s">
        <v>735</v>
      </c>
      <c r="I232" s="43" t="s">
        <v>2223</v>
      </c>
      <c r="J232" s="43" t="s">
        <v>85</v>
      </c>
      <c r="K232" s="43" t="s">
        <v>623</v>
      </c>
      <c r="L232" s="43" t="s">
        <v>1793</v>
      </c>
      <c r="M232" s="43" t="s">
        <v>1794</v>
      </c>
      <c r="N232" s="43" t="s">
        <v>617</v>
      </c>
      <c r="O232" s="43" t="s">
        <v>626</v>
      </c>
      <c r="P232" s="43" t="s">
        <v>2224</v>
      </c>
      <c r="Q232" s="43" t="s">
        <v>2225</v>
      </c>
      <c r="R232" s="43" t="s">
        <v>2226</v>
      </c>
      <c r="S232" s="43" t="s">
        <v>629</v>
      </c>
      <c r="T232" s="43"/>
      <c r="U232" s="43"/>
      <c r="V232" s="43"/>
      <c r="W232" s="43"/>
      <c r="X232" s="43"/>
      <c r="Y232" s="43"/>
      <c r="Z232" s="43"/>
    </row>
    <row r="233" spans="1:26" ht="15.75" customHeight="1" x14ac:dyDescent="0.25">
      <c r="A233" s="43" t="s">
        <v>315</v>
      </c>
      <c r="B233" s="43" t="s">
        <v>2227</v>
      </c>
      <c r="C233" s="43" t="s">
        <v>2228</v>
      </c>
      <c r="D233" s="43" t="s">
        <v>617</v>
      </c>
      <c r="E233" s="43" t="s">
        <v>1251</v>
      </c>
      <c r="F233" s="43" t="s">
        <v>619</v>
      </c>
      <c r="G233" s="43" t="s">
        <v>2229</v>
      </c>
      <c r="H233" s="43" t="s">
        <v>653</v>
      </c>
      <c r="I233" s="43" t="s">
        <v>1267</v>
      </c>
      <c r="J233" s="43" t="s">
        <v>87</v>
      </c>
      <c r="K233" s="43" t="s">
        <v>623</v>
      </c>
      <c r="L233" s="43" t="s">
        <v>1793</v>
      </c>
      <c r="M233" s="43" t="s">
        <v>1794</v>
      </c>
      <c r="N233" s="43" t="s">
        <v>617</v>
      </c>
      <c r="O233" s="43" t="s">
        <v>626</v>
      </c>
      <c r="P233" s="43" t="s">
        <v>1082</v>
      </c>
      <c r="Q233" s="43" t="s">
        <v>2230</v>
      </c>
      <c r="R233" s="43" t="s">
        <v>1123</v>
      </c>
      <c r="S233" s="43" t="s">
        <v>629</v>
      </c>
      <c r="T233" s="43"/>
      <c r="U233" s="43"/>
      <c r="V233" s="43"/>
      <c r="W233" s="43"/>
      <c r="X233" s="43"/>
      <c r="Y233" s="43"/>
      <c r="Z233" s="43"/>
    </row>
    <row r="234" spans="1:26" ht="15.75" customHeight="1" x14ac:dyDescent="0.25">
      <c r="A234" s="43" t="s">
        <v>316</v>
      </c>
      <c r="B234" s="43" t="s">
        <v>2231</v>
      </c>
      <c r="C234" s="43" t="s">
        <v>2232</v>
      </c>
      <c r="D234" s="43" t="s">
        <v>617</v>
      </c>
      <c r="E234" s="43" t="s">
        <v>2233</v>
      </c>
      <c r="F234" s="43" t="s">
        <v>619</v>
      </c>
      <c r="G234" s="43" t="s">
        <v>1061</v>
      </c>
      <c r="H234" s="43" t="s">
        <v>653</v>
      </c>
      <c r="I234" s="43" t="s">
        <v>2234</v>
      </c>
      <c r="J234" s="43" t="s">
        <v>86</v>
      </c>
      <c r="K234" s="43" t="s">
        <v>623</v>
      </c>
      <c r="L234" s="43" t="s">
        <v>809</v>
      </c>
      <c r="M234" s="43" t="s">
        <v>744</v>
      </c>
      <c r="N234" s="43" t="s">
        <v>617</v>
      </c>
      <c r="O234" s="43" t="s">
        <v>626</v>
      </c>
      <c r="P234" s="43" t="s">
        <v>810</v>
      </c>
      <c r="Q234" s="43" t="s">
        <v>2235</v>
      </c>
      <c r="R234" s="43" t="s">
        <v>2236</v>
      </c>
      <c r="S234" s="43" t="s">
        <v>629</v>
      </c>
      <c r="T234" s="43"/>
      <c r="U234" s="43"/>
      <c r="V234" s="43"/>
      <c r="W234" s="43"/>
      <c r="X234" s="43"/>
      <c r="Y234" s="43"/>
      <c r="Z234" s="43"/>
    </row>
    <row r="235" spans="1:26" ht="15.75" customHeight="1" x14ac:dyDescent="0.25">
      <c r="A235" s="43" t="s">
        <v>317</v>
      </c>
      <c r="B235" s="43" t="s">
        <v>2237</v>
      </c>
      <c r="C235" s="43" t="s">
        <v>2238</v>
      </c>
      <c r="D235" s="43" t="s">
        <v>617</v>
      </c>
      <c r="E235" s="43" t="s">
        <v>2239</v>
      </c>
      <c r="F235" s="43" t="s">
        <v>619</v>
      </c>
      <c r="G235" s="43" t="s">
        <v>2240</v>
      </c>
      <c r="H235" s="43" t="s">
        <v>653</v>
      </c>
      <c r="I235" s="43" t="s">
        <v>2241</v>
      </c>
      <c r="J235" s="43" t="s">
        <v>86</v>
      </c>
      <c r="K235" s="43" t="s">
        <v>623</v>
      </c>
      <c r="L235" s="43" t="s">
        <v>1305</v>
      </c>
      <c r="M235" s="43" t="s">
        <v>744</v>
      </c>
      <c r="N235" s="43" t="s">
        <v>617</v>
      </c>
      <c r="O235" s="43" t="s">
        <v>626</v>
      </c>
      <c r="P235" s="43" t="s">
        <v>810</v>
      </c>
      <c r="Q235" s="43" t="s">
        <v>2242</v>
      </c>
      <c r="R235" s="43" t="s">
        <v>4526</v>
      </c>
      <c r="S235" s="43" t="s">
        <v>648</v>
      </c>
      <c r="T235" s="43"/>
      <c r="U235" s="43"/>
      <c r="V235" s="43"/>
      <c r="W235" s="43"/>
      <c r="X235" s="43"/>
      <c r="Y235" s="43"/>
      <c r="Z235" s="43"/>
    </row>
    <row r="236" spans="1:26" ht="15.75" customHeight="1" x14ac:dyDescent="0.25">
      <c r="A236" s="43" t="s">
        <v>318</v>
      </c>
      <c r="B236" s="43" t="s">
        <v>2243</v>
      </c>
      <c r="C236" s="43" t="s">
        <v>2244</v>
      </c>
      <c r="D236" s="43" t="s">
        <v>2245</v>
      </c>
      <c r="E236" s="43" t="s">
        <v>2089</v>
      </c>
      <c r="F236" s="43" t="s">
        <v>619</v>
      </c>
      <c r="G236" s="43" t="s">
        <v>2246</v>
      </c>
      <c r="H236" s="43" t="s">
        <v>735</v>
      </c>
      <c r="I236" s="43" t="s">
        <v>840</v>
      </c>
      <c r="J236" s="43" t="s">
        <v>928</v>
      </c>
      <c r="K236" s="43" t="s">
        <v>101</v>
      </c>
      <c r="L236" s="43" t="s">
        <v>1358</v>
      </c>
      <c r="M236" s="43" t="s">
        <v>855</v>
      </c>
      <c r="N236" s="43" t="s">
        <v>617</v>
      </c>
      <c r="O236" s="43" t="s">
        <v>626</v>
      </c>
      <c r="P236" s="43" t="s">
        <v>2247</v>
      </c>
      <c r="Q236" s="43" t="s">
        <v>2248</v>
      </c>
      <c r="R236" s="43" t="s">
        <v>2249</v>
      </c>
      <c r="S236" s="43" t="s">
        <v>629</v>
      </c>
      <c r="T236" s="43"/>
      <c r="U236" s="43"/>
      <c r="V236" s="43"/>
      <c r="W236" s="43"/>
      <c r="X236" s="43"/>
      <c r="Y236" s="43"/>
      <c r="Z236" s="43"/>
    </row>
    <row r="237" spans="1:26" ht="15.75" customHeight="1" x14ac:dyDescent="0.25">
      <c r="A237" s="43" t="s">
        <v>319</v>
      </c>
      <c r="B237" s="43" t="s">
        <v>2250</v>
      </c>
      <c r="C237" s="43" t="s">
        <v>2251</v>
      </c>
      <c r="D237" s="43" t="s">
        <v>617</v>
      </c>
      <c r="E237" s="43" t="s">
        <v>1079</v>
      </c>
      <c r="F237" s="43" t="s">
        <v>619</v>
      </c>
      <c r="G237" s="43" t="s">
        <v>2252</v>
      </c>
      <c r="H237" s="43" t="s">
        <v>653</v>
      </c>
      <c r="I237" s="43" t="s">
        <v>2253</v>
      </c>
      <c r="J237" s="43" t="s">
        <v>87</v>
      </c>
      <c r="K237" s="43" t="s">
        <v>623</v>
      </c>
      <c r="L237" s="43" t="s">
        <v>2254</v>
      </c>
      <c r="M237" s="43" t="s">
        <v>1113</v>
      </c>
      <c r="N237" s="43" t="s">
        <v>617</v>
      </c>
      <c r="O237" s="43" t="s">
        <v>626</v>
      </c>
      <c r="P237" s="43" t="s">
        <v>1114</v>
      </c>
      <c r="Q237" s="43" t="s">
        <v>2255</v>
      </c>
      <c r="R237" s="43" t="s">
        <v>2256</v>
      </c>
      <c r="S237" s="43" t="s">
        <v>648</v>
      </c>
      <c r="T237" s="43"/>
      <c r="U237" s="43"/>
      <c r="V237" s="43"/>
      <c r="W237" s="43"/>
      <c r="X237" s="43"/>
      <c r="Y237" s="43"/>
      <c r="Z237" s="43"/>
    </row>
    <row r="238" spans="1:26" ht="15.75" customHeight="1" x14ac:dyDescent="0.25">
      <c r="A238" s="43" t="s">
        <v>320</v>
      </c>
      <c r="B238" s="43" t="s">
        <v>2257</v>
      </c>
      <c r="C238" s="43" t="s">
        <v>2258</v>
      </c>
      <c r="D238" s="43" t="s">
        <v>2259</v>
      </c>
      <c r="E238" s="43" t="s">
        <v>2260</v>
      </c>
      <c r="F238" s="43" t="s">
        <v>619</v>
      </c>
      <c r="G238" s="43" t="s">
        <v>2261</v>
      </c>
      <c r="H238" s="43" t="s">
        <v>2262</v>
      </c>
      <c r="I238" s="43" t="s">
        <v>2263</v>
      </c>
      <c r="J238" s="43" t="s">
        <v>1123</v>
      </c>
      <c r="K238" s="43" t="s">
        <v>1123</v>
      </c>
      <c r="L238" s="43" t="s">
        <v>2263</v>
      </c>
      <c r="M238" s="43" t="s">
        <v>2264</v>
      </c>
      <c r="N238" s="43" t="s">
        <v>2265</v>
      </c>
      <c r="O238" s="43" t="s">
        <v>2266</v>
      </c>
      <c r="P238" s="43" t="s">
        <v>2267</v>
      </c>
      <c r="Q238" s="43" t="s">
        <v>2268</v>
      </c>
      <c r="R238" s="43" t="s">
        <v>2269</v>
      </c>
      <c r="S238" s="43" t="s">
        <v>648</v>
      </c>
      <c r="T238" s="43"/>
      <c r="U238" s="43"/>
      <c r="V238" s="43"/>
      <c r="W238" s="43"/>
      <c r="X238" s="43"/>
      <c r="Y238" s="43"/>
      <c r="Z238" s="43"/>
    </row>
    <row r="239" spans="1:26" ht="15.75" customHeight="1" x14ac:dyDescent="0.25">
      <c r="A239" s="43" t="s">
        <v>321</v>
      </c>
      <c r="B239" s="43" t="s">
        <v>2270</v>
      </c>
      <c r="C239" s="43" t="s">
        <v>2271</v>
      </c>
      <c r="D239" s="43" t="s">
        <v>617</v>
      </c>
      <c r="E239" s="43" t="s">
        <v>1423</v>
      </c>
      <c r="F239" s="43" t="s">
        <v>619</v>
      </c>
      <c r="G239" s="43" t="s">
        <v>2272</v>
      </c>
      <c r="H239" s="43" t="s">
        <v>653</v>
      </c>
      <c r="I239" s="43" t="s">
        <v>2273</v>
      </c>
      <c r="J239" s="43" t="s">
        <v>89</v>
      </c>
      <c r="K239" s="43" t="s">
        <v>623</v>
      </c>
      <c r="L239" s="43" t="s">
        <v>743</v>
      </c>
      <c r="M239" s="43" t="s">
        <v>744</v>
      </c>
      <c r="N239" s="43" t="s">
        <v>617</v>
      </c>
      <c r="O239" s="43" t="s">
        <v>626</v>
      </c>
      <c r="P239" s="43" t="s">
        <v>810</v>
      </c>
      <c r="Q239" s="43" t="s">
        <v>2274</v>
      </c>
      <c r="R239" s="43" t="s">
        <v>1123</v>
      </c>
      <c r="S239" s="43" t="s">
        <v>648</v>
      </c>
      <c r="T239" s="43"/>
      <c r="U239" s="43"/>
      <c r="V239" s="43"/>
      <c r="W239" s="43"/>
      <c r="X239" s="43"/>
      <c r="Y239" s="43"/>
      <c r="Z239" s="43"/>
    </row>
    <row r="240" spans="1:26" ht="15.75" customHeight="1" x14ac:dyDescent="0.25">
      <c r="A240" s="43" t="s">
        <v>322</v>
      </c>
      <c r="B240" s="43" t="s">
        <v>2275</v>
      </c>
      <c r="C240" s="43" t="s">
        <v>2276</v>
      </c>
      <c r="D240" s="43" t="s">
        <v>617</v>
      </c>
      <c r="E240" s="43" t="s">
        <v>669</v>
      </c>
      <c r="F240" s="43" t="s">
        <v>619</v>
      </c>
      <c r="G240" s="43" t="s">
        <v>2277</v>
      </c>
      <c r="H240" s="43" t="s">
        <v>653</v>
      </c>
      <c r="I240" s="43" t="s">
        <v>957</v>
      </c>
      <c r="J240" s="43" t="s">
        <v>86</v>
      </c>
      <c r="K240" s="43"/>
      <c r="L240" s="43" t="s">
        <v>1001</v>
      </c>
      <c r="M240" s="43" t="s">
        <v>744</v>
      </c>
      <c r="N240" s="43" t="s">
        <v>617</v>
      </c>
      <c r="O240" s="43" t="s">
        <v>626</v>
      </c>
      <c r="P240" s="43" t="s">
        <v>810</v>
      </c>
      <c r="Q240" s="43" t="s">
        <v>2278</v>
      </c>
      <c r="R240" s="43" t="s">
        <v>2278</v>
      </c>
      <c r="S240" s="43" t="s">
        <v>648</v>
      </c>
      <c r="T240" s="43"/>
      <c r="U240" s="43"/>
      <c r="V240" s="43"/>
      <c r="W240" s="43"/>
      <c r="X240" s="43"/>
      <c r="Y240" s="43"/>
      <c r="Z240" s="43"/>
    </row>
    <row r="241" spans="1:26" ht="15.75" customHeight="1" x14ac:dyDescent="0.25">
      <c r="A241" s="43" t="s">
        <v>323</v>
      </c>
      <c r="B241" s="43" t="s">
        <v>2279</v>
      </c>
      <c r="C241" s="43" t="s">
        <v>2280</v>
      </c>
      <c r="D241" s="43" t="s">
        <v>2281</v>
      </c>
      <c r="E241" s="43" t="s">
        <v>2282</v>
      </c>
      <c r="F241" s="43" t="s">
        <v>619</v>
      </c>
      <c r="G241" s="43" t="s">
        <v>2283</v>
      </c>
      <c r="H241" s="43" t="s">
        <v>735</v>
      </c>
      <c r="I241" s="43" t="s">
        <v>2284</v>
      </c>
      <c r="J241" s="43" t="s">
        <v>88</v>
      </c>
      <c r="K241" s="43" t="s">
        <v>623</v>
      </c>
      <c r="L241" s="43" t="s">
        <v>644</v>
      </c>
      <c r="M241" s="43" t="s">
        <v>645</v>
      </c>
      <c r="N241" s="43" t="s">
        <v>617</v>
      </c>
      <c r="O241" s="43" t="s">
        <v>626</v>
      </c>
      <c r="P241" s="43" t="s">
        <v>2285</v>
      </c>
      <c r="Q241" s="43" t="s">
        <v>2286</v>
      </c>
      <c r="R241" s="43" t="s">
        <v>2287</v>
      </c>
      <c r="S241" s="43" t="s">
        <v>648</v>
      </c>
      <c r="T241" s="43"/>
      <c r="U241" s="43"/>
      <c r="V241" s="43"/>
      <c r="W241" s="43"/>
      <c r="X241" s="43"/>
      <c r="Y241" s="43"/>
      <c r="Z241" s="43"/>
    </row>
    <row r="242" spans="1:26" ht="15.75" customHeight="1" x14ac:dyDescent="0.25">
      <c r="A242" s="43" t="s">
        <v>324</v>
      </c>
      <c r="B242" s="43" t="s">
        <v>2288</v>
      </c>
      <c r="C242" s="43" t="s">
        <v>2289</v>
      </c>
      <c r="D242" s="43" t="s">
        <v>617</v>
      </c>
      <c r="E242" s="43" t="s">
        <v>1875</v>
      </c>
      <c r="F242" s="43" t="s">
        <v>619</v>
      </c>
      <c r="G242" s="43" t="s">
        <v>2290</v>
      </c>
      <c r="H242" s="43" t="s">
        <v>735</v>
      </c>
      <c r="I242" s="43" t="s">
        <v>2291</v>
      </c>
      <c r="J242" s="43" t="s">
        <v>86</v>
      </c>
      <c r="K242" s="43" t="s">
        <v>623</v>
      </c>
      <c r="L242" s="43" t="s">
        <v>1482</v>
      </c>
      <c r="M242" s="43" t="s">
        <v>794</v>
      </c>
      <c r="N242" s="43" t="s">
        <v>617</v>
      </c>
      <c r="O242" s="43" t="s">
        <v>626</v>
      </c>
      <c r="P242" s="43" t="s">
        <v>2292</v>
      </c>
      <c r="Q242" s="43" t="s">
        <v>2293</v>
      </c>
      <c r="R242" s="43" t="s">
        <v>2293</v>
      </c>
      <c r="S242" s="43" t="s">
        <v>648</v>
      </c>
      <c r="T242" s="43"/>
      <c r="U242" s="43"/>
      <c r="V242" s="43"/>
      <c r="W242" s="43"/>
      <c r="X242" s="43"/>
      <c r="Y242" s="43"/>
      <c r="Z242" s="43"/>
    </row>
    <row r="243" spans="1:26" ht="15.75" customHeight="1" x14ac:dyDescent="0.25">
      <c r="A243" s="43" t="s">
        <v>325</v>
      </c>
      <c r="B243" s="43" t="s">
        <v>2294</v>
      </c>
      <c r="C243" s="43" t="s">
        <v>2295</v>
      </c>
      <c r="D243" s="43" t="s">
        <v>962</v>
      </c>
      <c r="E243" s="43" t="s">
        <v>2296</v>
      </c>
      <c r="F243" s="43" t="s">
        <v>619</v>
      </c>
      <c r="G243" s="43" t="s">
        <v>2297</v>
      </c>
      <c r="H243" s="43" t="s">
        <v>735</v>
      </c>
      <c r="I243" s="43" t="s">
        <v>2298</v>
      </c>
      <c r="J243" s="43" t="s">
        <v>1227</v>
      </c>
      <c r="K243" s="43"/>
      <c r="L243" s="43" t="s">
        <v>854</v>
      </c>
      <c r="M243" s="43" t="s">
        <v>855</v>
      </c>
      <c r="N243" s="43" t="s">
        <v>617</v>
      </c>
      <c r="O243" s="43" t="s">
        <v>626</v>
      </c>
      <c r="P243" s="43" t="s">
        <v>646</v>
      </c>
      <c r="Q243" s="43" t="s">
        <v>2299</v>
      </c>
      <c r="R243" s="43" t="s">
        <v>2300</v>
      </c>
      <c r="S243" s="43" t="s">
        <v>730</v>
      </c>
      <c r="T243" s="43"/>
      <c r="U243" s="43"/>
      <c r="V243" s="43"/>
      <c r="W243" s="43"/>
      <c r="X243" s="43"/>
      <c r="Y243" s="43"/>
      <c r="Z243" s="43"/>
    </row>
    <row r="244" spans="1:26" ht="15.75" customHeight="1" x14ac:dyDescent="0.25">
      <c r="A244" s="43" t="s">
        <v>326</v>
      </c>
      <c r="B244" s="43" t="s">
        <v>2301</v>
      </c>
      <c r="C244" s="43" t="s">
        <v>2302</v>
      </c>
      <c r="D244" s="43" t="s">
        <v>2303</v>
      </c>
      <c r="E244" s="43" t="s">
        <v>2304</v>
      </c>
      <c r="F244" s="43" t="s">
        <v>619</v>
      </c>
      <c r="G244" s="43" t="s">
        <v>2305</v>
      </c>
      <c r="H244" s="43" t="s">
        <v>735</v>
      </c>
      <c r="I244" s="43" t="s">
        <v>2306</v>
      </c>
      <c r="J244" s="43" t="s">
        <v>88</v>
      </c>
      <c r="K244" s="43" t="s">
        <v>88</v>
      </c>
      <c r="L244" s="43" t="s">
        <v>2307</v>
      </c>
      <c r="M244" s="43" t="s">
        <v>2308</v>
      </c>
      <c r="N244" s="43" t="s">
        <v>885</v>
      </c>
      <c r="O244" s="43" t="s">
        <v>626</v>
      </c>
      <c r="P244" s="43" t="s">
        <v>2309</v>
      </c>
      <c r="Q244" s="43" t="s">
        <v>2310</v>
      </c>
      <c r="R244" s="43" t="s">
        <v>2311</v>
      </c>
      <c r="S244" s="43" t="s">
        <v>730</v>
      </c>
      <c r="T244" s="43"/>
      <c r="U244" s="43"/>
      <c r="V244" s="43"/>
      <c r="W244" s="43"/>
      <c r="X244" s="43"/>
      <c r="Y244" s="43"/>
      <c r="Z244" s="43"/>
    </row>
    <row r="245" spans="1:26" ht="15.75" customHeight="1" x14ac:dyDescent="0.25">
      <c r="A245" s="43" t="s">
        <v>327</v>
      </c>
      <c r="B245" s="43" t="s">
        <v>2312</v>
      </c>
      <c r="C245" s="43" t="s">
        <v>2313</v>
      </c>
      <c r="D245" s="43" t="s">
        <v>617</v>
      </c>
      <c r="E245" s="43" t="s">
        <v>2314</v>
      </c>
      <c r="F245" s="43" t="s">
        <v>619</v>
      </c>
      <c r="G245" s="43" t="s">
        <v>2315</v>
      </c>
      <c r="H245" s="43" t="s">
        <v>653</v>
      </c>
      <c r="I245" s="43" t="s">
        <v>2316</v>
      </c>
      <c r="J245" s="43" t="s">
        <v>84</v>
      </c>
      <c r="K245" s="43" t="s">
        <v>114</v>
      </c>
      <c r="L245" s="43" t="s">
        <v>2317</v>
      </c>
      <c r="M245" s="43" t="s">
        <v>2318</v>
      </c>
      <c r="N245" s="43" t="s">
        <v>828</v>
      </c>
      <c r="O245" s="43" t="s">
        <v>626</v>
      </c>
      <c r="P245" s="43" t="s">
        <v>2319</v>
      </c>
      <c r="Q245" s="43" t="s">
        <v>2320</v>
      </c>
      <c r="R245" s="43" t="s">
        <v>2320</v>
      </c>
      <c r="S245" s="43" t="s">
        <v>648</v>
      </c>
      <c r="T245" s="43"/>
      <c r="U245" s="43"/>
      <c r="V245" s="43"/>
      <c r="W245" s="43"/>
      <c r="X245" s="43"/>
      <c r="Y245" s="43"/>
      <c r="Z245" s="43"/>
    </row>
    <row r="246" spans="1:26" ht="15.75" customHeight="1" x14ac:dyDescent="0.25">
      <c r="A246" s="43" t="s">
        <v>328</v>
      </c>
      <c r="B246" s="43" t="s">
        <v>2321</v>
      </c>
      <c r="C246" s="43" t="s">
        <v>2322</v>
      </c>
      <c r="D246" s="43" t="s">
        <v>962</v>
      </c>
      <c r="E246" s="43" t="s">
        <v>2323</v>
      </c>
      <c r="F246" s="43" t="s">
        <v>619</v>
      </c>
      <c r="G246" s="43" t="s">
        <v>2324</v>
      </c>
      <c r="H246" s="43" t="s">
        <v>735</v>
      </c>
      <c r="I246" s="43" t="s">
        <v>2325</v>
      </c>
      <c r="J246" s="43" t="s">
        <v>85</v>
      </c>
      <c r="K246" s="43" t="s">
        <v>623</v>
      </c>
      <c r="L246" s="43" t="s">
        <v>854</v>
      </c>
      <c r="M246" s="43" t="s">
        <v>855</v>
      </c>
      <c r="N246" s="43" t="s">
        <v>617</v>
      </c>
      <c r="O246" s="43" t="s">
        <v>626</v>
      </c>
      <c r="P246" s="43" t="s">
        <v>2326</v>
      </c>
      <c r="Q246" s="43" t="s">
        <v>2327</v>
      </c>
      <c r="R246" s="43" t="s">
        <v>2327</v>
      </c>
      <c r="S246" s="43" t="s">
        <v>648</v>
      </c>
      <c r="T246" s="43"/>
      <c r="U246" s="43"/>
      <c r="V246" s="43"/>
      <c r="W246" s="43"/>
      <c r="X246" s="43"/>
      <c r="Y246" s="43"/>
      <c r="Z246" s="43"/>
    </row>
    <row r="247" spans="1:26" ht="15.75" customHeight="1" x14ac:dyDescent="0.25">
      <c r="A247" s="43" t="s">
        <v>329</v>
      </c>
      <c r="B247" s="43" t="s">
        <v>2328</v>
      </c>
      <c r="C247" s="43" t="s">
        <v>2329</v>
      </c>
      <c r="D247" s="43" t="s">
        <v>617</v>
      </c>
      <c r="E247" s="43" t="s">
        <v>2330</v>
      </c>
      <c r="F247" s="43" t="s">
        <v>619</v>
      </c>
      <c r="G247" s="43" t="s">
        <v>860</v>
      </c>
      <c r="H247" s="43" t="s">
        <v>653</v>
      </c>
      <c r="I247" s="43" t="s">
        <v>2156</v>
      </c>
      <c r="J247" s="43" t="s">
        <v>87</v>
      </c>
      <c r="K247" s="43" t="s">
        <v>623</v>
      </c>
      <c r="L247" s="43" t="s">
        <v>1380</v>
      </c>
      <c r="M247" s="43" t="s">
        <v>645</v>
      </c>
      <c r="N247" s="43" t="s">
        <v>617</v>
      </c>
      <c r="O247" s="43" t="s">
        <v>626</v>
      </c>
      <c r="P247" s="43" t="s">
        <v>1537</v>
      </c>
      <c r="Q247" s="43" t="s">
        <v>2331</v>
      </c>
      <c r="R247" s="43" t="s">
        <v>2332</v>
      </c>
      <c r="S247" s="43" t="s">
        <v>629</v>
      </c>
      <c r="T247" s="43"/>
      <c r="U247" s="43"/>
      <c r="V247" s="43"/>
      <c r="W247" s="43"/>
      <c r="X247" s="43"/>
      <c r="Y247" s="43"/>
      <c r="Z247" s="43"/>
    </row>
    <row r="248" spans="1:26" ht="15.75" customHeight="1" x14ac:dyDescent="0.25">
      <c r="A248" s="43" t="s">
        <v>330</v>
      </c>
      <c r="B248" s="43" t="s">
        <v>2333</v>
      </c>
      <c r="C248" s="43" t="s">
        <v>2334</v>
      </c>
      <c r="D248" s="43" t="s">
        <v>617</v>
      </c>
      <c r="E248" s="43" t="s">
        <v>2335</v>
      </c>
      <c r="F248" s="43" t="s">
        <v>619</v>
      </c>
      <c r="G248" s="43" t="s">
        <v>2336</v>
      </c>
      <c r="H248" s="43" t="s">
        <v>735</v>
      </c>
      <c r="I248" s="43" t="s">
        <v>2337</v>
      </c>
      <c r="J248" s="43" t="s">
        <v>84</v>
      </c>
      <c r="K248" s="43" t="s">
        <v>623</v>
      </c>
      <c r="L248" s="43" t="s">
        <v>898</v>
      </c>
      <c r="M248" s="43" t="s">
        <v>794</v>
      </c>
      <c r="N248" s="43" t="s">
        <v>617</v>
      </c>
      <c r="O248" s="43" t="s">
        <v>626</v>
      </c>
      <c r="P248" s="43" t="s">
        <v>899</v>
      </c>
      <c r="Q248" s="43" t="s">
        <v>2338</v>
      </c>
      <c r="R248" s="43" t="s">
        <v>2339</v>
      </c>
      <c r="S248" s="43" t="s">
        <v>648</v>
      </c>
      <c r="T248" s="43"/>
      <c r="U248" s="43"/>
      <c r="V248" s="43"/>
      <c r="W248" s="43"/>
      <c r="X248" s="43"/>
      <c r="Y248" s="43"/>
      <c r="Z248" s="43"/>
    </row>
    <row r="249" spans="1:26" ht="15.75" customHeight="1" x14ac:dyDescent="0.25">
      <c r="A249" s="43" t="s">
        <v>331</v>
      </c>
      <c r="B249" s="43" t="s">
        <v>2340</v>
      </c>
      <c r="C249" s="43" t="s">
        <v>2341</v>
      </c>
      <c r="D249" s="43" t="s">
        <v>962</v>
      </c>
      <c r="E249" s="43" t="s">
        <v>2342</v>
      </c>
      <c r="F249" s="43" t="s">
        <v>619</v>
      </c>
      <c r="G249" s="43" t="s">
        <v>2343</v>
      </c>
      <c r="H249" s="43" t="s">
        <v>735</v>
      </c>
      <c r="I249" s="43" t="s">
        <v>2344</v>
      </c>
      <c r="J249" s="43" t="s">
        <v>1101</v>
      </c>
      <c r="K249" s="43" t="s">
        <v>623</v>
      </c>
      <c r="L249" s="43" t="s">
        <v>1380</v>
      </c>
      <c r="M249" s="43" t="s">
        <v>645</v>
      </c>
      <c r="N249" s="43" t="s">
        <v>617</v>
      </c>
      <c r="O249" s="43" t="s">
        <v>626</v>
      </c>
      <c r="P249" s="43" t="s">
        <v>2345</v>
      </c>
      <c r="Q249" s="43" t="s">
        <v>2346</v>
      </c>
      <c r="R249" s="43" t="s">
        <v>2347</v>
      </c>
      <c r="S249" s="43" t="s">
        <v>1271</v>
      </c>
      <c r="T249" s="43"/>
      <c r="U249" s="43"/>
      <c r="V249" s="43"/>
      <c r="W249" s="43"/>
      <c r="X249" s="43"/>
      <c r="Y249" s="43"/>
      <c r="Z249" s="43"/>
    </row>
    <row r="250" spans="1:26" ht="15.75" customHeight="1" x14ac:dyDescent="0.25">
      <c r="A250" s="43" t="s">
        <v>332</v>
      </c>
      <c r="B250" s="43" t="s">
        <v>2348</v>
      </c>
      <c r="C250" s="43" t="s">
        <v>2349</v>
      </c>
      <c r="D250" s="43" t="s">
        <v>617</v>
      </c>
      <c r="E250" s="43" t="s">
        <v>2323</v>
      </c>
      <c r="F250" s="43" t="s">
        <v>619</v>
      </c>
      <c r="G250" s="43" t="s">
        <v>2350</v>
      </c>
      <c r="H250" s="43" t="s">
        <v>621</v>
      </c>
      <c r="I250" s="43" t="s">
        <v>2351</v>
      </c>
      <c r="J250" s="43" t="s">
        <v>1304</v>
      </c>
      <c r="K250" s="43" t="s">
        <v>1102</v>
      </c>
      <c r="L250" s="43" t="s">
        <v>1380</v>
      </c>
      <c r="M250" s="43" t="s">
        <v>645</v>
      </c>
      <c r="N250" s="43" t="s">
        <v>617</v>
      </c>
      <c r="O250" s="43" t="s">
        <v>626</v>
      </c>
      <c r="P250" s="43" t="s">
        <v>967</v>
      </c>
      <c r="Q250" s="43" t="s">
        <v>2352</v>
      </c>
      <c r="R250" s="43" t="s">
        <v>2352</v>
      </c>
      <c r="S250" s="43" t="s">
        <v>730</v>
      </c>
      <c r="T250" s="43"/>
      <c r="U250" s="43"/>
      <c r="V250" s="43"/>
      <c r="W250" s="43"/>
      <c r="X250" s="43"/>
      <c r="Y250" s="43"/>
      <c r="Z250" s="43"/>
    </row>
    <row r="251" spans="1:26" ht="15.75" customHeight="1" x14ac:dyDescent="0.25">
      <c r="A251" s="43" t="s">
        <v>333</v>
      </c>
      <c r="B251" s="43" t="s">
        <v>2353</v>
      </c>
      <c r="C251" s="43" t="s">
        <v>2354</v>
      </c>
      <c r="D251" s="43" t="s">
        <v>1601</v>
      </c>
      <c r="E251" s="43" t="s">
        <v>2355</v>
      </c>
      <c r="F251" s="43" t="s">
        <v>619</v>
      </c>
      <c r="G251" s="43" t="s">
        <v>2356</v>
      </c>
      <c r="H251" s="43" t="s">
        <v>735</v>
      </c>
      <c r="I251" s="43" t="s">
        <v>2357</v>
      </c>
      <c r="J251" s="43" t="s">
        <v>2358</v>
      </c>
      <c r="K251" s="43" t="s">
        <v>1123</v>
      </c>
      <c r="L251" s="43" t="s">
        <v>1412</v>
      </c>
      <c r="M251" s="43" t="s">
        <v>645</v>
      </c>
      <c r="N251" s="43" t="s">
        <v>617</v>
      </c>
      <c r="O251" s="43" t="s">
        <v>626</v>
      </c>
      <c r="P251" s="43" t="s">
        <v>2359</v>
      </c>
      <c r="Q251" s="43" t="s">
        <v>2360</v>
      </c>
      <c r="R251" s="43" t="s">
        <v>2361</v>
      </c>
      <c r="S251" s="43" t="s">
        <v>648</v>
      </c>
      <c r="T251" s="43"/>
      <c r="U251" s="43"/>
      <c r="V251" s="43"/>
      <c r="W251" s="43"/>
      <c r="X251" s="43"/>
      <c r="Y251" s="43"/>
      <c r="Z251" s="43"/>
    </row>
    <row r="252" spans="1:26" ht="15.75" customHeight="1" x14ac:dyDescent="0.25">
      <c r="A252" s="43" t="s">
        <v>334</v>
      </c>
      <c r="B252" s="43" t="s">
        <v>2362</v>
      </c>
      <c r="C252" s="43" t="s">
        <v>2363</v>
      </c>
      <c r="D252" s="43" t="s">
        <v>617</v>
      </c>
      <c r="E252" s="43" t="s">
        <v>1479</v>
      </c>
      <c r="F252" s="43" t="s">
        <v>619</v>
      </c>
      <c r="G252" s="43" t="s">
        <v>2364</v>
      </c>
      <c r="H252" s="43" t="s">
        <v>735</v>
      </c>
      <c r="I252" s="43" t="s">
        <v>713</v>
      </c>
      <c r="J252" s="43" t="s">
        <v>90</v>
      </c>
      <c r="K252" s="43" t="s">
        <v>623</v>
      </c>
      <c r="L252" s="43" t="s">
        <v>680</v>
      </c>
      <c r="M252" s="43" t="s">
        <v>617</v>
      </c>
      <c r="N252" s="43" t="s">
        <v>617</v>
      </c>
      <c r="O252" s="43" t="s">
        <v>626</v>
      </c>
      <c r="P252" s="43" t="s">
        <v>2365</v>
      </c>
      <c r="Q252" s="43" t="s">
        <v>2366</v>
      </c>
      <c r="R252" s="43" t="s">
        <v>2367</v>
      </c>
      <c r="S252" s="43" t="s">
        <v>730</v>
      </c>
      <c r="T252" s="43"/>
      <c r="U252" s="43"/>
      <c r="V252" s="43"/>
      <c r="W252" s="43"/>
      <c r="X252" s="43"/>
      <c r="Y252" s="43"/>
      <c r="Z252" s="43"/>
    </row>
    <row r="253" spans="1:26" ht="15.75" customHeight="1" x14ac:dyDescent="0.25">
      <c r="A253" s="43" t="s">
        <v>335</v>
      </c>
      <c r="B253" s="43" t="s">
        <v>2368</v>
      </c>
      <c r="C253" s="43" t="s">
        <v>2369</v>
      </c>
      <c r="D253" s="43" t="s">
        <v>617</v>
      </c>
      <c r="E253" s="43" t="s">
        <v>2370</v>
      </c>
      <c r="F253" s="43" t="s">
        <v>619</v>
      </c>
      <c r="G253" s="43" t="s">
        <v>2371</v>
      </c>
      <c r="H253" s="43" t="s">
        <v>735</v>
      </c>
      <c r="I253" s="43" t="s">
        <v>2372</v>
      </c>
      <c r="J253" s="43" t="s">
        <v>1681</v>
      </c>
      <c r="K253" s="43" t="s">
        <v>1397</v>
      </c>
      <c r="L253" s="43" t="s">
        <v>2373</v>
      </c>
      <c r="M253" s="43" t="s">
        <v>1794</v>
      </c>
      <c r="N253" s="43" t="s">
        <v>617</v>
      </c>
      <c r="O253" s="43" t="s">
        <v>626</v>
      </c>
      <c r="P253" s="43" t="s">
        <v>2374</v>
      </c>
      <c r="Q253" s="43" t="s">
        <v>2375</v>
      </c>
      <c r="R253" s="43" t="s">
        <v>2375</v>
      </c>
      <c r="S253" s="43" t="s">
        <v>629</v>
      </c>
      <c r="T253" s="43"/>
      <c r="U253" s="43"/>
      <c r="V253" s="43"/>
      <c r="W253" s="43"/>
      <c r="X253" s="43"/>
      <c r="Y253" s="43"/>
      <c r="Z253" s="43"/>
    </row>
    <row r="254" spans="1:26" ht="15.75" customHeight="1" x14ac:dyDescent="0.25">
      <c r="A254" s="43" t="s">
        <v>336</v>
      </c>
      <c r="B254" s="43" t="s">
        <v>2376</v>
      </c>
      <c r="C254" s="43" t="s">
        <v>2377</v>
      </c>
      <c r="D254" s="43" t="s">
        <v>617</v>
      </c>
      <c r="E254" s="43" t="s">
        <v>2378</v>
      </c>
      <c r="F254" s="43" t="s">
        <v>619</v>
      </c>
      <c r="G254" s="43" t="s">
        <v>1686</v>
      </c>
      <c r="H254" s="43" t="s">
        <v>1292</v>
      </c>
      <c r="I254" s="43" t="s">
        <v>2379</v>
      </c>
      <c r="J254" s="43" t="s">
        <v>2084</v>
      </c>
      <c r="K254" s="43"/>
      <c r="L254" s="43" t="s">
        <v>644</v>
      </c>
      <c r="M254" s="43" t="s">
        <v>645</v>
      </c>
      <c r="N254" s="43" t="s">
        <v>617</v>
      </c>
      <c r="O254" s="43" t="s">
        <v>626</v>
      </c>
      <c r="P254" s="43" t="s">
        <v>2380</v>
      </c>
      <c r="Q254" s="43" t="s">
        <v>2381</v>
      </c>
      <c r="R254" s="43" t="s">
        <v>2382</v>
      </c>
      <c r="S254" s="43" t="s">
        <v>648</v>
      </c>
      <c r="T254" s="43"/>
      <c r="U254" s="43"/>
      <c r="V254" s="43"/>
      <c r="W254" s="43"/>
      <c r="X254" s="43"/>
      <c r="Y254" s="43"/>
      <c r="Z254" s="43"/>
    </row>
    <row r="255" spans="1:26" ht="15.75" customHeight="1" x14ac:dyDescent="0.25">
      <c r="A255" s="43" t="s">
        <v>337</v>
      </c>
      <c r="B255" s="43" t="s">
        <v>2383</v>
      </c>
      <c r="C255" s="43" t="s">
        <v>2384</v>
      </c>
      <c r="D255" s="43" t="s">
        <v>617</v>
      </c>
      <c r="E255" s="43" t="s">
        <v>1032</v>
      </c>
      <c r="F255" s="43" t="s">
        <v>740</v>
      </c>
      <c r="G255" s="43" t="s">
        <v>2385</v>
      </c>
      <c r="H255" s="43" t="s">
        <v>653</v>
      </c>
      <c r="I255" s="43" t="s">
        <v>2386</v>
      </c>
      <c r="J255" s="43" t="s">
        <v>141</v>
      </c>
      <c r="K255" s="43" t="s">
        <v>623</v>
      </c>
      <c r="L255" s="43" t="s">
        <v>1412</v>
      </c>
      <c r="M255" s="43" t="s">
        <v>645</v>
      </c>
      <c r="N255" s="43" t="s">
        <v>617</v>
      </c>
      <c r="O255" s="43" t="s">
        <v>626</v>
      </c>
      <c r="P255" s="43" t="s">
        <v>929</v>
      </c>
      <c r="Q255" s="43" t="s">
        <v>2387</v>
      </c>
      <c r="R255" s="43" t="s">
        <v>2388</v>
      </c>
      <c r="S255" s="43" t="s">
        <v>893</v>
      </c>
      <c r="T255" s="43"/>
      <c r="U255" s="43"/>
      <c r="V255" s="43"/>
      <c r="W255" s="43"/>
      <c r="X255" s="43"/>
      <c r="Y255" s="43"/>
      <c r="Z255" s="43"/>
    </row>
    <row r="256" spans="1:26" ht="15.75" customHeight="1" x14ac:dyDescent="0.25">
      <c r="A256" s="43" t="s">
        <v>338</v>
      </c>
      <c r="B256" s="43" t="s">
        <v>2389</v>
      </c>
      <c r="C256" s="43" t="s">
        <v>2390</v>
      </c>
      <c r="D256" s="43" t="s">
        <v>617</v>
      </c>
      <c r="E256" s="43" t="s">
        <v>2391</v>
      </c>
      <c r="F256" s="43" t="s">
        <v>619</v>
      </c>
      <c r="G256" s="43" t="s">
        <v>2392</v>
      </c>
      <c r="H256" s="43" t="s">
        <v>653</v>
      </c>
      <c r="I256" s="43" t="s">
        <v>2393</v>
      </c>
      <c r="J256" s="43" t="s">
        <v>85</v>
      </c>
      <c r="K256" s="43" t="s">
        <v>623</v>
      </c>
      <c r="L256" s="43" t="s">
        <v>898</v>
      </c>
      <c r="M256" s="43" t="s">
        <v>794</v>
      </c>
      <c r="N256" s="43" t="s">
        <v>617</v>
      </c>
      <c r="O256" s="43" t="s">
        <v>626</v>
      </c>
      <c r="P256" s="43" t="s">
        <v>2394</v>
      </c>
      <c r="Q256" s="43" t="s">
        <v>2395</v>
      </c>
      <c r="R256" s="43" t="s">
        <v>2396</v>
      </c>
      <c r="S256" s="43" t="s">
        <v>730</v>
      </c>
      <c r="T256" s="43"/>
      <c r="U256" s="43"/>
      <c r="V256" s="43"/>
      <c r="W256" s="43"/>
      <c r="X256" s="43"/>
      <c r="Y256" s="43"/>
      <c r="Z256" s="43"/>
    </row>
    <row r="257" spans="1:26" ht="15.75" customHeight="1" x14ac:dyDescent="0.25">
      <c r="A257" s="43" t="s">
        <v>339</v>
      </c>
      <c r="B257" s="43" t="s">
        <v>2397</v>
      </c>
      <c r="C257" s="43" t="s">
        <v>2398</v>
      </c>
      <c r="D257" s="43" t="s">
        <v>962</v>
      </c>
      <c r="E257" s="43" t="s">
        <v>2043</v>
      </c>
      <c r="F257" s="43" t="s">
        <v>619</v>
      </c>
      <c r="G257" s="43" t="s">
        <v>2399</v>
      </c>
      <c r="H257" s="43" t="s">
        <v>735</v>
      </c>
      <c r="I257" s="43" t="s">
        <v>1640</v>
      </c>
      <c r="J257" s="43" t="s">
        <v>90</v>
      </c>
      <c r="K257" s="43" t="s">
        <v>623</v>
      </c>
      <c r="L257" s="43" t="s">
        <v>898</v>
      </c>
      <c r="M257" s="43" t="s">
        <v>794</v>
      </c>
      <c r="N257" s="43" t="s">
        <v>617</v>
      </c>
      <c r="O257" s="43" t="s">
        <v>626</v>
      </c>
      <c r="P257" s="43" t="s">
        <v>1959</v>
      </c>
      <c r="Q257" s="43" t="s">
        <v>2400</v>
      </c>
      <c r="R257" s="43" t="s">
        <v>2401</v>
      </c>
      <c r="S257" s="43" t="s">
        <v>648</v>
      </c>
      <c r="T257" s="43"/>
      <c r="U257" s="43"/>
      <c r="V257" s="43"/>
      <c r="W257" s="43"/>
      <c r="X257" s="43"/>
      <c r="Y257" s="43"/>
      <c r="Z257" s="43"/>
    </row>
    <row r="258" spans="1:26" ht="15.75" customHeight="1" x14ac:dyDescent="0.25">
      <c r="A258" s="43" t="s">
        <v>340</v>
      </c>
      <c r="B258" s="43" t="s">
        <v>2402</v>
      </c>
      <c r="C258" s="43" t="s">
        <v>2403</v>
      </c>
      <c r="D258" s="43" t="s">
        <v>617</v>
      </c>
      <c r="E258" s="43" t="s">
        <v>2314</v>
      </c>
      <c r="F258" s="43" t="s">
        <v>619</v>
      </c>
      <c r="G258" s="43" t="s">
        <v>2404</v>
      </c>
      <c r="H258" s="43" t="s">
        <v>653</v>
      </c>
      <c r="I258" s="43" t="s">
        <v>736</v>
      </c>
      <c r="J258" s="43" t="s">
        <v>86</v>
      </c>
      <c r="K258" s="43" t="s">
        <v>623</v>
      </c>
      <c r="L258" s="43" t="s">
        <v>655</v>
      </c>
      <c r="M258" s="43" t="s">
        <v>617</v>
      </c>
      <c r="N258" s="43" t="s">
        <v>617</v>
      </c>
      <c r="O258" s="43" t="s">
        <v>626</v>
      </c>
      <c r="P258" s="43" t="s">
        <v>656</v>
      </c>
      <c r="Q258" s="43" t="s">
        <v>2405</v>
      </c>
      <c r="R258" s="43" t="s">
        <v>2405</v>
      </c>
      <c r="S258" s="43" t="s">
        <v>730</v>
      </c>
      <c r="T258" s="43"/>
      <c r="U258" s="43"/>
      <c r="V258" s="43"/>
      <c r="W258" s="43"/>
      <c r="X258" s="43"/>
      <c r="Y258" s="43"/>
      <c r="Z258" s="43"/>
    </row>
    <row r="259" spans="1:26" ht="15.75" customHeight="1" x14ac:dyDescent="0.25">
      <c r="A259" s="43" t="s">
        <v>341</v>
      </c>
      <c r="B259" s="43" t="s">
        <v>2406</v>
      </c>
      <c r="C259" s="43" t="s">
        <v>2407</v>
      </c>
      <c r="D259" s="43" t="s">
        <v>617</v>
      </c>
      <c r="E259" s="43" t="s">
        <v>2408</v>
      </c>
      <c r="F259" s="43" t="s">
        <v>619</v>
      </c>
      <c r="G259" s="43" t="s">
        <v>2409</v>
      </c>
      <c r="H259" s="43" t="s">
        <v>735</v>
      </c>
      <c r="I259" s="43" t="s">
        <v>2298</v>
      </c>
      <c r="J259" s="43" t="s">
        <v>1304</v>
      </c>
      <c r="K259" s="43"/>
      <c r="L259" s="43" t="s">
        <v>854</v>
      </c>
      <c r="M259" s="43" t="s">
        <v>855</v>
      </c>
      <c r="N259" s="43" t="s">
        <v>617</v>
      </c>
      <c r="O259" s="43" t="s">
        <v>626</v>
      </c>
      <c r="P259" s="43" t="s">
        <v>2410</v>
      </c>
      <c r="Q259" s="43" t="s">
        <v>2411</v>
      </c>
      <c r="R259" s="43" t="s">
        <v>2412</v>
      </c>
      <c r="S259" s="43" t="s">
        <v>648</v>
      </c>
      <c r="T259" s="43"/>
      <c r="U259" s="43"/>
      <c r="V259" s="43"/>
      <c r="W259" s="43"/>
      <c r="X259" s="43"/>
      <c r="Y259" s="43"/>
      <c r="Z259" s="43"/>
    </row>
    <row r="260" spans="1:26" ht="15.75" customHeight="1" x14ac:dyDescent="0.25">
      <c r="A260" s="43" t="s">
        <v>342</v>
      </c>
      <c r="B260" s="43" t="s">
        <v>2413</v>
      </c>
      <c r="C260" s="43" t="s">
        <v>2414</v>
      </c>
      <c r="D260" s="43" t="s">
        <v>617</v>
      </c>
      <c r="E260" s="43" t="s">
        <v>757</v>
      </c>
      <c r="F260" s="43" t="s">
        <v>619</v>
      </c>
      <c r="G260" s="43" t="s">
        <v>2415</v>
      </c>
      <c r="H260" s="43" t="s">
        <v>653</v>
      </c>
      <c r="I260" s="43" t="s">
        <v>622</v>
      </c>
      <c r="J260" s="43" t="s">
        <v>1227</v>
      </c>
      <c r="K260" s="43" t="s">
        <v>1123</v>
      </c>
      <c r="L260" s="43" t="s">
        <v>624</v>
      </c>
      <c r="M260" s="43" t="s">
        <v>625</v>
      </c>
      <c r="N260" s="43" t="s">
        <v>617</v>
      </c>
      <c r="O260" s="43" t="s">
        <v>626</v>
      </c>
      <c r="P260" s="43" t="s">
        <v>2416</v>
      </c>
      <c r="Q260" s="43" t="s">
        <v>2417</v>
      </c>
      <c r="R260" s="43" t="s">
        <v>2418</v>
      </c>
      <c r="S260" s="43" t="s">
        <v>648</v>
      </c>
      <c r="T260" s="43"/>
      <c r="U260" s="43"/>
      <c r="V260" s="43"/>
      <c r="W260" s="43"/>
      <c r="X260" s="43"/>
      <c r="Y260" s="43"/>
      <c r="Z260" s="43"/>
    </row>
    <row r="261" spans="1:26" ht="15.75" customHeight="1" x14ac:dyDescent="0.25">
      <c r="A261" s="43" t="s">
        <v>343</v>
      </c>
      <c r="B261" s="43" t="s">
        <v>2419</v>
      </c>
      <c r="C261" s="43" t="s">
        <v>2420</v>
      </c>
      <c r="D261" s="43" t="s">
        <v>617</v>
      </c>
      <c r="E261" s="43" t="s">
        <v>2421</v>
      </c>
      <c r="F261" s="43" t="s">
        <v>619</v>
      </c>
      <c r="G261" s="43" t="s">
        <v>2422</v>
      </c>
      <c r="H261" s="43" t="s">
        <v>653</v>
      </c>
      <c r="I261" s="43" t="s">
        <v>772</v>
      </c>
      <c r="J261" s="43" t="s">
        <v>86</v>
      </c>
      <c r="K261" s="43" t="s">
        <v>623</v>
      </c>
      <c r="L261" s="43" t="s">
        <v>1220</v>
      </c>
      <c r="M261" s="43" t="s">
        <v>840</v>
      </c>
      <c r="N261" s="43" t="s">
        <v>617</v>
      </c>
      <c r="O261" s="43" t="s">
        <v>626</v>
      </c>
      <c r="P261" s="43" t="s">
        <v>1537</v>
      </c>
      <c r="Q261" s="43" t="s">
        <v>2423</v>
      </c>
      <c r="R261" s="43" t="s">
        <v>2424</v>
      </c>
      <c r="S261" s="43" t="s">
        <v>629</v>
      </c>
      <c r="T261" s="43"/>
      <c r="U261" s="43"/>
      <c r="V261" s="43"/>
      <c r="W261" s="43"/>
      <c r="X261" s="43"/>
      <c r="Y261" s="43"/>
      <c r="Z261" s="43"/>
    </row>
    <row r="262" spans="1:26" ht="15.75" customHeight="1" x14ac:dyDescent="0.25">
      <c r="A262" s="43" t="s">
        <v>344</v>
      </c>
      <c r="B262" s="43" t="s">
        <v>2425</v>
      </c>
      <c r="C262" s="43" t="s">
        <v>2426</v>
      </c>
      <c r="D262" s="43" t="s">
        <v>962</v>
      </c>
      <c r="E262" s="43" t="s">
        <v>2015</v>
      </c>
      <c r="F262" s="43" t="s">
        <v>619</v>
      </c>
      <c r="G262" s="43" t="s">
        <v>2427</v>
      </c>
      <c r="H262" s="43" t="s">
        <v>653</v>
      </c>
      <c r="I262" s="43" t="s">
        <v>2428</v>
      </c>
      <c r="J262" s="43" t="s">
        <v>93</v>
      </c>
      <c r="K262" s="43" t="s">
        <v>623</v>
      </c>
      <c r="L262" s="43" t="s">
        <v>854</v>
      </c>
      <c r="M262" s="43" t="s">
        <v>855</v>
      </c>
      <c r="N262" s="43" t="s">
        <v>617</v>
      </c>
      <c r="O262" s="43" t="s">
        <v>626</v>
      </c>
      <c r="P262" s="43" t="s">
        <v>2429</v>
      </c>
      <c r="Q262" s="43" t="s">
        <v>2430</v>
      </c>
      <c r="R262" s="43" t="s">
        <v>2431</v>
      </c>
      <c r="S262" s="43" t="s">
        <v>629</v>
      </c>
      <c r="T262" s="43"/>
      <c r="U262" s="43"/>
      <c r="V262" s="43"/>
      <c r="W262" s="43"/>
      <c r="X262" s="43"/>
      <c r="Y262" s="43"/>
      <c r="Z262" s="43"/>
    </row>
    <row r="263" spans="1:26" ht="15.75" customHeight="1" x14ac:dyDescent="0.25">
      <c r="A263" s="43" t="s">
        <v>345</v>
      </c>
      <c r="B263" s="43" t="s">
        <v>2432</v>
      </c>
      <c r="C263" s="43" t="s">
        <v>2433</v>
      </c>
      <c r="D263" s="43" t="s">
        <v>617</v>
      </c>
      <c r="E263" s="43" t="s">
        <v>1251</v>
      </c>
      <c r="F263" s="43" t="s">
        <v>619</v>
      </c>
      <c r="G263" s="43" t="s">
        <v>2434</v>
      </c>
      <c r="H263" s="43" t="s">
        <v>653</v>
      </c>
      <c r="I263" s="43" t="s">
        <v>2435</v>
      </c>
      <c r="J263" s="43" t="s">
        <v>1227</v>
      </c>
      <c r="K263" s="43" t="s">
        <v>1123</v>
      </c>
      <c r="L263" s="43" t="s">
        <v>2170</v>
      </c>
      <c r="M263" s="43" t="s">
        <v>840</v>
      </c>
      <c r="N263" s="43" t="s">
        <v>617</v>
      </c>
      <c r="O263" s="43" t="s">
        <v>626</v>
      </c>
      <c r="P263" s="43" t="s">
        <v>899</v>
      </c>
      <c r="Q263" s="43" t="s">
        <v>2436</v>
      </c>
      <c r="R263" s="43" t="s">
        <v>2437</v>
      </c>
      <c r="S263" s="43" t="s">
        <v>648</v>
      </c>
      <c r="T263" s="43"/>
      <c r="U263" s="43"/>
      <c r="V263" s="43"/>
      <c r="W263" s="43"/>
      <c r="X263" s="43"/>
      <c r="Y263" s="43"/>
      <c r="Z263" s="43"/>
    </row>
    <row r="264" spans="1:26" ht="15.75" customHeight="1" x14ac:dyDescent="0.25">
      <c r="A264" s="43" t="s">
        <v>346</v>
      </c>
      <c r="B264" s="43" t="s">
        <v>2438</v>
      </c>
      <c r="C264" s="43" t="s">
        <v>2439</v>
      </c>
      <c r="D264" s="43" t="s">
        <v>805</v>
      </c>
      <c r="E264" s="43" t="s">
        <v>2440</v>
      </c>
      <c r="F264" s="43" t="s">
        <v>619</v>
      </c>
      <c r="G264" s="43" t="s">
        <v>2441</v>
      </c>
      <c r="H264" s="43" t="s">
        <v>653</v>
      </c>
      <c r="I264" s="43" t="s">
        <v>2442</v>
      </c>
      <c r="J264" s="43" t="s">
        <v>1605</v>
      </c>
      <c r="K264" s="43" t="s">
        <v>623</v>
      </c>
      <c r="L264" s="43" t="s">
        <v>680</v>
      </c>
      <c r="M264" s="43" t="s">
        <v>617</v>
      </c>
      <c r="N264" s="43" t="s">
        <v>617</v>
      </c>
      <c r="O264" s="43" t="s">
        <v>626</v>
      </c>
      <c r="P264" s="43" t="s">
        <v>1913</v>
      </c>
      <c r="Q264" s="43" t="s">
        <v>2443</v>
      </c>
      <c r="R264" s="43" t="s">
        <v>2444</v>
      </c>
      <c r="S264" s="43" t="s">
        <v>629</v>
      </c>
      <c r="T264" s="43"/>
      <c r="U264" s="43"/>
      <c r="V264" s="43"/>
      <c r="W264" s="43"/>
      <c r="X264" s="43"/>
      <c r="Y264" s="43"/>
      <c r="Z264" s="43"/>
    </row>
    <row r="265" spans="1:26" ht="15.75" customHeight="1" x14ac:dyDescent="0.25">
      <c r="A265" s="43" t="s">
        <v>347</v>
      </c>
      <c r="B265" s="43" t="s">
        <v>2445</v>
      </c>
      <c r="C265" s="43" t="s">
        <v>2446</v>
      </c>
      <c r="D265" s="43" t="s">
        <v>617</v>
      </c>
      <c r="E265" s="43" t="s">
        <v>2145</v>
      </c>
      <c r="F265" s="43" t="s">
        <v>619</v>
      </c>
      <c r="G265" s="43" t="s">
        <v>2447</v>
      </c>
      <c r="H265" s="43" t="s">
        <v>653</v>
      </c>
      <c r="I265" s="43" t="s">
        <v>2448</v>
      </c>
      <c r="J265" s="43" t="s">
        <v>1304</v>
      </c>
      <c r="K265" s="43"/>
      <c r="L265" s="43" t="s">
        <v>2449</v>
      </c>
      <c r="M265" s="43" t="s">
        <v>2450</v>
      </c>
      <c r="N265" s="43" t="s">
        <v>617</v>
      </c>
      <c r="O265" s="43" t="s">
        <v>626</v>
      </c>
      <c r="P265" s="43" t="s">
        <v>2451</v>
      </c>
      <c r="Q265" s="43" t="s">
        <v>2452</v>
      </c>
      <c r="R265" s="43" t="s">
        <v>2452</v>
      </c>
      <c r="S265" s="43" t="s">
        <v>648</v>
      </c>
      <c r="T265" s="43"/>
      <c r="U265" s="43"/>
      <c r="V265" s="43"/>
      <c r="W265" s="43"/>
      <c r="X265" s="43"/>
      <c r="Y265" s="43"/>
      <c r="Z265" s="43"/>
    </row>
    <row r="266" spans="1:26" ht="15.75" customHeight="1" x14ac:dyDescent="0.25">
      <c r="A266" s="43" t="s">
        <v>348</v>
      </c>
      <c r="B266" s="43" t="s">
        <v>2453</v>
      </c>
      <c r="C266" s="43" t="s">
        <v>2454</v>
      </c>
      <c r="D266" s="43" t="s">
        <v>617</v>
      </c>
      <c r="E266" s="43" t="s">
        <v>2455</v>
      </c>
      <c r="F266" s="43" t="s">
        <v>619</v>
      </c>
      <c r="G266" s="43" t="s">
        <v>2456</v>
      </c>
      <c r="H266" s="43" t="s">
        <v>735</v>
      </c>
      <c r="I266" s="43" t="s">
        <v>720</v>
      </c>
      <c r="J266" s="43" t="s">
        <v>87</v>
      </c>
      <c r="K266" s="43" t="s">
        <v>623</v>
      </c>
      <c r="L266" s="43" t="s">
        <v>680</v>
      </c>
      <c r="M266" s="43" t="s">
        <v>617</v>
      </c>
      <c r="N266" s="43" t="s">
        <v>617</v>
      </c>
      <c r="O266" s="43" t="s">
        <v>626</v>
      </c>
      <c r="P266" s="43" t="s">
        <v>1268</v>
      </c>
      <c r="Q266" s="43" t="s">
        <v>2457</v>
      </c>
      <c r="R266" s="43" t="s">
        <v>2458</v>
      </c>
      <c r="S266" s="43" t="s">
        <v>648</v>
      </c>
      <c r="T266" s="43"/>
      <c r="U266" s="43"/>
      <c r="V266" s="43"/>
      <c r="W266" s="43"/>
      <c r="X266" s="43"/>
      <c r="Y266" s="43"/>
      <c r="Z266" s="43"/>
    </row>
    <row r="267" spans="1:26" ht="15.75" customHeight="1" x14ac:dyDescent="0.25">
      <c r="A267" s="43" t="s">
        <v>349</v>
      </c>
      <c r="B267" s="43" t="s">
        <v>2459</v>
      </c>
      <c r="C267" s="43" t="s">
        <v>2460</v>
      </c>
      <c r="D267" s="43" t="s">
        <v>617</v>
      </c>
      <c r="E267" s="43" t="s">
        <v>2461</v>
      </c>
      <c r="F267" s="43" t="s">
        <v>619</v>
      </c>
      <c r="G267" s="43" t="s">
        <v>2462</v>
      </c>
      <c r="H267" s="43" t="s">
        <v>653</v>
      </c>
      <c r="I267" s="43" t="s">
        <v>720</v>
      </c>
      <c r="J267" s="43" t="s">
        <v>86</v>
      </c>
      <c r="K267" s="43" t="s">
        <v>623</v>
      </c>
      <c r="L267" s="43" t="s">
        <v>680</v>
      </c>
      <c r="M267" s="43" t="s">
        <v>617</v>
      </c>
      <c r="N267" s="43" t="s">
        <v>617</v>
      </c>
      <c r="O267" s="43" t="s">
        <v>626</v>
      </c>
      <c r="P267" s="43" t="s">
        <v>656</v>
      </c>
      <c r="Q267" s="43" t="s">
        <v>2463</v>
      </c>
      <c r="R267" s="43" t="s">
        <v>2464</v>
      </c>
      <c r="S267" s="43" t="s">
        <v>648</v>
      </c>
      <c r="T267" s="43"/>
      <c r="U267" s="43"/>
      <c r="V267" s="43"/>
      <c r="W267" s="43"/>
      <c r="X267" s="43"/>
      <c r="Y267" s="43"/>
      <c r="Z267" s="43"/>
    </row>
    <row r="268" spans="1:26" ht="15.75" customHeight="1" x14ac:dyDescent="0.25">
      <c r="A268" s="43" t="s">
        <v>350</v>
      </c>
      <c r="B268" s="43" t="s">
        <v>2465</v>
      </c>
      <c r="C268" s="43" t="s">
        <v>2466</v>
      </c>
      <c r="D268" s="43" t="s">
        <v>617</v>
      </c>
      <c r="E268" s="43" t="s">
        <v>2139</v>
      </c>
      <c r="F268" s="43" t="s">
        <v>619</v>
      </c>
      <c r="G268" s="43" t="s">
        <v>2467</v>
      </c>
      <c r="H268" s="43" t="s">
        <v>735</v>
      </c>
      <c r="I268" s="43" t="s">
        <v>2435</v>
      </c>
      <c r="J268" s="43" t="s">
        <v>2468</v>
      </c>
      <c r="K268" s="43" t="s">
        <v>623</v>
      </c>
      <c r="L268" s="43" t="s">
        <v>2170</v>
      </c>
      <c r="M268" s="43" t="s">
        <v>840</v>
      </c>
      <c r="N268" s="43" t="s">
        <v>617</v>
      </c>
      <c r="O268" s="43" t="s">
        <v>626</v>
      </c>
      <c r="P268" s="43" t="s">
        <v>899</v>
      </c>
      <c r="Q268" s="43" t="s">
        <v>2469</v>
      </c>
      <c r="R268" s="43" t="s">
        <v>2470</v>
      </c>
      <c r="S268" s="43" t="s">
        <v>648</v>
      </c>
      <c r="T268" s="43"/>
      <c r="U268" s="43"/>
      <c r="V268" s="43"/>
      <c r="W268" s="43"/>
      <c r="X268" s="43"/>
      <c r="Y268" s="43"/>
      <c r="Z268" s="43"/>
    </row>
    <row r="269" spans="1:26" ht="15.75" customHeight="1" x14ac:dyDescent="0.25">
      <c r="A269" s="43" t="s">
        <v>351</v>
      </c>
      <c r="B269" s="43" t="s">
        <v>2471</v>
      </c>
      <c r="C269" s="43" t="s">
        <v>2472</v>
      </c>
      <c r="D269" s="43" t="s">
        <v>617</v>
      </c>
      <c r="E269" s="43" t="s">
        <v>2473</v>
      </c>
      <c r="F269" s="43" t="s">
        <v>619</v>
      </c>
      <c r="G269" s="43" t="s">
        <v>2474</v>
      </c>
      <c r="H269" s="43" t="s">
        <v>735</v>
      </c>
      <c r="I269" s="43" t="s">
        <v>868</v>
      </c>
      <c r="J269" s="43" t="s">
        <v>84</v>
      </c>
      <c r="K269" s="43" t="s">
        <v>623</v>
      </c>
      <c r="L269" s="43" t="s">
        <v>743</v>
      </c>
      <c r="M269" s="43" t="s">
        <v>744</v>
      </c>
      <c r="N269" s="43" t="s">
        <v>617</v>
      </c>
      <c r="O269" s="43" t="s">
        <v>626</v>
      </c>
      <c r="P269" s="43" t="s">
        <v>1268</v>
      </c>
      <c r="Q269" s="43" t="s">
        <v>2475</v>
      </c>
      <c r="R269" s="43" t="s">
        <v>2476</v>
      </c>
      <c r="S269" s="43" t="s">
        <v>893</v>
      </c>
      <c r="T269" s="43"/>
      <c r="U269" s="43"/>
      <c r="V269" s="43"/>
      <c r="W269" s="43"/>
      <c r="X269" s="43"/>
      <c r="Y269" s="43"/>
      <c r="Z269" s="43"/>
    </row>
    <row r="270" spans="1:26" ht="15.75" customHeight="1" x14ac:dyDescent="0.25">
      <c r="A270" s="43" t="s">
        <v>352</v>
      </c>
      <c r="B270" s="43" t="s">
        <v>2477</v>
      </c>
      <c r="C270" s="43" t="s">
        <v>2478</v>
      </c>
      <c r="D270" s="43" t="s">
        <v>617</v>
      </c>
      <c r="E270" s="43" t="s">
        <v>2479</v>
      </c>
      <c r="F270" s="43" t="s">
        <v>619</v>
      </c>
      <c r="G270" s="43" t="s">
        <v>2480</v>
      </c>
      <c r="H270" s="43" t="s">
        <v>1292</v>
      </c>
      <c r="I270" s="43" t="s">
        <v>2481</v>
      </c>
      <c r="J270" s="43" t="s">
        <v>87</v>
      </c>
      <c r="K270" s="43" t="s">
        <v>623</v>
      </c>
      <c r="L270" s="43" t="s">
        <v>1482</v>
      </c>
      <c r="M270" s="43" t="s">
        <v>794</v>
      </c>
      <c r="N270" s="43" t="s">
        <v>617</v>
      </c>
      <c r="O270" s="43" t="s">
        <v>626</v>
      </c>
      <c r="P270" s="43" t="s">
        <v>982</v>
      </c>
      <c r="Q270" s="43" t="s">
        <v>2482</v>
      </c>
      <c r="R270" s="43" t="s">
        <v>2482</v>
      </c>
      <c r="S270" s="43" t="s">
        <v>893</v>
      </c>
      <c r="T270" s="43"/>
      <c r="U270" s="43"/>
      <c r="V270" s="43"/>
      <c r="W270" s="43"/>
      <c r="X270" s="43"/>
      <c r="Y270" s="43"/>
      <c r="Z270" s="43"/>
    </row>
    <row r="271" spans="1:26" ht="15.75" customHeight="1" x14ac:dyDescent="0.25">
      <c r="A271" s="43" t="s">
        <v>353</v>
      </c>
      <c r="B271" s="43" t="s">
        <v>2483</v>
      </c>
      <c r="C271" s="43" t="s">
        <v>2484</v>
      </c>
      <c r="D271" s="43" t="s">
        <v>617</v>
      </c>
      <c r="E271" s="43" t="s">
        <v>925</v>
      </c>
      <c r="F271" s="43" t="s">
        <v>740</v>
      </c>
      <c r="G271" s="43" t="s">
        <v>2485</v>
      </c>
      <c r="H271" s="43" t="s">
        <v>653</v>
      </c>
      <c r="I271" s="43" t="s">
        <v>2486</v>
      </c>
      <c r="J271" s="43" t="s">
        <v>90</v>
      </c>
      <c r="K271" s="43" t="s">
        <v>1123</v>
      </c>
      <c r="L271" s="43" t="s">
        <v>2487</v>
      </c>
      <c r="M271" s="43" t="s">
        <v>2450</v>
      </c>
      <c r="N271" s="43" t="s">
        <v>617</v>
      </c>
      <c r="O271" s="43" t="s">
        <v>626</v>
      </c>
      <c r="P271" s="43" t="s">
        <v>2488</v>
      </c>
      <c r="Q271" s="43" t="s">
        <v>2489</v>
      </c>
      <c r="R271" s="43" t="s">
        <v>2490</v>
      </c>
      <c r="S271" s="43" t="s">
        <v>648</v>
      </c>
      <c r="T271" s="43"/>
      <c r="U271" s="43"/>
      <c r="V271" s="43"/>
      <c r="W271" s="43"/>
      <c r="X271" s="43"/>
      <c r="Y271" s="43"/>
      <c r="Z271" s="43"/>
    </row>
    <row r="272" spans="1:26" ht="15.75" customHeight="1" x14ac:dyDescent="0.25">
      <c r="A272" s="43" t="s">
        <v>354</v>
      </c>
      <c r="B272" s="43" t="s">
        <v>2491</v>
      </c>
      <c r="C272" s="43" t="s">
        <v>2492</v>
      </c>
      <c r="D272" s="43" t="s">
        <v>617</v>
      </c>
      <c r="E272" s="43" t="s">
        <v>1500</v>
      </c>
      <c r="F272" s="43" t="s">
        <v>619</v>
      </c>
      <c r="G272" s="43" t="s">
        <v>2493</v>
      </c>
      <c r="H272" s="43" t="s">
        <v>653</v>
      </c>
      <c r="I272" s="43" t="s">
        <v>2494</v>
      </c>
      <c r="J272" s="43" t="s">
        <v>93</v>
      </c>
      <c r="K272" s="43" t="s">
        <v>623</v>
      </c>
      <c r="L272" s="43" t="s">
        <v>644</v>
      </c>
      <c r="M272" s="43" t="s">
        <v>645</v>
      </c>
      <c r="N272" s="43" t="s">
        <v>617</v>
      </c>
      <c r="O272" s="43" t="s">
        <v>626</v>
      </c>
      <c r="P272" s="43" t="s">
        <v>1760</v>
      </c>
      <c r="Q272" s="43" t="s">
        <v>2495</v>
      </c>
      <c r="R272" s="43" t="s">
        <v>2496</v>
      </c>
      <c r="S272" s="43" t="s">
        <v>648</v>
      </c>
      <c r="T272" s="43"/>
      <c r="U272" s="43"/>
      <c r="V272" s="43"/>
      <c r="W272" s="43"/>
      <c r="X272" s="43"/>
      <c r="Y272" s="43"/>
      <c r="Z272" s="43"/>
    </row>
    <row r="273" spans="1:26" ht="15.75" customHeight="1" x14ac:dyDescent="0.25">
      <c r="A273" s="43" t="s">
        <v>355</v>
      </c>
      <c r="B273" s="43" t="s">
        <v>2497</v>
      </c>
      <c r="C273" s="43" t="s">
        <v>2498</v>
      </c>
      <c r="D273" s="43" t="s">
        <v>617</v>
      </c>
      <c r="E273" s="43" t="s">
        <v>651</v>
      </c>
      <c r="F273" s="43" t="s">
        <v>619</v>
      </c>
      <c r="G273" s="43" t="s">
        <v>2499</v>
      </c>
      <c r="H273" s="43" t="s">
        <v>735</v>
      </c>
      <c r="I273" s="43" t="s">
        <v>2500</v>
      </c>
      <c r="J273" s="43" t="s">
        <v>92</v>
      </c>
      <c r="K273" s="43" t="s">
        <v>623</v>
      </c>
      <c r="L273" s="43" t="s">
        <v>1358</v>
      </c>
      <c r="M273" s="43" t="s">
        <v>855</v>
      </c>
      <c r="N273" s="43" t="s">
        <v>617</v>
      </c>
      <c r="O273" s="43" t="s">
        <v>626</v>
      </c>
      <c r="P273" s="43" t="s">
        <v>1453</v>
      </c>
      <c r="Q273" s="43" t="s">
        <v>2501</v>
      </c>
      <c r="R273" s="43" t="s">
        <v>2501</v>
      </c>
      <c r="S273" s="43" t="s">
        <v>629</v>
      </c>
      <c r="T273" s="43"/>
      <c r="U273" s="43"/>
      <c r="V273" s="43"/>
      <c r="W273" s="43"/>
      <c r="X273" s="43"/>
      <c r="Y273" s="43"/>
      <c r="Z273" s="43"/>
    </row>
    <row r="274" spans="1:26" ht="15.75" customHeight="1" x14ac:dyDescent="0.25">
      <c r="A274" s="43" t="s">
        <v>356</v>
      </c>
      <c r="B274" s="43" t="s">
        <v>2502</v>
      </c>
      <c r="C274" s="43" t="s">
        <v>2503</v>
      </c>
      <c r="D274" s="43" t="s">
        <v>962</v>
      </c>
      <c r="E274" s="43" t="s">
        <v>1573</v>
      </c>
      <c r="F274" s="43" t="s">
        <v>619</v>
      </c>
      <c r="G274" s="43" t="s">
        <v>2504</v>
      </c>
      <c r="H274" s="43" t="s">
        <v>621</v>
      </c>
      <c r="I274" s="43" t="s">
        <v>2505</v>
      </c>
      <c r="J274" s="43" t="s">
        <v>125</v>
      </c>
      <c r="K274" s="43" t="s">
        <v>94</v>
      </c>
      <c r="L274" s="43" t="s">
        <v>1048</v>
      </c>
      <c r="M274" s="43" t="s">
        <v>1048</v>
      </c>
      <c r="N274" s="43" t="s">
        <v>1049</v>
      </c>
      <c r="O274" s="43" t="s">
        <v>626</v>
      </c>
      <c r="P274" s="43" t="s">
        <v>2506</v>
      </c>
      <c r="Q274" s="43" t="s">
        <v>2507</v>
      </c>
      <c r="R274" s="43" t="s">
        <v>2508</v>
      </c>
      <c r="S274" s="43" t="s">
        <v>648</v>
      </c>
      <c r="T274" s="43"/>
      <c r="U274" s="43"/>
      <c r="V274" s="43"/>
      <c r="W274" s="43"/>
      <c r="X274" s="43"/>
      <c r="Y274" s="43"/>
      <c r="Z274" s="43"/>
    </row>
    <row r="275" spans="1:26" ht="15.75" customHeight="1" x14ac:dyDescent="0.25">
      <c r="A275" s="43" t="s">
        <v>357</v>
      </c>
      <c r="B275" s="43" t="s">
        <v>2509</v>
      </c>
      <c r="C275" s="43" t="s">
        <v>2510</v>
      </c>
      <c r="D275" s="43" t="s">
        <v>617</v>
      </c>
      <c r="E275" s="43" t="s">
        <v>2511</v>
      </c>
      <c r="F275" s="43" t="s">
        <v>619</v>
      </c>
      <c r="G275" s="43" t="s">
        <v>2512</v>
      </c>
      <c r="H275" s="43" t="s">
        <v>2513</v>
      </c>
      <c r="I275" s="43" t="s">
        <v>2514</v>
      </c>
      <c r="J275" s="43" t="s">
        <v>85</v>
      </c>
      <c r="K275" s="43" t="s">
        <v>623</v>
      </c>
      <c r="L275" s="43" t="s">
        <v>958</v>
      </c>
      <c r="M275" s="43" t="s">
        <v>855</v>
      </c>
      <c r="N275" s="43" t="s">
        <v>617</v>
      </c>
      <c r="O275" s="43" t="s">
        <v>626</v>
      </c>
      <c r="P275" s="43" t="s">
        <v>2515</v>
      </c>
      <c r="Q275" s="43" t="s">
        <v>2516</v>
      </c>
      <c r="R275" s="43" t="s">
        <v>2517</v>
      </c>
      <c r="S275" s="43" t="s">
        <v>730</v>
      </c>
      <c r="T275" s="43"/>
      <c r="U275" s="43"/>
      <c r="V275" s="43"/>
      <c r="W275" s="43"/>
      <c r="X275" s="43"/>
      <c r="Y275" s="43"/>
      <c r="Z275" s="43"/>
    </row>
    <row r="276" spans="1:26" ht="15.75" customHeight="1" x14ac:dyDescent="0.25">
      <c r="A276" s="43" t="s">
        <v>358</v>
      </c>
      <c r="B276" s="43" t="s">
        <v>2518</v>
      </c>
      <c r="C276" s="43" t="s">
        <v>2519</v>
      </c>
      <c r="D276" s="43" t="s">
        <v>617</v>
      </c>
      <c r="E276" s="43" t="s">
        <v>1652</v>
      </c>
      <c r="F276" s="43" t="s">
        <v>619</v>
      </c>
      <c r="G276" s="43" t="s">
        <v>2520</v>
      </c>
      <c r="H276" s="43" t="s">
        <v>621</v>
      </c>
      <c r="I276" s="43" t="s">
        <v>2521</v>
      </c>
      <c r="J276" s="43" t="s">
        <v>168</v>
      </c>
      <c r="K276" s="43" t="s">
        <v>623</v>
      </c>
      <c r="L276" s="43" t="s">
        <v>839</v>
      </c>
      <c r="M276" s="43" t="s">
        <v>840</v>
      </c>
      <c r="N276" s="43" t="s">
        <v>617</v>
      </c>
      <c r="O276" s="43" t="s">
        <v>626</v>
      </c>
      <c r="P276" s="43" t="s">
        <v>1537</v>
      </c>
      <c r="Q276" s="43" t="s">
        <v>2522</v>
      </c>
      <c r="R276" s="43" t="s">
        <v>1123</v>
      </c>
      <c r="S276" s="43" t="s">
        <v>629</v>
      </c>
      <c r="T276" s="43"/>
      <c r="U276" s="43"/>
      <c r="V276" s="43"/>
      <c r="W276" s="43"/>
      <c r="X276" s="43"/>
      <c r="Y276" s="43"/>
      <c r="Z276" s="43"/>
    </row>
    <row r="277" spans="1:26" ht="15.75" customHeight="1" x14ac:dyDescent="0.25">
      <c r="A277" s="43" t="s">
        <v>359</v>
      </c>
      <c r="B277" s="43" t="s">
        <v>2523</v>
      </c>
      <c r="C277" s="43" t="s">
        <v>2524</v>
      </c>
      <c r="D277" s="43" t="s">
        <v>1502</v>
      </c>
      <c r="E277" s="43" t="s">
        <v>2525</v>
      </c>
      <c r="F277" s="43" t="s">
        <v>619</v>
      </c>
      <c r="G277" s="43" t="s">
        <v>2526</v>
      </c>
      <c r="H277" s="43" t="s">
        <v>1292</v>
      </c>
      <c r="I277" s="43" t="s">
        <v>2527</v>
      </c>
      <c r="J277" s="43" t="s">
        <v>84</v>
      </c>
      <c r="K277" s="43" t="s">
        <v>623</v>
      </c>
      <c r="L277" s="43" t="s">
        <v>1358</v>
      </c>
      <c r="M277" s="43" t="s">
        <v>855</v>
      </c>
      <c r="N277" s="43" t="s">
        <v>617</v>
      </c>
      <c r="O277" s="43" t="s">
        <v>626</v>
      </c>
      <c r="P277" s="43" t="s">
        <v>2528</v>
      </c>
      <c r="Q277" s="43" t="s">
        <v>2529</v>
      </c>
      <c r="R277" s="43" t="s">
        <v>2530</v>
      </c>
      <c r="S277" s="43" t="s">
        <v>730</v>
      </c>
      <c r="T277" s="43"/>
      <c r="U277" s="43"/>
      <c r="V277" s="43"/>
      <c r="W277" s="43"/>
      <c r="X277" s="43"/>
      <c r="Y277" s="43"/>
      <c r="Z277" s="43"/>
    </row>
    <row r="278" spans="1:26" ht="15.75" customHeight="1" x14ac:dyDescent="0.25">
      <c r="A278" s="43" t="s">
        <v>360</v>
      </c>
      <c r="B278" s="43" t="s">
        <v>2531</v>
      </c>
      <c r="C278" s="43" t="s">
        <v>2532</v>
      </c>
      <c r="D278" s="43" t="s">
        <v>617</v>
      </c>
      <c r="E278" s="43" t="s">
        <v>2533</v>
      </c>
      <c r="F278" s="43" t="s">
        <v>619</v>
      </c>
      <c r="G278" s="43" t="s">
        <v>2534</v>
      </c>
      <c r="H278" s="43" t="s">
        <v>735</v>
      </c>
      <c r="I278" s="43" t="s">
        <v>2535</v>
      </c>
      <c r="J278" s="43" t="s">
        <v>86</v>
      </c>
      <c r="K278" s="43" t="s">
        <v>623</v>
      </c>
      <c r="L278" s="43" t="s">
        <v>617</v>
      </c>
      <c r="M278" s="43" t="s">
        <v>617</v>
      </c>
      <c r="N278" s="43" t="s">
        <v>617</v>
      </c>
      <c r="O278" s="43" t="s">
        <v>626</v>
      </c>
      <c r="P278" s="43" t="s">
        <v>1268</v>
      </c>
      <c r="Q278" s="43" t="s">
        <v>2536</v>
      </c>
      <c r="R278" s="43" t="s">
        <v>2537</v>
      </c>
      <c r="S278" s="43" t="s">
        <v>629</v>
      </c>
      <c r="T278" s="43"/>
      <c r="U278" s="43"/>
      <c r="V278" s="43"/>
      <c r="W278" s="43"/>
      <c r="X278" s="43"/>
      <c r="Y278" s="43"/>
      <c r="Z278" s="43"/>
    </row>
    <row r="279" spans="1:26" ht="15.75" customHeight="1" x14ac:dyDescent="0.25">
      <c r="A279" s="43" t="s">
        <v>361</v>
      </c>
      <c r="B279" s="43" t="s">
        <v>2538</v>
      </c>
      <c r="C279" s="43" t="s">
        <v>2539</v>
      </c>
      <c r="D279" s="43" t="s">
        <v>617</v>
      </c>
      <c r="E279" s="43" t="s">
        <v>2540</v>
      </c>
      <c r="F279" s="43" t="s">
        <v>619</v>
      </c>
      <c r="G279" s="43" t="s">
        <v>2541</v>
      </c>
      <c r="H279" s="43" t="s">
        <v>735</v>
      </c>
      <c r="I279" s="43" t="s">
        <v>1081</v>
      </c>
      <c r="J279" s="43" t="s">
        <v>85</v>
      </c>
      <c r="K279" s="43" t="s">
        <v>623</v>
      </c>
      <c r="L279" s="43" t="s">
        <v>680</v>
      </c>
      <c r="M279" s="43" t="s">
        <v>617</v>
      </c>
      <c r="N279" s="43" t="s">
        <v>617</v>
      </c>
      <c r="O279" s="43" t="s">
        <v>626</v>
      </c>
      <c r="P279" s="43" t="s">
        <v>1913</v>
      </c>
      <c r="Q279" s="43" t="s">
        <v>2542</v>
      </c>
      <c r="R279" s="43" t="s">
        <v>1123</v>
      </c>
      <c r="S279" s="43" t="s">
        <v>730</v>
      </c>
      <c r="T279" s="43"/>
      <c r="U279" s="43"/>
      <c r="V279" s="43"/>
      <c r="W279" s="43"/>
      <c r="X279" s="43"/>
      <c r="Y279" s="43"/>
      <c r="Z279" s="43"/>
    </row>
    <row r="280" spans="1:26" ht="15.75" customHeight="1" x14ac:dyDescent="0.25">
      <c r="A280" s="43" t="s">
        <v>362</v>
      </c>
      <c r="B280" s="43" t="s">
        <v>2543</v>
      </c>
      <c r="C280" s="43" t="s">
        <v>2544</v>
      </c>
      <c r="D280" s="43" t="s">
        <v>1677</v>
      </c>
      <c r="E280" s="43" t="s">
        <v>1025</v>
      </c>
      <c r="F280" s="43" t="s">
        <v>619</v>
      </c>
      <c r="G280" s="43" t="s">
        <v>2545</v>
      </c>
      <c r="H280" s="43" t="s">
        <v>735</v>
      </c>
      <c r="I280" s="43" t="s">
        <v>2546</v>
      </c>
      <c r="J280" s="43" t="s">
        <v>87</v>
      </c>
      <c r="K280" s="43" t="s">
        <v>623</v>
      </c>
      <c r="L280" s="43" t="s">
        <v>854</v>
      </c>
      <c r="M280" s="43" t="s">
        <v>855</v>
      </c>
      <c r="N280" s="43" t="s">
        <v>617</v>
      </c>
      <c r="O280" s="43" t="s">
        <v>626</v>
      </c>
      <c r="P280" s="43" t="s">
        <v>714</v>
      </c>
      <c r="Q280" s="43" t="s">
        <v>2547</v>
      </c>
      <c r="R280" s="43" t="s">
        <v>2548</v>
      </c>
      <c r="S280" s="43" t="s">
        <v>648</v>
      </c>
      <c r="T280" s="43"/>
      <c r="U280" s="43"/>
      <c r="V280" s="43"/>
      <c r="W280" s="43"/>
      <c r="X280" s="43"/>
      <c r="Y280" s="43"/>
      <c r="Z280" s="43"/>
    </row>
    <row r="281" spans="1:26" ht="15.75" customHeight="1" x14ac:dyDescent="0.25">
      <c r="A281" s="43" t="s">
        <v>363</v>
      </c>
      <c r="B281" s="43" t="s">
        <v>2549</v>
      </c>
      <c r="C281" s="43" t="s">
        <v>2550</v>
      </c>
      <c r="D281" s="43" t="s">
        <v>617</v>
      </c>
      <c r="E281" s="43" t="s">
        <v>1645</v>
      </c>
      <c r="F281" s="43" t="s">
        <v>619</v>
      </c>
      <c r="G281" s="43" t="s">
        <v>2551</v>
      </c>
      <c r="H281" s="43" t="s">
        <v>735</v>
      </c>
      <c r="I281" s="43" t="s">
        <v>1110</v>
      </c>
      <c r="J281" s="43" t="s">
        <v>86</v>
      </c>
      <c r="K281" s="43" t="s">
        <v>623</v>
      </c>
      <c r="L281" s="43" t="s">
        <v>743</v>
      </c>
      <c r="M281" s="43" t="s">
        <v>744</v>
      </c>
      <c r="N281" s="43" t="s">
        <v>617</v>
      </c>
      <c r="O281" s="43" t="s">
        <v>626</v>
      </c>
      <c r="P281" s="43" t="s">
        <v>810</v>
      </c>
      <c r="Q281" s="43" t="s">
        <v>2552</v>
      </c>
      <c r="R281" s="43" t="s">
        <v>2553</v>
      </c>
      <c r="S281" s="43" t="s">
        <v>629</v>
      </c>
      <c r="T281" s="43"/>
      <c r="U281" s="43"/>
      <c r="V281" s="43"/>
      <c r="W281" s="43"/>
      <c r="X281" s="43"/>
      <c r="Y281" s="43"/>
      <c r="Z281" s="43"/>
    </row>
    <row r="282" spans="1:26" ht="15.75" customHeight="1" x14ac:dyDescent="0.25">
      <c r="A282" s="43" t="s">
        <v>364</v>
      </c>
      <c r="B282" s="43" t="s">
        <v>2554</v>
      </c>
      <c r="C282" s="43" t="s">
        <v>2555</v>
      </c>
      <c r="D282" s="43" t="s">
        <v>617</v>
      </c>
      <c r="E282" s="43" t="s">
        <v>2556</v>
      </c>
      <c r="F282" s="43" t="s">
        <v>619</v>
      </c>
      <c r="G282" s="43" t="s">
        <v>2557</v>
      </c>
      <c r="H282" s="43" t="s">
        <v>621</v>
      </c>
      <c r="I282" s="43" t="s">
        <v>2558</v>
      </c>
      <c r="J282" s="43" t="s">
        <v>1111</v>
      </c>
      <c r="K282" s="43" t="s">
        <v>1102</v>
      </c>
      <c r="L282" s="43" t="s">
        <v>854</v>
      </c>
      <c r="M282" s="43" t="s">
        <v>855</v>
      </c>
      <c r="N282" s="43" t="s">
        <v>617</v>
      </c>
      <c r="O282" s="43" t="s">
        <v>626</v>
      </c>
      <c r="P282" s="43" t="s">
        <v>1388</v>
      </c>
      <c r="Q282" s="43" t="s">
        <v>2559</v>
      </c>
      <c r="R282" s="43" t="s">
        <v>2560</v>
      </c>
      <c r="S282" s="43" t="s">
        <v>730</v>
      </c>
      <c r="T282" s="43"/>
      <c r="U282" s="43"/>
      <c r="V282" s="43"/>
      <c r="W282" s="43"/>
      <c r="X282" s="43"/>
      <c r="Y282" s="43"/>
      <c r="Z282" s="43"/>
    </row>
    <row r="283" spans="1:26" ht="15.75" customHeight="1" x14ac:dyDescent="0.25">
      <c r="A283" s="43" t="s">
        <v>365</v>
      </c>
      <c r="B283" s="43" t="s">
        <v>2561</v>
      </c>
      <c r="C283" s="43" t="s">
        <v>2562</v>
      </c>
      <c r="D283" s="43" t="s">
        <v>617</v>
      </c>
      <c r="E283" s="43" t="s">
        <v>1479</v>
      </c>
      <c r="F283" s="43" t="s">
        <v>619</v>
      </c>
      <c r="G283" s="43" t="s">
        <v>2563</v>
      </c>
      <c r="H283" s="43" t="s">
        <v>735</v>
      </c>
      <c r="I283" s="43" t="s">
        <v>2558</v>
      </c>
      <c r="J283" s="43" t="s">
        <v>1111</v>
      </c>
      <c r="K283" s="43" t="s">
        <v>1102</v>
      </c>
      <c r="L283" s="43" t="s">
        <v>854</v>
      </c>
      <c r="M283" s="43" t="s">
        <v>855</v>
      </c>
      <c r="N283" s="43" t="s">
        <v>617</v>
      </c>
      <c r="O283" s="43" t="s">
        <v>626</v>
      </c>
      <c r="P283" s="43" t="s">
        <v>929</v>
      </c>
      <c r="Q283" s="43" t="s">
        <v>2564</v>
      </c>
      <c r="R283" s="43" t="s">
        <v>2564</v>
      </c>
      <c r="S283" s="43" t="s">
        <v>730</v>
      </c>
      <c r="T283" s="43"/>
      <c r="U283" s="43"/>
      <c r="V283" s="43"/>
      <c r="W283" s="43"/>
      <c r="X283" s="43"/>
      <c r="Y283" s="43"/>
      <c r="Z283" s="43"/>
    </row>
    <row r="284" spans="1:26" ht="15.75" customHeight="1" x14ac:dyDescent="0.25">
      <c r="A284" s="43" t="s">
        <v>366</v>
      </c>
      <c r="B284" s="43" t="s">
        <v>2565</v>
      </c>
      <c r="C284" s="43" t="s">
        <v>2566</v>
      </c>
      <c r="D284" s="43" t="s">
        <v>617</v>
      </c>
      <c r="E284" s="43" t="s">
        <v>2567</v>
      </c>
      <c r="F284" s="43" t="s">
        <v>619</v>
      </c>
      <c r="G284" s="43" t="s">
        <v>2568</v>
      </c>
      <c r="H284" s="43" t="s">
        <v>653</v>
      </c>
      <c r="I284" s="43" t="s">
        <v>2569</v>
      </c>
      <c r="J284" s="43" t="s">
        <v>85</v>
      </c>
      <c r="K284" s="43" t="s">
        <v>623</v>
      </c>
      <c r="L284" s="43" t="s">
        <v>644</v>
      </c>
      <c r="M284" s="43" t="s">
        <v>645</v>
      </c>
      <c r="N284" s="43" t="s">
        <v>617</v>
      </c>
      <c r="O284" s="43" t="s">
        <v>626</v>
      </c>
      <c r="P284" s="43" t="s">
        <v>646</v>
      </c>
      <c r="Q284" s="43" t="s">
        <v>2570</v>
      </c>
      <c r="R284" s="43" t="s">
        <v>2571</v>
      </c>
      <c r="S284" s="43" t="s">
        <v>629</v>
      </c>
      <c r="T284" s="43"/>
      <c r="U284" s="43"/>
      <c r="V284" s="43"/>
      <c r="W284" s="43"/>
      <c r="X284" s="43"/>
      <c r="Y284" s="43"/>
      <c r="Z284" s="43"/>
    </row>
    <row r="285" spans="1:26" ht="15.75" customHeight="1" x14ac:dyDescent="0.25">
      <c r="A285" s="43" t="s">
        <v>367</v>
      </c>
      <c r="B285" s="43" t="s">
        <v>2572</v>
      </c>
      <c r="C285" s="43" t="s">
        <v>2573</v>
      </c>
      <c r="D285" s="43" t="s">
        <v>617</v>
      </c>
      <c r="E285" s="43" t="s">
        <v>925</v>
      </c>
      <c r="F285" s="43" t="s">
        <v>619</v>
      </c>
      <c r="G285" s="43" t="s">
        <v>2574</v>
      </c>
      <c r="H285" s="43" t="s">
        <v>735</v>
      </c>
      <c r="I285" s="43" t="s">
        <v>742</v>
      </c>
      <c r="J285" s="43" t="s">
        <v>87</v>
      </c>
      <c r="K285" s="43" t="s">
        <v>623</v>
      </c>
      <c r="L285" s="43" t="s">
        <v>743</v>
      </c>
      <c r="M285" s="43" t="s">
        <v>744</v>
      </c>
      <c r="N285" s="43" t="s">
        <v>617</v>
      </c>
      <c r="O285" s="43" t="s">
        <v>626</v>
      </c>
      <c r="P285" s="43" t="s">
        <v>1136</v>
      </c>
      <c r="Q285" s="43" t="s">
        <v>2575</v>
      </c>
      <c r="R285" s="43" t="s">
        <v>2576</v>
      </c>
      <c r="S285" s="43" t="s">
        <v>893</v>
      </c>
      <c r="T285" s="43"/>
      <c r="U285" s="43"/>
      <c r="V285" s="43"/>
      <c r="W285" s="43"/>
      <c r="X285" s="43"/>
      <c r="Y285" s="43"/>
      <c r="Z285" s="43"/>
    </row>
    <row r="286" spans="1:26" ht="15.75" customHeight="1" x14ac:dyDescent="0.25">
      <c r="A286" s="43" t="s">
        <v>368</v>
      </c>
      <c r="B286" s="43" t="s">
        <v>2577</v>
      </c>
      <c r="C286" s="43" t="s">
        <v>2578</v>
      </c>
      <c r="D286" s="43" t="s">
        <v>1518</v>
      </c>
      <c r="E286" s="43" t="s">
        <v>2579</v>
      </c>
      <c r="F286" s="43" t="s">
        <v>619</v>
      </c>
      <c r="G286" s="43" t="s">
        <v>2580</v>
      </c>
      <c r="H286" s="43" t="s">
        <v>2513</v>
      </c>
      <c r="I286" s="43" t="s">
        <v>2581</v>
      </c>
      <c r="J286" s="43" t="s">
        <v>928</v>
      </c>
      <c r="K286" s="43" t="s">
        <v>623</v>
      </c>
      <c r="L286" s="43" t="s">
        <v>862</v>
      </c>
      <c r="M286" s="43" t="s">
        <v>780</v>
      </c>
      <c r="N286" s="43" t="s">
        <v>617</v>
      </c>
      <c r="O286" s="43" t="s">
        <v>626</v>
      </c>
      <c r="P286" s="43" t="s">
        <v>2023</v>
      </c>
      <c r="Q286" s="43" t="s">
        <v>2582</v>
      </c>
      <c r="R286" s="43" t="s">
        <v>2583</v>
      </c>
      <c r="S286" s="43" t="s">
        <v>648</v>
      </c>
      <c r="T286" s="43"/>
      <c r="U286" s="43"/>
      <c r="V286" s="43"/>
      <c r="W286" s="43"/>
      <c r="X286" s="43"/>
      <c r="Y286" s="43"/>
      <c r="Z286" s="43"/>
    </row>
    <row r="287" spans="1:26" ht="15.75" customHeight="1" x14ac:dyDescent="0.25">
      <c r="A287" s="43" t="s">
        <v>369</v>
      </c>
      <c r="B287" s="43" t="s">
        <v>2584</v>
      </c>
      <c r="C287" s="43" t="s">
        <v>2585</v>
      </c>
      <c r="D287" s="43" t="s">
        <v>617</v>
      </c>
      <c r="E287" s="43" t="s">
        <v>1417</v>
      </c>
      <c r="F287" s="43" t="s">
        <v>619</v>
      </c>
      <c r="G287" s="43" t="s">
        <v>2586</v>
      </c>
      <c r="H287" s="43" t="s">
        <v>735</v>
      </c>
      <c r="I287" s="43" t="s">
        <v>2065</v>
      </c>
      <c r="J287" s="43" t="s">
        <v>928</v>
      </c>
      <c r="K287" s="43"/>
      <c r="L287" s="43" t="s">
        <v>644</v>
      </c>
      <c r="M287" s="43" t="s">
        <v>645</v>
      </c>
      <c r="N287" s="43" t="s">
        <v>617</v>
      </c>
      <c r="O287" s="43" t="s">
        <v>626</v>
      </c>
      <c r="P287" s="43" t="s">
        <v>688</v>
      </c>
      <c r="Q287" s="43" t="s">
        <v>2587</v>
      </c>
      <c r="R287" s="43" t="s">
        <v>2588</v>
      </c>
      <c r="S287" s="43" t="s">
        <v>648</v>
      </c>
      <c r="T287" s="43"/>
      <c r="U287" s="43"/>
      <c r="V287" s="43"/>
      <c r="W287" s="43"/>
      <c r="X287" s="43"/>
      <c r="Y287" s="43"/>
      <c r="Z287" s="43"/>
    </row>
    <row r="288" spans="1:26" ht="15.75" customHeight="1" x14ac:dyDescent="0.25">
      <c r="A288" s="43" t="s">
        <v>370</v>
      </c>
      <c r="B288" s="43" t="s">
        <v>2589</v>
      </c>
      <c r="C288" s="43" t="s">
        <v>2590</v>
      </c>
      <c r="D288" s="43" t="s">
        <v>617</v>
      </c>
      <c r="E288" s="43" t="s">
        <v>2591</v>
      </c>
      <c r="F288" s="43" t="s">
        <v>619</v>
      </c>
      <c r="G288" s="43" t="s">
        <v>2592</v>
      </c>
      <c r="H288" s="43" t="s">
        <v>2593</v>
      </c>
      <c r="I288" s="43" t="s">
        <v>2594</v>
      </c>
      <c r="J288" s="43" t="s">
        <v>1605</v>
      </c>
      <c r="K288" s="43"/>
      <c r="L288" s="43" t="s">
        <v>743</v>
      </c>
      <c r="M288" s="43" t="s">
        <v>744</v>
      </c>
      <c r="N288" s="43" t="s">
        <v>617</v>
      </c>
      <c r="O288" s="43" t="s">
        <v>626</v>
      </c>
      <c r="P288" s="43" t="s">
        <v>1136</v>
      </c>
      <c r="Q288" s="43" t="s">
        <v>2595</v>
      </c>
      <c r="R288" s="43" t="s">
        <v>2596</v>
      </c>
      <c r="S288" s="43" t="s">
        <v>629</v>
      </c>
      <c r="T288" s="43"/>
      <c r="U288" s="43"/>
      <c r="V288" s="43"/>
      <c r="W288" s="43"/>
      <c r="X288" s="43"/>
      <c r="Y288" s="43"/>
      <c r="Z288" s="43"/>
    </row>
    <row r="289" spans="1:26" ht="15.75" customHeight="1" x14ac:dyDescent="0.25">
      <c r="A289" s="43" t="s">
        <v>371</v>
      </c>
      <c r="B289" s="43" t="s">
        <v>2597</v>
      </c>
      <c r="C289" s="43" t="s">
        <v>2598</v>
      </c>
      <c r="D289" s="43" t="s">
        <v>962</v>
      </c>
      <c r="E289" s="43" t="s">
        <v>992</v>
      </c>
      <c r="F289" s="43" t="s">
        <v>619</v>
      </c>
      <c r="G289" s="43" t="s">
        <v>2599</v>
      </c>
      <c r="H289" s="43" t="s">
        <v>2600</v>
      </c>
      <c r="I289" s="43" t="s">
        <v>2601</v>
      </c>
      <c r="J289" s="43" t="s">
        <v>1625</v>
      </c>
      <c r="K289" s="43" t="s">
        <v>1123</v>
      </c>
      <c r="L289" s="43" t="s">
        <v>966</v>
      </c>
      <c r="M289" s="43" t="s">
        <v>645</v>
      </c>
      <c r="N289" s="43" t="s">
        <v>617</v>
      </c>
      <c r="O289" s="43" t="s">
        <v>626</v>
      </c>
      <c r="P289" s="43" t="s">
        <v>2602</v>
      </c>
      <c r="Q289" s="43" t="s">
        <v>2603</v>
      </c>
      <c r="R289" s="43" t="s">
        <v>2604</v>
      </c>
      <c r="S289" s="43" t="s">
        <v>648</v>
      </c>
      <c r="T289" s="43"/>
      <c r="U289" s="43"/>
      <c r="V289" s="43"/>
      <c r="W289" s="43"/>
      <c r="X289" s="43"/>
      <c r="Y289" s="43"/>
      <c r="Z289" s="43"/>
    </row>
    <row r="290" spans="1:26" ht="15.75" customHeight="1" x14ac:dyDescent="0.25">
      <c r="A290" s="43" t="s">
        <v>372</v>
      </c>
      <c r="B290" s="43" t="s">
        <v>2605</v>
      </c>
      <c r="C290" s="43" t="s">
        <v>2606</v>
      </c>
      <c r="D290" s="43" t="s">
        <v>617</v>
      </c>
      <c r="E290" s="43" t="s">
        <v>2607</v>
      </c>
      <c r="F290" s="43" t="s">
        <v>619</v>
      </c>
      <c r="G290" s="43" t="s">
        <v>2608</v>
      </c>
      <c r="H290" s="43" t="s">
        <v>735</v>
      </c>
      <c r="I290" s="43" t="s">
        <v>1845</v>
      </c>
      <c r="J290" s="43" t="s">
        <v>89</v>
      </c>
      <c r="K290" s="43" t="s">
        <v>623</v>
      </c>
      <c r="L290" s="43" t="s">
        <v>1380</v>
      </c>
      <c r="M290" s="43" t="s">
        <v>645</v>
      </c>
      <c r="N290" s="43" t="s">
        <v>617</v>
      </c>
      <c r="O290" s="43" t="s">
        <v>626</v>
      </c>
      <c r="P290" s="43" t="s">
        <v>1381</v>
      </c>
      <c r="Q290" s="43" t="s">
        <v>2609</v>
      </c>
      <c r="R290" s="43" t="s">
        <v>2610</v>
      </c>
      <c r="S290" s="43" t="s">
        <v>893</v>
      </c>
      <c r="T290" s="43"/>
      <c r="U290" s="43"/>
      <c r="V290" s="43"/>
      <c r="W290" s="43"/>
      <c r="X290" s="43"/>
      <c r="Y290" s="43"/>
      <c r="Z290" s="43"/>
    </row>
    <row r="291" spans="1:26" ht="15.75" customHeight="1" x14ac:dyDescent="0.25">
      <c r="A291" s="43" t="s">
        <v>373</v>
      </c>
      <c r="B291" s="43" t="s">
        <v>2611</v>
      </c>
      <c r="C291" s="43" t="s">
        <v>2612</v>
      </c>
      <c r="D291" s="43" t="s">
        <v>2613</v>
      </c>
      <c r="E291" s="43" t="s">
        <v>2614</v>
      </c>
      <c r="F291" s="43" t="s">
        <v>619</v>
      </c>
      <c r="G291" s="43" t="s">
        <v>2615</v>
      </c>
      <c r="H291" s="43" t="s">
        <v>653</v>
      </c>
      <c r="I291" s="43" t="s">
        <v>2616</v>
      </c>
      <c r="J291" s="43" t="s">
        <v>88</v>
      </c>
      <c r="K291" s="43" t="s">
        <v>623</v>
      </c>
      <c r="L291" s="43" t="s">
        <v>617</v>
      </c>
      <c r="M291" s="43" t="s">
        <v>617</v>
      </c>
      <c r="N291" s="43" t="s">
        <v>617</v>
      </c>
      <c r="O291" s="43" t="s">
        <v>626</v>
      </c>
      <c r="P291" s="43" t="s">
        <v>1268</v>
      </c>
      <c r="Q291" s="43" t="s">
        <v>2617</v>
      </c>
      <c r="R291" s="43" t="s">
        <v>2618</v>
      </c>
      <c r="S291" s="43" t="s">
        <v>629</v>
      </c>
      <c r="T291" s="43"/>
      <c r="U291" s="43"/>
      <c r="V291" s="43"/>
      <c r="W291" s="43"/>
      <c r="X291" s="43"/>
      <c r="Y291" s="43"/>
      <c r="Z291" s="43"/>
    </row>
    <row r="292" spans="1:26" ht="15.75" customHeight="1" x14ac:dyDescent="0.25">
      <c r="A292" s="43" t="s">
        <v>374</v>
      </c>
      <c r="B292" s="43" t="s">
        <v>2619</v>
      </c>
      <c r="C292" s="43" t="s">
        <v>2620</v>
      </c>
      <c r="D292" s="43" t="s">
        <v>2621</v>
      </c>
      <c r="E292" s="43" t="s">
        <v>2622</v>
      </c>
      <c r="F292" s="43" t="s">
        <v>619</v>
      </c>
      <c r="G292" s="43" t="s">
        <v>2623</v>
      </c>
      <c r="H292" s="43" t="s">
        <v>735</v>
      </c>
      <c r="I292" s="43" t="s">
        <v>2624</v>
      </c>
      <c r="J292" s="43" t="s">
        <v>131</v>
      </c>
      <c r="K292" s="43" t="s">
        <v>95</v>
      </c>
      <c r="L292" s="43" t="s">
        <v>2625</v>
      </c>
      <c r="M292" s="43" t="s">
        <v>2626</v>
      </c>
      <c r="N292" s="43" t="s">
        <v>1049</v>
      </c>
      <c r="O292" s="43" t="s">
        <v>626</v>
      </c>
      <c r="P292" s="43" t="s">
        <v>2506</v>
      </c>
      <c r="Q292" s="43" t="s">
        <v>2627</v>
      </c>
      <c r="R292" s="43" t="s">
        <v>2628</v>
      </c>
      <c r="S292" s="43" t="s">
        <v>648</v>
      </c>
      <c r="T292" s="43"/>
      <c r="U292" s="43"/>
      <c r="V292" s="43"/>
      <c r="W292" s="43"/>
      <c r="X292" s="43"/>
      <c r="Y292" s="43"/>
      <c r="Z292" s="43"/>
    </row>
    <row r="293" spans="1:26" ht="15.75" customHeight="1" x14ac:dyDescent="0.25">
      <c r="A293" s="43" t="s">
        <v>375</v>
      </c>
      <c r="B293" s="43" t="s">
        <v>2629</v>
      </c>
      <c r="C293" s="43" t="s">
        <v>2630</v>
      </c>
      <c r="D293" s="43" t="s">
        <v>617</v>
      </c>
      <c r="E293" s="43" t="s">
        <v>2631</v>
      </c>
      <c r="F293" s="43" t="s">
        <v>619</v>
      </c>
      <c r="G293" s="43" t="s">
        <v>2073</v>
      </c>
      <c r="H293" s="43" t="s">
        <v>1292</v>
      </c>
      <c r="I293" s="43" t="s">
        <v>2632</v>
      </c>
      <c r="J293" s="43" t="s">
        <v>2633</v>
      </c>
      <c r="K293" s="43" t="s">
        <v>1123</v>
      </c>
      <c r="L293" s="43" t="s">
        <v>617</v>
      </c>
      <c r="M293" s="43" t="s">
        <v>617</v>
      </c>
      <c r="N293" s="43" t="s">
        <v>617</v>
      </c>
      <c r="O293" s="43" t="s">
        <v>626</v>
      </c>
      <c r="P293" s="43" t="s">
        <v>974</v>
      </c>
      <c r="Q293" s="43" t="s">
        <v>2634</v>
      </c>
      <c r="R293" s="43" t="s">
        <v>2634</v>
      </c>
      <c r="S293" s="43" t="s">
        <v>893</v>
      </c>
      <c r="T293" s="43"/>
      <c r="U293" s="43"/>
      <c r="V293" s="43"/>
      <c r="W293" s="43"/>
      <c r="X293" s="43"/>
      <c r="Y293" s="43"/>
      <c r="Z293" s="43"/>
    </row>
    <row r="294" spans="1:26" ht="15.75" customHeight="1" x14ac:dyDescent="0.25">
      <c r="A294" s="43" t="s">
        <v>376</v>
      </c>
      <c r="B294" s="43" t="s">
        <v>2635</v>
      </c>
      <c r="C294" s="43" t="s">
        <v>2636</v>
      </c>
      <c r="D294" s="43" t="s">
        <v>617</v>
      </c>
      <c r="E294" s="43" t="s">
        <v>1224</v>
      </c>
      <c r="F294" s="43" t="s">
        <v>619</v>
      </c>
      <c r="G294" s="43" t="s">
        <v>2637</v>
      </c>
      <c r="H294" s="43" t="s">
        <v>653</v>
      </c>
      <c r="I294" s="43" t="s">
        <v>2638</v>
      </c>
      <c r="J294" s="43" t="s">
        <v>928</v>
      </c>
      <c r="K294" s="43" t="s">
        <v>623</v>
      </c>
      <c r="L294" s="43" t="s">
        <v>1305</v>
      </c>
      <c r="M294" s="43" t="s">
        <v>744</v>
      </c>
      <c r="N294" s="43" t="s">
        <v>617</v>
      </c>
      <c r="O294" s="43" t="s">
        <v>626</v>
      </c>
      <c r="P294" s="43" t="s">
        <v>1136</v>
      </c>
      <c r="Q294" s="43" t="s">
        <v>2639</v>
      </c>
      <c r="R294" s="43" t="s">
        <v>2640</v>
      </c>
      <c r="S294" s="43" t="s">
        <v>648</v>
      </c>
      <c r="T294" s="43"/>
      <c r="U294" s="43"/>
      <c r="V294" s="43"/>
      <c r="W294" s="43"/>
      <c r="X294" s="43"/>
      <c r="Y294" s="43"/>
      <c r="Z294" s="43"/>
    </row>
    <row r="295" spans="1:26" ht="15.75" customHeight="1" x14ac:dyDescent="0.25">
      <c r="A295" s="43" t="s">
        <v>377</v>
      </c>
      <c r="B295" s="43" t="s">
        <v>2641</v>
      </c>
      <c r="C295" s="43" t="s">
        <v>4513</v>
      </c>
      <c r="D295" s="43" t="s">
        <v>2642</v>
      </c>
      <c r="E295" s="43" t="s">
        <v>1864</v>
      </c>
      <c r="F295" s="43" t="s">
        <v>740</v>
      </c>
      <c r="G295" s="43" t="s">
        <v>2643</v>
      </c>
      <c r="H295" s="43" t="s">
        <v>1956</v>
      </c>
      <c r="I295" s="43" t="s">
        <v>2644</v>
      </c>
      <c r="J295" s="43" t="s">
        <v>84</v>
      </c>
      <c r="K295" s="43"/>
      <c r="L295" s="43" t="s">
        <v>644</v>
      </c>
      <c r="M295" s="43" t="s">
        <v>645</v>
      </c>
      <c r="N295" s="43" t="s">
        <v>617</v>
      </c>
      <c r="O295" s="43" t="s">
        <v>626</v>
      </c>
      <c r="P295" s="43" t="s">
        <v>2645</v>
      </c>
      <c r="Q295" s="43" t="s">
        <v>2646</v>
      </c>
      <c r="R295" s="43" t="s">
        <v>2647</v>
      </c>
      <c r="S295" s="43" t="s">
        <v>893</v>
      </c>
      <c r="T295" s="43"/>
      <c r="U295" s="43"/>
      <c r="V295" s="43"/>
      <c r="W295" s="43"/>
      <c r="X295" s="43"/>
      <c r="Y295" s="43"/>
      <c r="Z295" s="43"/>
    </row>
    <row r="296" spans="1:26" ht="15.75" customHeight="1" x14ac:dyDescent="0.25">
      <c r="A296" s="43" t="s">
        <v>378</v>
      </c>
      <c r="B296" s="43" t="s">
        <v>2648</v>
      </c>
      <c r="C296" s="43" t="s">
        <v>2649</v>
      </c>
      <c r="D296" s="43" t="s">
        <v>617</v>
      </c>
      <c r="E296" s="43" t="s">
        <v>2650</v>
      </c>
      <c r="F296" s="43" t="s">
        <v>619</v>
      </c>
      <c r="G296" s="43" t="s">
        <v>2651</v>
      </c>
      <c r="H296" s="43" t="s">
        <v>735</v>
      </c>
      <c r="I296" s="43" t="s">
        <v>2652</v>
      </c>
      <c r="J296" s="43" t="s">
        <v>1122</v>
      </c>
      <c r="K296" s="43" t="s">
        <v>1102</v>
      </c>
      <c r="L296" s="43" t="s">
        <v>1358</v>
      </c>
      <c r="M296" s="43" t="s">
        <v>855</v>
      </c>
      <c r="N296" s="43" t="s">
        <v>617</v>
      </c>
      <c r="O296" s="43" t="s">
        <v>626</v>
      </c>
      <c r="P296" s="43" t="s">
        <v>1388</v>
      </c>
      <c r="Q296" s="43" t="s">
        <v>2653</v>
      </c>
      <c r="R296" s="43" t="s">
        <v>2654</v>
      </c>
      <c r="S296" s="43" t="s">
        <v>629</v>
      </c>
      <c r="T296" s="43"/>
      <c r="U296" s="43"/>
      <c r="V296" s="43"/>
      <c r="W296" s="43"/>
      <c r="X296" s="43"/>
      <c r="Y296" s="43"/>
      <c r="Z296" s="43"/>
    </row>
    <row r="297" spans="1:26" ht="15.75" customHeight="1" x14ac:dyDescent="0.25">
      <c r="A297" s="43" t="s">
        <v>379</v>
      </c>
      <c r="B297" s="43" t="s">
        <v>2655</v>
      </c>
      <c r="C297" s="43" t="s">
        <v>2656</v>
      </c>
      <c r="D297" s="43" t="s">
        <v>617</v>
      </c>
      <c r="E297" s="43" t="s">
        <v>2657</v>
      </c>
      <c r="F297" s="43" t="s">
        <v>740</v>
      </c>
      <c r="G297" s="43" t="s">
        <v>2658</v>
      </c>
      <c r="H297" s="43" t="s">
        <v>653</v>
      </c>
      <c r="I297" s="43" t="s">
        <v>2659</v>
      </c>
      <c r="J297" s="43" t="s">
        <v>89</v>
      </c>
      <c r="K297" s="43"/>
      <c r="L297" s="43" t="s">
        <v>958</v>
      </c>
      <c r="M297" s="43" t="s">
        <v>855</v>
      </c>
      <c r="N297" s="43" t="s">
        <v>617</v>
      </c>
      <c r="O297" s="43" t="s">
        <v>626</v>
      </c>
      <c r="P297" s="43" t="s">
        <v>2660</v>
      </c>
      <c r="Q297" s="43" t="s">
        <v>2661</v>
      </c>
      <c r="R297" s="43" t="s">
        <v>2662</v>
      </c>
      <c r="S297" s="43" t="s">
        <v>893</v>
      </c>
      <c r="T297" s="43"/>
      <c r="U297" s="43"/>
      <c r="V297" s="43"/>
      <c r="W297" s="43"/>
      <c r="X297" s="43"/>
      <c r="Y297" s="43"/>
      <c r="Z297" s="43"/>
    </row>
    <row r="298" spans="1:26" ht="15.75" customHeight="1" x14ac:dyDescent="0.25">
      <c r="A298" s="43" t="s">
        <v>380</v>
      </c>
      <c r="B298" s="43" t="s">
        <v>2663</v>
      </c>
      <c r="C298" s="43" t="s">
        <v>2664</v>
      </c>
      <c r="D298" s="43" t="s">
        <v>962</v>
      </c>
      <c r="E298" s="43" t="s">
        <v>2665</v>
      </c>
      <c r="F298" s="43" t="s">
        <v>619</v>
      </c>
      <c r="G298" s="43" t="s">
        <v>2666</v>
      </c>
      <c r="H298" s="43" t="s">
        <v>1123</v>
      </c>
      <c r="I298" s="43" t="s">
        <v>2667</v>
      </c>
      <c r="J298" s="43" t="s">
        <v>1101</v>
      </c>
      <c r="K298" s="43" t="s">
        <v>1123</v>
      </c>
      <c r="L298" s="43" t="s">
        <v>966</v>
      </c>
      <c r="M298" s="43" t="s">
        <v>645</v>
      </c>
      <c r="N298" s="43" t="s">
        <v>617</v>
      </c>
      <c r="O298" s="43" t="s">
        <v>626</v>
      </c>
      <c r="P298" s="43" t="s">
        <v>2668</v>
      </c>
      <c r="Q298" s="43" t="s">
        <v>2669</v>
      </c>
      <c r="R298" s="43" t="s">
        <v>2670</v>
      </c>
      <c r="S298" s="43" t="s">
        <v>629</v>
      </c>
      <c r="T298" s="43"/>
      <c r="U298" s="43"/>
      <c r="V298" s="43"/>
      <c r="W298" s="43"/>
      <c r="X298" s="43"/>
      <c r="Y298" s="43"/>
      <c r="Z298" s="43"/>
    </row>
    <row r="299" spans="1:26" ht="15.75" customHeight="1" x14ac:dyDescent="0.25">
      <c r="A299" s="43" t="s">
        <v>381</v>
      </c>
      <c r="B299" s="43" t="s">
        <v>2671</v>
      </c>
      <c r="C299" s="43" t="s">
        <v>2672</v>
      </c>
      <c r="D299" s="43" t="s">
        <v>2673</v>
      </c>
      <c r="E299" s="43" t="s">
        <v>2674</v>
      </c>
      <c r="F299" s="43" t="s">
        <v>619</v>
      </c>
      <c r="G299" s="43" t="s">
        <v>2675</v>
      </c>
      <c r="H299" s="43" t="s">
        <v>735</v>
      </c>
      <c r="I299" s="43" t="s">
        <v>2676</v>
      </c>
      <c r="J299" s="43" t="s">
        <v>86</v>
      </c>
      <c r="K299" s="43"/>
      <c r="L299" s="43" t="s">
        <v>680</v>
      </c>
      <c r="M299" s="43" t="s">
        <v>617</v>
      </c>
      <c r="N299" s="43" t="s">
        <v>617</v>
      </c>
      <c r="O299" s="43" t="s">
        <v>626</v>
      </c>
      <c r="P299" s="43" t="s">
        <v>714</v>
      </c>
      <c r="Q299" s="43" t="s">
        <v>2677</v>
      </c>
      <c r="R299" s="43" t="s">
        <v>2678</v>
      </c>
      <c r="S299" s="43" t="s">
        <v>893</v>
      </c>
      <c r="T299" s="43"/>
      <c r="U299" s="43"/>
      <c r="V299" s="43"/>
      <c r="W299" s="43"/>
      <c r="X299" s="43"/>
      <c r="Y299" s="43"/>
      <c r="Z299" s="43"/>
    </row>
    <row r="300" spans="1:26" ht="15.75" customHeight="1" x14ac:dyDescent="0.25">
      <c r="A300" s="43" t="s">
        <v>382</v>
      </c>
      <c r="B300" s="43" t="s">
        <v>2679</v>
      </c>
      <c r="C300" s="43" t="s">
        <v>2680</v>
      </c>
      <c r="D300" s="43" t="s">
        <v>617</v>
      </c>
      <c r="E300" s="43" t="s">
        <v>2681</v>
      </c>
      <c r="F300" s="43" t="s">
        <v>619</v>
      </c>
      <c r="G300" s="43" t="s">
        <v>2682</v>
      </c>
      <c r="H300" s="43" t="s">
        <v>2683</v>
      </c>
      <c r="I300" s="43" t="s">
        <v>2684</v>
      </c>
      <c r="J300" s="43" t="s">
        <v>2633</v>
      </c>
      <c r="K300" s="43" t="s">
        <v>1102</v>
      </c>
      <c r="L300" s="43" t="s">
        <v>779</v>
      </c>
      <c r="M300" s="43" t="s">
        <v>780</v>
      </c>
      <c r="N300" s="43" t="s">
        <v>617</v>
      </c>
      <c r="O300" s="43" t="s">
        <v>626</v>
      </c>
      <c r="P300" s="43" t="s">
        <v>714</v>
      </c>
      <c r="Q300" s="43" t="s">
        <v>2685</v>
      </c>
      <c r="R300" s="43" t="s">
        <v>2686</v>
      </c>
      <c r="S300" s="43" t="s">
        <v>893</v>
      </c>
      <c r="T300" s="43"/>
      <c r="U300" s="43"/>
      <c r="V300" s="43"/>
      <c r="W300" s="43"/>
      <c r="X300" s="43"/>
      <c r="Y300" s="43"/>
      <c r="Z300" s="43"/>
    </row>
    <row r="301" spans="1:26" ht="15.75" customHeight="1" x14ac:dyDescent="0.25">
      <c r="A301" s="43" t="s">
        <v>383</v>
      </c>
      <c r="B301" s="43" t="s">
        <v>2687</v>
      </c>
      <c r="C301" s="43" t="s">
        <v>2688</v>
      </c>
      <c r="D301" s="43" t="s">
        <v>617</v>
      </c>
      <c r="E301" s="43" t="s">
        <v>2106</v>
      </c>
      <c r="F301" s="43" t="s">
        <v>619</v>
      </c>
      <c r="G301" s="43" t="s">
        <v>2689</v>
      </c>
      <c r="H301" s="43" t="s">
        <v>2683</v>
      </c>
      <c r="I301" s="43" t="s">
        <v>643</v>
      </c>
      <c r="J301" s="43" t="s">
        <v>1625</v>
      </c>
      <c r="K301" s="43" t="s">
        <v>1102</v>
      </c>
      <c r="L301" s="43" t="s">
        <v>644</v>
      </c>
      <c r="M301" s="43" t="s">
        <v>645</v>
      </c>
      <c r="N301" s="43" t="s">
        <v>617</v>
      </c>
      <c r="O301" s="43" t="s">
        <v>626</v>
      </c>
      <c r="P301" s="43" t="s">
        <v>1760</v>
      </c>
      <c r="Q301" s="43" t="s">
        <v>2690</v>
      </c>
      <c r="R301" s="43" t="s">
        <v>2691</v>
      </c>
      <c r="S301" s="43" t="s">
        <v>629</v>
      </c>
      <c r="T301" s="43"/>
      <c r="U301" s="43"/>
      <c r="V301" s="43"/>
      <c r="W301" s="43"/>
      <c r="X301" s="43"/>
      <c r="Y301" s="43"/>
      <c r="Z301" s="43"/>
    </row>
    <row r="302" spans="1:26" ht="15.75" customHeight="1" x14ac:dyDescent="0.25">
      <c r="A302" s="43" t="s">
        <v>384</v>
      </c>
      <c r="B302" s="43" t="s">
        <v>2692</v>
      </c>
      <c r="C302" s="43" t="s">
        <v>2693</v>
      </c>
      <c r="D302" s="43" t="s">
        <v>617</v>
      </c>
      <c r="E302" s="43" t="s">
        <v>1638</v>
      </c>
      <c r="F302" s="43" t="s">
        <v>619</v>
      </c>
      <c r="G302" s="43" t="s">
        <v>686</v>
      </c>
      <c r="H302" s="43" t="s">
        <v>653</v>
      </c>
      <c r="I302" s="43" t="s">
        <v>643</v>
      </c>
      <c r="J302" s="43" t="s">
        <v>1625</v>
      </c>
      <c r="K302" s="43"/>
      <c r="L302" s="43" t="s">
        <v>644</v>
      </c>
      <c r="M302" s="43" t="s">
        <v>645</v>
      </c>
      <c r="N302" s="43" t="s">
        <v>617</v>
      </c>
      <c r="O302" s="43" t="s">
        <v>626</v>
      </c>
      <c r="P302" s="43" t="s">
        <v>2694</v>
      </c>
      <c r="Q302" s="43" t="s">
        <v>2695</v>
      </c>
      <c r="R302" s="43" t="s">
        <v>2696</v>
      </c>
      <c r="S302" s="43" t="s">
        <v>648</v>
      </c>
      <c r="T302" s="43"/>
      <c r="U302" s="43"/>
      <c r="V302" s="43"/>
      <c r="W302" s="43"/>
      <c r="X302" s="43"/>
      <c r="Y302" s="43"/>
      <c r="Z302" s="43"/>
    </row>
    <row r="303" spans="1:26" ht="15.75" customHeight="1" x14ac:dyDescent="0.25">
      <c r="A303" s="43" t="s">
        <v>385</v>
      </c>
      <c r="B303" s="43" t="s">
        <v>2697</v>
      </c>
      <c r="C303" s="43" t="s">
        <v>2698</v>
      </c>
      <c r="D303" s="43" t="s">
        <v>617</v>
      </c>
      <c r="E303" s="43" t="s">
        <v>2699</v>
      </c>
      <c r="F303" s="43" t="s">
        <v>619</v>
      </c>
      <c r="G303" s="43" t="s">
        <v>2700</v>
      </c>
      <c r="H303" s="43" t="s">
        <v>735</v>
      </c>
      <c r="I303" s="43" t="s">
        <v>2169</v>
      </c>
      <c r="J303" s="43" t="s">
        <v>1101</v>
      </c>
      <c r="K303" s="43" t="s">
        <v>1123</v>
      </c>
      <c r="L303" s="43" t="s">
        <v>2170</v>
      </c>
      <c r="M303" s="43" t="s">
        <v>840</v>
      </c>
      <c r="N303" s="43" t="s">
        <v>617</v>
      </c>
      <c r="O303" s="43" t="s">
        <v>626</v>
      </c>
      <c r="P303" s="43" t="s">
        <v>1537</v>
      </c>
      <c r="Q303" s="43" t="s">
        <v>2701</v>
      </c>
      <c r="R303" s="43" t="s">
        <v>2702</v>
      </c>
      <c r="S303" s="43" t="s">
        <v>629</v>
      </c>
      <c r="T303" s="43"/>
      <c r="U303" s="43"/>
      <c r="V303" s="43"/>
      <c r="W303" s="43"/>
      <c r="X303" s="43"/>
      <c r="Y303" s="43"/>
      <c r="Z303" s="43"/>
    </row>
    <row r="304" spans="1:26" ht="15.75" customHeight="1" x14ac:dyDescent="0.25">
      <c r="A304" s="43" t="s">
        <v>386</v>
      </c>
      <c r="B304" s="43" t="s">
        <v>2703</v>
      </c>
      <c r="C304" s="43" t="s">
        <v>2704</v>
      </c>
      <c r="D304" s="43" t="s">
        <v>617</v>
      </c>
      <c r="E304" s="43" t="s">
        <v>2705</v>
      </c>
      <c r="F304" s="43" t="s">
        <v>619</v>
      </c>
      <c r="G304" s="43" t="s">
        <v>2706</v>
      </c>
      <c r="H304" s="43" t="s">
        <v>2683</v>
      </c>
      <c r="I304" s="43" t="s">
        <v>868</v>
      </c>
      <c r="J304" s="43" t="s">
        <v>1122</v>
      </c>
      <c r="K304" s="43" t="s">
        <v>1102</v>
      </c>
      <c r="L304" s="43" t="s">
        <v>655</v>
      </c>
      <c r="M304" s="43" t="s">
        <v>617</v>
      </c>
      <c r="N304" s="43" t="s">
        <v>617</v>
      </c>
      <c r="O304" s="43" t="s">
        <v>626</v>
      </c>
      <c r="P304" s="43" t="s">
        <v>656</v>
      </c>
      <c r="Q304" s="43" t="s">
        <v>2707</v>
      </c>
      <c r="R304" s="43" t="s">
        <v>2708</v>
      </c>
      <c r="S304" s="43" t="s">
        <v>648</v>
      </c>
      <c r="T304" s="43"/>
      <c r="U304" s="43"/>
      <c r="V304" s="43"/>
      <c r="W304" s="43"/>
      <c r="X304" s="43"/>
      <c r="Y304" s="43"/>
      <c r="Z304" s="43"/>
    </row>
    <row r="305" spans="1:26" ht="15.75" customHeight="1" x14ac:dyDescent="0.25">
      <c r="A305" s="43" t="s">
        <v>387</v>
      </c>
      <c r="B305" s="43" t="s">
        <v>2709</v>
      </c>
      <c r="C305" s="43" t="s">
        <v>2710</v>
      </c>
      <c r="D305" s="43" t="s">
        <v>617</v>
      </c>
      <c r="E305" s="43" t="s">
        <v>2711</v>
      </c>
      <c r="F305" s="43" t="s">
        <v>619</v>
      </c>
      <c r="G305" s="43" t="s">
        <v>2712</v>
      </c>
      <c r="H305" s="43" t="s">
        <v>653</v>
      </c>
      <c r="I305" s="43" t="s">
        <v>2713</v>
      </c>
      <c r="J305" s="43" t="s">
        <v>1101</v>
      </c>
      <c r="K305" s="43" t="s">
        <v>1123</v>
      </c>
      <c r="L305" s="43" t="s">
        <v>958</v>
      </c>
      <c r="M305" s="43" t="s">
        <v>855</v>
      </c>
      <c r="N305" s="43" t="s">
        <v>617</v>
      </c>
      <c r="O305" s="43" t="s">
        <v>626</v>
      </c>
      <c r="P305" s="43" t="s">
        <v>929</v>
      </c>
      <c r="Q305" s="43" t="s">
        <v>2714</v>
      </c>
      <c r="R305" s="43" t="s">
        <v>2715</v>
      </c>
      <c r="S305" s="43" t="s">
        <v>629</v>
      </c>
      <c r="T305" s="43"/>
      <c r="U305" s="43"/>
      <c r="V305" s="43"/>
      <c r="W305" s="43"/>
      <c r="X305" s="43"/>
      <c r="Y305" s="43"/>
      <c r="Z305" s="43"/>
    </row>
    <row r="306" spans="1:26" ht="15.75" customHeight="1" x14ac:dyDescent="0.25">
      <c r="A306" s="43" t="s">
        <v>388</v>
      </c>
      <c r="B306" s="43" t="s">
        <v>2716</v>
      </c>
      <c r="C306" s="43" t="s">
        <v>2717</v>
      </c>
      <c r="D306" s="43" t="s">
        <v>617</v>
      </c>
      <c r="E306" s="43" t="s">
        <v>2718</v>
      </c>
      <c r="F306" s="43" t="s">
        <v>619</v>
      </c>
      <c r="G306" s="43" t="s">
        <v>2719</v>
      </c>
      <c r="H306" s="43" t="s">
        <v>2683</v>
      </c>
      <c r="I306" s="43" t="s">
        <v>772</v>
      </c>
      <c r="J306" s="43" t="s">
        <v>1227</v>
      </c>
      <c r="K306" s="43" t="s">
        <v>1102</v>
      </c>
      <c r="L306" s="43" t="s">
        <v>743</v>
      </c>
      <c r="M306" s="43" t="s">
        <v>744</v>
      </c>
      <c r="N306" s="43" t="s">
        <v>617</v>
      </c>
      <c r="O306" s="43" t="s">
        <v>626</v>
      </c>
      <c r="P306" s="43" t="s">
        <v>745</v>
      </c>
      <c r="Q306" s="43" t="s">
        <v>2720</v>
      </c>
      <c r="R306" s="43" t="s">
        <v>2721</v>
      </c>
      <c r="S306" s="43" t="s">
        <v>648</v>
      </c>
      <c r="T306" s="43"/>
      <c r="U306" s="43"/>
      <c r="V306" s="43"/>
      <c r="W306" s="43"/>
      <c r="X306" s="43"/>
      <c r="Y306" s="43"/>
      <c r="Z306" s="43"/>
    </row>
    <row r="307" spans="1:26" ht="15.75" customHeight="1" x14ac:dyDescent="0.25">
      <c r="A307" s="43" t="s">
        <v>389</v>
      </c>
      <c r="B307" s="43" t="s">
        <v>2722</v>
      </c>
      <c r="C307" s="43" t="s">
        <v>2723</v>
      </c>
      <c r="D307" s="43" t="s">
        <v>617</v>
      </c>
      <c r="E307" s="43" t="s">
        <v>1631</v>
      </c>
      <c r="F307" s="43" t="s">
        <v>740</v>
      </c>
      <c r="G307" s="43" t="s">
        <v>2724</v>
      </c>
      <c r="H307" s="43" t="s">
        <v>1292</v>
      </c>
      <c r="I307" s="43" t="s">
        <v>2725</v>
      </c>
      <c r="J307" s="43" t="s">
        <v>175</v>
      </c>
      <c r="K307" s="43"/>
      <c r="L307" s="43" t="s">
        <v>779</v>
      </c>
      <c r="M307" s="43" t="s">
        <v>780</v>
      </c>
      <c r="N307" s="43" t="s">
        <v>617</v>
      </c>
      <c r="O307" s="43" t="s">
        <v>626</v>
      </c>
      <c r="P307" s="43" t="s">
        <v>3165</v>
      </c>
      <c r="Q307" s="43" t="s">
        <v>2726</v>
      </c>
      <c r="R307" s="43" t="s">
        <v>2727</v>
      </c>
      <c r="S307" s="43" t="s">
        <v>893</v>
      </c>
      <c r="T307" s="43"/>
      <c r="U307" s="43"/>
      <c r="V307" s="43"/>
      <c r="W307" s="43"/>
      <c r="X307" s="43"/>
      <c r="Y307" s="43"/>
      <c r="Z307" s="43"/>
    </row>
    <row r="308" spans="1:26" ht="15.75" customHeight="1" x14ac:dyDescent="0.25">
      <c r="A308" s="43" t="s">
        <v>390</v>
      </c>
      <c r="B308" s="43" t="s">
        <v>2728</v>
      </c>
      <c r="C308" s="43" t="s">
        <v>2729</v>
      </c>
      <c r="D308" s="43" t="s">
        <v>617</v>
      </c>
      <c r="E308" s="43" t="s">
        <v>2730</v>
      </c>
      <c r="F308" s="43" t="s">
        <v>619</v>
      </c>
      <c r="G308" s="43" t="s">
        <v>2731</v>
      </c>
      <c r="H308" s="43" t="s">
        <v>653</v>
      </c>
      <c r="I308" s="43" t="s">
        <v>2732</v>
      </c>
      <c r="J308" s="43" t="s">
        <v>99</v>
      </c>
      <c r="K308" s="43"/>
      <c r="L308" s="43" t="s">
        <v>1412</v>
      </c>
      <c r="M308" s="43" t="s">
        <v>645</v>
      </c>
      <c r="N308" s="43" t="s">
        <v>617</v>
      </c>
      <c r="O308" s="43" t="s">
        <v>626</v>
      </c>
      <c r="P308" s="43" t="s">
        <v>974</v>
      </c>
      <c r="Q308" s="43" t="s">
        <v>2733</v>
      </c>
      <c r="R308" s="43" t="s">
        <v>2734</v>
      </c>
      <c r="S308" s="43" t="s">
        <v>648</v>
      </c>
      <c r="T308" s="43"/>
      <c r="U308" s="43"/>
      <c r="V308" s="43"/>
      <c r="W308" s="43"/>
      <c r="X308" s="43"/>
      <c r="Y308" s="43"/>
      <c r="Z308" s="43"/>
    </row>
    <row r="309" spans="1:26" ht="15.75" customHeight="1" x14ac:dyDescent="0.25">
      <c r="A309" s="43" t="s">
        <v>391</v>
      </c>
      <c r="B309" s="43" t="s">
        <v>2735</v>
      </c>
      <c r="C309" s="43" t="s">
        <v>2736</v>
      </c>
      <c r="D309" s="43" t="s">
        <v>962</v>
      </c>
      <c r="E309" s="43" t="s">
        <v>2239</v>
      </c>
      <c r="F309" s="43" t="s">
        <v>619</v>
      </c>
      <c r="G309" s="43" t="s">
        <v>2737</v>
      </c>
      <c r="H309" s="43" t="s">
        <v>2738</v>
      </c>
      <c r="I309" s="43" t="s">
        <v>2739</v>
      </c>
      <c r="J309" s="43" t="s">
        <v>2740</v>
      </c>
      <c r="K309" s="43" t="s">
        <v>1605</v>
      </c>
      <c r="L309" s="43" t="s">
        <v>2741</v>
      </c>
      <c r="M309" s="43" t="s">
        <v>2372</v>
      </c>
      <c r="N309" s="43" t="s">
        <v>1049</v>
      </c>
      <c r="O309" s="43" t="s">
        <v>626</v>
      </c>
      <c r="P309" s="43" t="s">
        <v>2742</v>
      </c>
      <c r="Q309" s="43" t="s">
        <v>2743</v>
      </c>
      <c r="R309" s="43" t="s">
        <v>2744</v>
      </c>
      <c r="S309" s="43" t="s">
        <v>648</v>
      </c>
      <c r="T309" s="43"/>
      <c r="U309" s="43"/>
      <c r="V309" s="43"/>
      <c r="W309" s="43"/>
      <c r="X309" s="43"/>
      <c r="Y309" s="43"/>
      <c r="Z309" s="43"/>
    </row>
    <row r="310" spans="1:26" ht="15.75" customHeight="1" x14ac:dyDescent="0.25">
      <c r="A310" s="43" t="s">
        <v>392</v>
      </c>
      <c r="B310" s="43" t="s">
        <v>2745</v>
      </c>
      <c r="C310" s="43" t="s">
        <v>2746</v>
      </c>
      <c r="D310" s="43" t="s">
        <v>962</v>
      </c>
      <c r="E310" s="43" t="s">
        <v>2747</v>
      </c>
      <c r="F310" s="43" t="s">
        <v>619</v>
      </c>
      <c r="G310" s="43" t="s">
        <v>2748</v>
      </c>
      <c r="H310" s="43" t="s">
        <v>653</v>
      </c>
      <c r="I310" s="43" t="s">
        <v>2749</v>
      </c>
      <c r="J310" s="43" t="s">
        <v>2084</v>
      </c>
      <c r="K310" s="43" t="s">
        <v>623</v>
      </c>
      <c r="L310" s="43" t="s">
        <v>1220</v>
      </c>
      <c r="M310" s="43" t="s">
        <v>840</v>
      </c>
      <c r="N310" s="43" t="s">
        <v>617</v>
      </c>
      <c r="O310" s="43" t="s">
        <v>626</v>
      </c>
      <c r="P310" s="43" t="s">
        <v>899</v>
      </c>
      <c r="Q310" s="43" t="s">
        <v>2750</v>
      </c>
      <c r="R310" s="43" t="s">
        <v>2751</v>
      </c>
      <c r="S310" s="43" t="s">
        <v>629</v>
      </c>
      <c r="T310" s="43"/>
      <c r="U310" s="43"/>
      <c r="V310" s="43"/>
      <c r="W310" s="43"/>
      <c r="X310" s="43"/>
      <c r="Y310" s="43"/>
      <c r="Z310" s="43"/>
    </row>
    <row r="311" spans="1:26" ht="15.75" customHeight="1" x14ac:dyDescent="0.25">
      <c r="A311" s="43" t="s">
        <v>393</v>
      </c>
      <c r="B311" s="43" t="s">
        <v>2752</v>
      </c>
      <c r="C311" s="43" t="s">
        <v>2753</v>
      </c>
      <c r="D311" s="43" t="s">
        <v>617</v>
      </c>
      <c r="E311" s="43" t="s">
        <v>2408</v>
      </c>
      <c r="F311" s="43" t="s">
        <v>740</v>
      </c>
      <c r="G311" s="43" t="s">
        <v>2754</v>
      </c>
      <c r="H311" s="43" t="s">
        <v>653</v>
      </c>
      <c r="I311" s="43" t="s">
        <v>2755</v>
      </c>
      <c r="J311" s="43" t="s">
        <v>93</v>
      </c>
      <c r="K311" s="43" t="s">
        <v>623</v>
      </c>
      <c r="L311" s="43" t="s">
        <v>854</v>
      </c>
      <c r="M311" s="43" t="s">
        <v>855</v>
      </c>
      <c r="N311" s="43" t="s">
        <v>617</v>
      </c>
      <c r="O311" s="43" t="s">
        <v>626</v>
      </c>
      <c r="P311" s="43" t="s">
        <v>1388</v>
      </c>
      <c r="Q311" s="43" t="s">
        <v>2756</v>
      </c>
      <c r="R311" s="43" t="s">
        <v>2757</v>
      </c>
      <c r="S311" s="43" t="s">
        <v>629</v>
      </c>
      <c r="T311" s="43"/>
      <c r="U311" s="43"/>
      <c r="V311" s="43"/>
      <c r="W311" s="43"/>
      <c r="X311" s="43"/>
      <c r="Y311" s="43"/>
      <c r="Z311" s="43"/>
    </row>
    <row r="312" spans="1:26" ht="15.75" customHeight="1" x14ac:dyDescent="0.25">
      <c r="A312" s="43" t="s">
        <v>394</v>
      </c>
      <c r="B312" s="43" t="s">
        <v>2758</v>
      </c>
      <c r="C312" s="43" t="s">
        <v>2759</v>
      </c>
      <c r="D312" s="43" t="s">
        <v>1677</v>
      </c>
      <c r="E312" s="43" t="s">
        <v>2760</v>
      </c>
      <c r="F312" s="43" t="s">
        <v>619</v>
      </c>
      <c r="G312" s="43" t="s">
        <v>2761</v>
      </c>
      <c r="H312" s="43" t="s">
        <v>1292</v>
      </c>
      <c r="I312" s="43" t="s">
        <v>2762</v>
      </c>
      <c r="J312" s="43" t="s">
        <v>114</v>
      </c>
      <c r="K312" s="43" t="s">
        <v>623</v>
      </c>
      <c r="L312" s="43" t="s">
        <v>1320</v>
      </c>
      <c r="M312" s="43" t="s">
        <v>818</v>
      </c>
      <c r="N312" s="43" t="s">
        <v>617</v>
      </c>
      <c r="O312" s="43" t="s">
        <v>626</v>
      </c>
      <c r="P312" s="43" t="s">
        <v>1130</v>
      </c>
      <c r="Q312" s="43" t="s">
        <v>2763</v>
      </c>
      <c r="R312" s="43" t="s">
        <v>2764</v>
      </c>
      <c r="S312" s="43" t="s">
        <v>648</v>
      </c>
      <c r="T312" s="43"/>
      <c r="U312" s="43"/>
      <c r="V312" s="43"/>
      <c r="W312" s="43"/>
      <c r="X312" s="43"/>
      <c r="Y312" s="43"/>
      <c r="Z312" s="43"/>
    </row>
    <row r="313" spans="1:26" ht="15.75" customHeight="1" x14ac:dyDescent="0.25">
      <c r="A313" s="43" t="s">
        <v>395</v>
      </c>
      <c r="B313" s="43" t="s">
        <v>2765</v>
      </c>
      <c r="C313" s="43" t="s">
        <v>2766</v>
      </c>
      <c r="D313" s="43" t="s">
        <v>617</v>
      </c>
      <c r="E313" s="43" t="s">
        <v>2767</v>
      </c>
      <c r="F313" s="43" t="s">
        <v>619</v>
      </c>
      <c r="G313" s="43" t="s">
        <v>2768</v>
      </c>
      <c r="H313" s="43" t="s">
        <v>653</v>
      </c>
      <c r="I313" s="43" t="s">
        <v>2428</v>
      </c>
      <c r="J313" s="43" t="s">
        <v>93</v>
      </c>
      <c r="K313" s="43"/>
      <c r="L313" s="43" t="s">
        <v>854</v>
      </c>
      <c r="M313" s="43" t="s">
        <v>855</v>
      </c>
      <c r="N313" s="43" t="s">
        <v>617</v>
      </c>
      <c r="O313" s="43" t="s">
        <v>626</v>
      </c>
      <c r="P313" s="43" t="s">
        <v>929</v>
      </c>
      <c r="Q313" s="43" t="s">
        <v>2769</v>
      </c>
      <c r="R313" s="43" t="s">
        <v>2770</v>
      </c>
      <c r="S313" s="43" t="s">
        <v>730</v>
      </c>
      <c r="T313" s="43"/>
      <c r="U313" s="43"/>
      <c r="V313" s="43"/>
      <c r="W313" s="43"/>
      <c r="X313" s="43"/>
      <c r="Y313" s="43"/>
      <c r="Z313" s="43"/>
    </row>
    <row r="314" spans="1:26" ht="15.75" customHeight="1" x14ac:dyDescent="0.25">
      <c r="A314" s="43" t="s">
        <v>396</v>
      </c>
      <c r="B314" s="43" t="s">
        <v>2771</v>
      </c>
      <c r="C314" s="43" t="s">
        <v>2772</v>
      </c>
      <c r="D314" s="43" t="s">
        <v>617</v>
      </c>
      <c r="E314" s="43" t="s">
        <v>2773</v>
      </c>
      <c r="F314" s="43" t="s">
        <v>619</v>
      </c>
      <c r="G314" s="43" t="s">
        <v>2651</v>
      </c>
      <c r="H314" s="43" t="s">
        <v>653</v>
      </c>
      <c r="I314" s="43" t="s">
        <v>2774</v>
      </c>
      <c r="J314" s="43" t="s">
        <v>88</v>
      </c>
      <c r="K314" s="43" t="s">
        <v>623</v>
      </c>
      <c r="L314" s="43" t="s">
        <v>760</v>
      </c>
      <c r="M314" s="43" t="s">
        <v>664</v>
      </c>
      <c r="N314" s="43" t="s">
        <v>617</v>
      </c>
      <c r="O314" s="43" t="s">
        <v>626</v>
      </c>
      <c r="P314" s="43" t="s">
        <v>1130</v>
      </c>
      <c r="Q314" s="43" t="s">
        <v>2775</v>
      </c>
      <c r="R314" s="43" t="s">
        <v>2776</v>
      </c>
      <c r="S314" s="43" t="s">
        <v>629</v>
      </c>
      <c r="T314" s="43"/>
      <c r="U314" s="43"/>
      <c r="V314" s="43"/>
      <c r="W314" s="43"/>
      <c r="X314" s="43"/>
      <c r="Y314" s="43"/>
      <c r="Z314" s="43"/>
    </row>
    <row r="315" spans="1:26" ht="15.75" customHeight="1" x14ac:dyDescent="0.25">
      <c r="A315" s="43" t="s">
        <v>397</v>
      </c>
      <c r="B315" s="43" t="s">
        <v>2777</v>
      </c>
      <c r="C315" s="43" t="s">
        <v>2778</v>
      </c>
      <c r="D315" s="43" t="s">
        <v>617</v>
      </c>
      <c r="E315" s="43" t="s">
        <v>2779</v>
      </c>
      <c r="F315" s="43" t="s">
        <v>619</v>
      </c>
      <c r="G315" s="43" t="s">
        <v>2780</v>
      </c>
      <c r="H315" s="43" t="s">
        <v>653</v>
      </c>
      <c r="I315" s="43" t="s">
        <v>2781</v>
      </c>
      <c r="J315" s="43" t="s">
        <v>1111</v>
      </c>
      <c r="K315" s="43"/>
      <c r="L315" s="43" t="s">
        <v>743</v>
      </c>
      <c r="M315" s="43" t="s">
        <v>744</v>
      </c>
      <c r="N315" s="43" t="s">
        <v>617</v>
      </c>
      <c r="O315" s="43" t="s">
        <v>626</v>
      </c>
      <c r="P315" s="43" t="s">
        <v>714</v>
      </c>
      <c r="Q315" s="43" t="s">
        <v>2782</v>
      </c>
      <c r="R315" s="43" t="s">
        <v>2783</v>
      </c>
      <c r="S315" s="43" t="s">
        <v>629</v>
      </c>
      <c r="T315" s="43"/>
      <c r="U315" s="43"/>
      <c r="V315" s="43"/>
      <c r="W315" s="43"/>
      <c r="X315" s="43"/>
      <c r="Y315" s="43"/>
      <c r="Z315" s="43"/>
    </row>
    <row r="316" spans="1:26" ht="15.75" customHeight="1" x14ac:dyDescent="0.25">
      <c r="A316" s="43" t="s">
        <v>398</v>
      </c>
      <c r="B316" s="43" t="s">
        <v>2784</v>
      </c>
      <c r="C316" s="43" t="s">
        <v>2785</v>
      </c>
      <c r="D316" s="43" t="s">
        <v>617</v>
      </c>
      <c r="E316" s="43" t="s">
        <v>1377</v>
      </c>
      <c r="F316" s="43" t="s">
        <v>740</v>
      </c>
      <c r="G316" s="43" t="s">
        <v>2786</v>
      </c>
      <c r="H316" s="43" t="s">
        <v>735</v>
      </c>
      <c r="I316" s="43" t="s">
        <v>2787</v>
      </c>
      <c r="J316" s="43" t="s">
        <v>170</v>
      </c>
      <c r="K316" s="43" t="s">
        <v>623</v>
      </c>
      <c r="L316" s="43" t="s">
        <v>839</v>
      </c>
      <c r="M316" s="43" t="s">
        <v>840</v>
      </c>
      <c r="N316" s="43" t="s">
        <v>617</v>
      </c>
      <c r="O316" s="43" t="s">
        <v>626</v>
      </c>
      <c r="P316" s="43" t="s">
        <v>2788</v>
      </c>
      <c r="Q316" s="43" t="s">
        <v>2789</v>
      </c>
      <c r="R316" s="43" t="s">
        <v>2790</v>
      </c>
      <c r="S316" s="43" t="s">
        <v>893</v>
      </c>
      <c r="T316" s="43"/>
      <c r="U316" s="43"/>
      <c r="V316" s="43"/>
      <c r="W316" s="43"/>
      <c r="X316" s="43"/>
      <c r="Y316" s="43"/>
      <c r="Z316" s="43"/>
    </row>
    <row r="317" spans="1:26" ht="15.75" customHeight="1" x14ac:dyDescent="0.25">
      <c r="A317" s="43" t="s">
        <v>399</v>
      </c>
      <c r="B317" s="43" t="s">
        <v>2791</v>
      </c>
      <c r="C317" s="43" t="s">
        <v>2792</v>
      </c>
      <c r="D317" s="43" t="s">
        <v>962</v>
      </c>
      <c r="E317" s="43" t="s">
        <v>2123</v>
      </c>
      <c r="F317" s="43" t="s">
        <v>619</v>
      </c>
      <c r="G317" s="43" t="s">
        <v>2793</v>
      </c>
      <c r="H317" s="43" t="s">
        <v>653</v>
      </c>
      <c r="I317" s="43" t="s">
        <v>2794</v>
      </c>
      <c r="J317" s="43" t="s">
        <v>88</v>
      </c>
      <c r="K317" s="43" t="s">
        <v>623</v>
      </c>
      <c r="L317" s="43" t="s">
        <v>1380</v>
      </c>
      <c r="M317" s="43" t="s">
        <v>645</v>
      </c>
      <c r="N317" s="43" t="s">
        <v>617</v>
      </c>
      <c r="O317" s="43" t="s">
        <v>626</v>
      </c>
      <c r="P317" s="43" t="s">
        <v>1938</v>
      </c>
      <c r="Q317" s="43" t="s">
        <v>2795</v>
      </c>
      <c r="R317" s="43" t="s">
        <v>2796</v>
      </c>
      <c r="S317" s="43" t="s">
        <v>893</v>
      </c>
      <c r="T317" s="43"/>
      <c r="U317" s="43"/>
      <c r="V317" s="43"/>
      <c r="W317" s="43"/>
      <c r="X317" s="43"/>
      <c r="Y317" s="43"/>
      <c r="Z317" s="43"/>
    </row>
    <row r="318" spans="1:26" ht="15.75" customHeight="1" x14ac:dyDescent="0.25">
      <c r="A318" s="43" t="s">
        <v>400</v>
      </c>
      <c r="B318" s="43" t="s">
        <v>2797</v>
      </c>
      <c r="C318" s="43" t="s">
        <v>2798</v>
      </c>
      <c r="D318" s="43" t="s">
        <v>617</v>
      </c>
      <c r="E318" s="43" t="s">
        <v>2799</v>
      </c>
      <c r="F318" s="43" t="s">
        <v>619</v>
      </c>
      <c r="G318" s="43" t="s">
        <v>2800</v>
      </c>
      <c r="H318" s="43" t="s">
        <v>888</v>
      </c>
      <c r="I318" s="43" t="s">
        <v>2801</v>
      </c>
      <c r="J318" s="43" t="s">
        <v>90</v>
      </c>
      <c r="K318" s="43" t="s">
        <v>623</v>
      </c>
      <c r="L318" s="43" t="s">
        <v>1358</v>
      </c>
      <c r="M318" s="43" t="s">
        <v>855</v>
      </c>
      <c r="N318" s="43" t="s">
        <v>617</v>
      </c>
      <c r="O318" s="43" t="s">
        <v>626</v>
      </c>
      <c r="P318" s="43" t="s">
        <v>929</v>
      </c>
      <c r="Q318" s="43" t="s">
        <v>2802</v>
      </c>
      <c r="R318" s="43" t="s">
        <v>2803</v>
      </c>
      <c r="S318" s="43" t="s">
        <v>629</v>
      </c>
      <c r="T318" s="43"/>
      <c r="U318" s="43"/>
      <c r="V318" s="43"/>
      <c r="W318" s="43"/>
      <c r="X318" s="43"/>
      <c r="Y318" s="43"/>
      <c r="Z318" s="43"/>
    </row>
    <row r="319" spans="1:26" ht="15.75" customHeight="1" x14ac:dyDescent="0.25">
      <c r="A319" s="43" t="s">
        <v>401</v>
      </c>
      <c r="B319" s="43" t="s">
        <v>2804</v>
      </c>
      <c r="C319" s="43" t="s">
        <v>2805</v>
      </c>
      <c r="D319" s="43" t="s">
        <v>617</v>
      </c>
      <c r="E319" s="43" t="s">
        <v>2806</v>
      </c>
      <c r="F319" s="43" t="s">
        <v>619</v>
      </c>
      <c r="G319" s="43" t="s">
        <v>2807</v>
      </c>
      <c r="H319" s="43" t="s">
        <v>735</v>
      </c>
      <c r="I319" s="43" t="s">
        <v>2344</v>
      </c>
      <c r="J319" s="43" t="s">
        <v>1227</v>
      </c>
      <c r="K319" s="43" t="s">
        <v>623</v>
      </c>
      <c r="L319" s="43" t="s">
        <v>1380</v>
      </c>
      <c r="M319" s="43" t="s">
        <v>645</v>
      </c>
      <c r="N319" s="43" t="s">
        <v>617</v>
      </c>
      <c r="O319" s="43" t="s">
        <v>626</v>
      </c>
      <c r="P319" s="43" t="s">
        <v>1938</v>
      </c>
      <c r="Q319" s="43" t="s">
        <v>2808</v>
      </c>
      <c r="R319" s="43" t="s">
        <v>2809</v>
      </c>
      <c r="S319" s="43" t="s">
        <v>629</v>
      </c>
      <c r="T319" s="43"/>
      <c r="U319" s="43"/>
      <c r="V319" s="43"/>
      <c r="W319" s="43"/>
      <c r="X319" s="43"/>
      <c r="Y319" s="43"/>
      <c r="Z319" s="43"/>
    </row>
    <row r="320" spans="1:26" ht="15.75" customHeight="1" x14ac:dyDescent="0.25">
      <c r="A320" s="43" t="s">
        <v>402</v>
      </c>
      <c r="B320" s="43" t="s">
        <v>2810</v>
      </c>
      <c r="C320" s="43" t="s">
        <v>2811</v>
      </c>
      <c r="D320" s="43" t="s">
        <v>617</v>
      </c>
      <c r="E320" s="43" t="s">
        <v>1224</v>
      </c>
      <c r="F320" s="43" t="s">
        <v>619</v>
      </c>
      <c r="G320" s="43" t="s">
        <v>2812</v>
      </c>
      <c r="H320" s="43" t="s">
        <v>653</v>
      </c>
      <c r="I320" s="43" t="s">
        <v>2813</v>
      </c>
      <c r="J320" s="43" t="s">
        <v>88</v>
      </c>
      <c r="K320" s="43" t="s">
        <v>623</v>
      </c>
      <c r="L320" s="43" t="s">
        <v>913</v>
      </c>
      <c r="M320" s="43" t="s">
        <v>914</v>
      </c>
      <c r="N320" s="43" t="s">
        <v>617</v>
      </c>
      <c r="O320" s="43" t="s">
        <v>626</v>
      </c>
      <c r="P320" s="43" t="s">
        <v>1626</v>
      </c>
      <c r="Q320" s="43" t="s">
        <v>2814</v>
      </c>
      <c r="R320" s="43" t="s">
        <v>2815</v>
      </c>
      <c r="S320" s="43" t="s">
        <v>648</v>
      </c>
      <c r="T320" s="43"/>
      <c r="U320" s="43"/>
      <c r="V320" s="43"/>
      <c r="W320" s="43"/>
      <c r="X320" s="43"/>
      <c r="Y320" s="43"/>
      <c r="Z320" s="43"/>
    </row>
    <row r="321" spans="1:26" ht="15.75" customHeight="1" x14ac:dyDescent="0.25">
      <c r="A321" s="43" t="s">
        <v>403</v>
      </c>
      <c r="B321" s="43" t="s">
        <v>2816</v>
      </c>
      <c r="C321" s="43" t="s">
        <v>2817</v>
      </c>
      <c r="D321" s="43" t="s">
        <v>2818</v>
      </c>
      <c r="E321" s="43" t="s">
        <v>2072</v>
      </c>
      <c r="F321" s="43" t="s">
        <v>619</v>
      </c>
      <c r="G321" s="43" t="s">
        <v>2819</v>
      </c>
      <c r="H321" s="43" t="s">
        <v>735</v>
      </c>
      <c r="I321" s="43" t="s">
        <v>2820</v>
      </c>
      <c r="J321" s="43" t="s">
        <v>1304</v>
      </c>
      <c r="K321" s="43" t="s">
        <v>623</v>
      </c>
      <c r="L321" s="43" t="s">
        <v>617</v>
      </c>
      <c r="M321" s="43" t="s">
        <v>617</v>
      </c>
      <c r="N321" s="43" t="s">
        <v>617</v>
      </c>
      <c r="O321" s="43" t="s">
        <v>626</v>
      </c>
      <c r="P321" s="43" t="s">
        <v>841</v>
      </c>
      <c r="Q321" s="43" t="s">
        <v>2821</v>
      </c>
      <c r="R321" s="43" t="s">
        <v>2822</v>
      </c>
      <c r="S321" s="43" t="s">
        <v>648</v>
      </c>
      <c r="T321" s="43"/>
      <c r="U321" s="43"/>
      <c r="V321" s="43"/>
      <c r="W321" s="43"/>
      <c r="X321" s="43"/>
      <c r="Y321" s="43"/>
      <c r="Z321" s="43"/>
    </row>
    <row r="322" spans="1:26" ht="15.75" customHeight="1" x14ac:dyDescent="0.25">
      <c r="A322" s="43" t="s">
        <v>404</v>
      </c>
      <c r="B322" s="43" t="s">
        <v>2823</v>
      </c>
      <c r="C322" s="43" t="s">
        <v>2824</v>
      </c>
      <c r="D322" s="43" t="s">
        <v>2825</v>
      </c>
      <c r="E322" s="43" t="s">
        <v>2826</v>
      </c>
      <c r="F322" s="43" t="s">
        <v>619</v>
      </c>
      <c r="G322" s="43" t="s">
        <v>2827</v>
      </c>
      <c r="H322" s="43" t="s">
        <v>2828</v>
      </c>
      <c r="I322" s="43" t="s">
        <v>2829</v>
      </c>
      <c r="J322" s="43" t="s">
        <v>88</v>
      </c>
      <c r="K322" s="43" t="s">
        <v>623</v>
      </c>
      <c r="L322" s="43" t="s">
        <v>1305</v>
      </c>
      <c r="M322" s="43" t="s">
        <v>744</v>
      </c>
      <c r="N322" s="43" t="s">
        <v>617</v>
      </c>
      <c r="O322" s="43" t="s">
        <v>626</v>
      </c>
      <c r="P322" s="43" t="s">
        <v>745</v>
      </c>
      <c r="Q322" s="43" t="s">
        <v>2830</v>
      </c>
      <c r="R322" s="43" t="s">
        <v>2831</v>
      </c>
      <c r="S322" s="43" t="s">
        <v>648</v>
      </c>
      <c r="T322" s="43"/>
      <c r="U322" s="43"/>
      <c r="V322" s="43"/>
      <c r="W322" s="43"/>
      <c r="X322" s="43"/>
      <c r="Y322" s="43"/>
      <c r="Z322" s="43"/>
    </row>
    <row r="323" spans="1:26" ht="15.75" customHeight="1" x14ac:dyDescent="0.25">
      <c r="A323" s="43" t="s">
        <v>405</v>
      </c>
      <c r="B323" s="43" t="s">
        <v>2832</v>
      </c>
      <c r="C323" s="43" t="s">
        <v>2833</v>
      </c>
      <c r="D323" s="43" t="s">
        <v>617</v>
      </c>
      <c r="E323" s="43" t="s">
        <v>2834</v>
      </c>
      <c r="F323" s="43" t="s">
        <v>619</v>
      </c>
      <c r="G323" s="43" t="s">
        <v>2835</v>
      </c>
      <c r="H323" s="43" t="s">
        <v>735</v>
      </c>
      <c r="I323" s="43" t="s">
        <v>2836</v>
      </c>
      <c r="J323" s="43" t="s">
        <v>2084</v>
      </c>
      <c r="K323" s="43" t="s">
        <v>1123</v>
      </c>
      <c r="L323" s="43" t="s">
        <v>854</v>
      </c>
      <c r="M323" s="43" t="s">
        <v>855</v>
      </c>
      <c r="N323" s="43" t="s">
        <v>617</v>
      </c>
      <c r="O323" s="43" t="s">
        <v>626</v>
      </c>
      <c r="P323" s="43" t="s">
        <v>929</v>
      </c>
      <c r="Q323" s="43" t="s">
        <v>2837</v>
      </c>
      <c r="R323" s="43" t="s">
        <v>2837</v>
      </c>
      <c r="S323" s="43" t="s">
        <v>648</v>
      </c>
      <c r="T323" s="43"/>
      <c r="U323" s="43"/>
      <c r="V323" s="43"/>
      <c r="W323" s="43"/>
      <c r="X323" s="43"/>
      <c r="Y323" s="43"/>
      <c r="Z323" s="43"/>
    </row>
    <row r="324" spans="1:26" ht="15.75" customHeight="1" x14ac:dyDescent="0.25">
      <c r="A324" s="43" t="s">
        <v>406</v>
      </c>
      <c r="B324" s="43" t="s">
        <v>2838</v>
      </c>
      <c r="C324" s="43" t="s">
        <v>2839</v>
      </c>
      <c r="D324" s="43" t="s">
        <v>2840</v>
      </c>
      <c r="E324" s="43" t="s">
        <v>2841</v>
      </c>
      <c r="F324" s="43" t="s">
        <v>619</v>
      </c>
      <c r="G324" s="43" t="s">
        <v>2842</v>
      </c>
      <c r="H324" s="43" t="s">
        <v>2843</v>
      </c>
      <c r="I324" s="43" t="s">
        <v>2844</v>
      </c>
      <c r="J324" s="43" t="s">
        <v>1605</v>
      </c>
      <c r="K324" s="43" t="s">
        <v>2740</v>
      </c>
      <c r="L324" s="43" t="s">
        <v>2845</v>
      </c>
      <c r="M324" s="43" t="s">
        <v>2846</v>
      </c>
      <c r="N324" s="43" t="s">
        <v>2840</v>
      </c>
      <c r="O324" s="43" t="s">
        <v>2847</v>
      </c>
      <c r="P324" s="43" t="s">
        <v>2848</v>
      </c>
      <c r="Q324" s="43" t="s">
        <v>2849</v>
      </c>
      <c r="R324" s="43" t="s">
        <v>2849</v>
      </c>
      <c r="S324" s="43" t="s">
        <v>648</v>
      </c>
      <c r="T324" s="43"/>
      <c r="U324" s="43"/>
      <c r="V324" s="43"/>
      <c r="W324" s="43"/>
      <c r="X324" s="43"/>
      <c r="Y324" s="43"/>
      <c r="Z324" s="43"/>
    </row>
    <row r="325" spans="1:26" ht="15.75" customHeight="1" x14ac:dyDescent="0.25">
      <c r="A325" s="43" t="s">
        <v>407</v>
      </c>
      <c r="B325" s="43" t="s">
        <v>2850</v>
      </c>
      <c r="C325" s="43" t="s">
        <v>2851</v>
      </c>
      <c r="D325" s="43" t="s">
        <v>2852</v>
      </c>
      <c r="E325" s="43" t="s">
        <v>1092</v>
      </c>
      <c r="F325" s="43" t="s">
        <v>619</v>
      </c>
      <c r="G325" s="43" t="s">
        <v>2853</v>
      </c>
      <c r="H325" s="43" t="s">
        <v>735</v>
      </c>
      <c r="I325" s="43" t="s">
        <v>2854</v>
      </c>
      <c r="J325" s="43" t="s">
        <v>137</v>
      </c>
      <c r="K325" s="43" t="s">
        <v>623</v>
      </c>
      <c r="L325" s="43" t="s">
        <v>1412</v>
      </c>
      <c r="M325" s="43" t="s">
        <v>645</v>
      </c>
      <c r="N325" s="43" t="s">
        <v>617</v>
      </c>
      <c r="O325" s="43" t="s">
        <v>626</v>
      </c>
      <c r="P325" s="43" t="s">
        <v>2855</v>
      </c>
      <c r="Q325" s="43" t="s">
        <v>2856</v>
      </c>
      <c r="R325" s="43" t="s">
        <v>2857</v>
      </c>
      <c r="S325" s="43" t="s">
        <v>893</v>
      </c>
      <c r="T325" s="43"/>
      <c r="U325" s="43"/>
      <c r="V325" s="43"/>
      <c r="W325" s="43"/>
      <c r="X325" s="43"/>
      <c r="Y325" s="43"/>
      <c r="Z325" s="43"/>
    </row>
    <row r="326" spans="1:26" ht="15.75" customHeight="1" x14ac:dyDescent="0.25">
      <c r="A326" s="43" t="s">
        <v>408</v>
      </c>
      <c r="B326" s="43" t="s">
        <v>2858</v>
      </c>
      <c r="C326" s="43" t="s">
        <v>2859</v>
      </c>
      <c r="D326" s="43" t="s">
        <v>2621</v>
      </c>
      <c r="E326" s="43" t="s">
        <v>2860</v>
      </c>
      <c r="F326" s="43" t="s">
        <v>619</v>
      </c>
      <c r="G326" s="43" t="s">
        <v>2861</v>
      </c>
      <c r="H326" s="43" t="s">
        <v>653</v>
      </c>
      <c r="I326" s="43" t="s">
        <v>1557</v>
      </c>
      <c r="J326" s="43" t="s">
        <v>85</v>
      </c>
      <c r="K326" s="43" t="s">
        <v>623</v>
      </c>
      <c r="L326" s="43" t="s">
        <v>644</v>
      </c>
      <c r="M326" s="43" t="s">
        <v>645</v>
      </c>
      <c r="N326" s="43" t="s">
        <v>617</v>
      </c>
      <c r="O326" s="43" t="s">
        <v>626</v>
      </c>
      <c r="P326" s="43" t="s">
        <v>688</v>
      </c>
      <c r="Q326" s="43" t="s">
        <v>2862</v>
      </c>
      <c r="R326" s="43" t="s">
        <v>2863</v>
      </c>
      <c r="S326" s="43" t="s">
        <v>893</v>
      </c>
      <c r="T326" s="43"/>
      <c r="U326" s="43"/>
      <c r="V326" s="43"/>
      <c r="W326" s="43"/>
      <c r="X326" s="43"/>
      <c r="Y326" s="43"/>
      <c r="Z326" s="43"/>
    </row>
    <row r="327" spans="1:26" ht="15.75" customHeight="1" x14ac:dyDescent="0.25">
      <c r="A327" s="43" t="s">
        <v>409</v>
      </c>
      <c r="B327" s="43" t="s">
        <v>2864</v>
      </c>
      <c r="C327" s="43" t="s">
        <v>2865</v>
      </c>
      <c r="D327" s="43" t="s">
        <v>2866</v>
      </c>
      <c r="E327" s="43" t="s">
        <v>2867</v>
      </c>
      <c r="F327" s="43" t="s">
        <v>619</v>
      </c>
      <c r="G327" s="43" t="s">
        <v>2868</v>
      </c>
      <c r="H327" s="43" t="s">
        <v>621</v>
      </c>
      <c r="I327" s="43" t="s">
        <v>2869</v>
      </c>
      <c r="J327" s="43" t="s">
        <v>86</v>
      </c>
      <c r="K327" s="43" t="s">
        <v>623</v>
      </c>
      <c r="L327" s="43" t="s">
        <v>809</v>
      </c>
      <c r="M327" s="43" t="s">
        <v>744</v>
      </c>
      <c r="N327" s="43" t="s">
        <v>617</v>
      </c>
      <c r="O327" s="43" t="s">
        <v>626</v>
      </c>
      <c r="P327" s="43" t="s">
        <v>906</v>
      </c>
      <c r="Q327" s="43" t="s">
        <v>2870</v>
      </c>
      <c r="R327" s="43" t="s">
        <v>2871</v>
      </c>
      <c r="S327" s="43" t="s">
        <v>648</v>
      </c>
      <c r="T327" s="43"/>
      <c r="U327" s="43"/>
      <c r="V327" s="43"/>
      <c r="W327" s="43"/>
      <c r="X327" s="43"/>
      <c r="Y327" s="43"/>
      <c r="Z327" s="43"/>
    </row>
    <row r="328" spans="1:26" ht="15.75" customHeight="1" x14ac:dyDescent="0.25">
      <c r="A328" s="43" t="s">
        <v>410</v>
      </c>
      <c r="B328" s="43" t="s">
        <v>2872</v>
      </c>
      <c r="C328" s="43" t="s">
        <v>2873</v>
      </c>
      <c r="D328" s="43" t="s">
        <v>617</v>
      </c>
      <c r="E328" s="43" t="s">
        <v>1054</v>
      </c>
      <c r="F328" s="43" t="s">
        <v>619</v>
      </c>
      <c r="G328" s="43" t="s">
        <v>2874</v>
      </c>
      <c r="H328" s="43" t="s">
        <v>735</v>
      </c>
      <c r="I328" s="43" t="s">
        <v>2875</v>
      </c>
      <c r="J328" s="43" t="s">
        <v>89</v>
      </c>
      <c r="K328" s="43" t="s">
        <v>623</v>
      </c>
      <c r="L328" s="43" t="s">
        <v>981</v>
      </c>
      <c r="M328" s="43" t="s">
        <v>794</v>
      </c>
      <c r="N328" s="43" t="s">
        <v>617</v>
      </c>
      <c r="O328" s="43" t="s">
        <v>626</v>
      </c>
      <c r="P328" s="43" t="s">
        <v>982</v>
      </c>
      <c r="Q328" s="43" t="s">
        <v>2876</v>
      </c>
      <c r="R328" s="43" t="s">
        <v>2877</v>
      </c>
      <c r="S328" s="43" t="s">
        <v>648</v>
      </c>
      <c r="T328" s="43"/>
      <c r="U328" s="43"/>
      <c r="V328" s="43"/>
      <c r="W328" s="43"/>
      <c r="X328" s="43"/>
      <c r="Y328" s="43"/>
      <c r="Z328" s="43"/>
    </row>
    <row r="329" spans="1:26" ht="15.75" customHeight="1" x14ac:dyDescent="0.25">
      <c r="A329" s="43" t="s">
        <v>411</v>
      </c>
      <c r="B329" s="43" t="s">
        <v>2878</v>
      </c>
      <c r="C329" s="43" t="s">
        <v>2879</v>
      </c>
      <c r="D329" s="43" t="s">
        <v>617</v>
      </c>
      <c r="E329" s="43" t="s">
        <v>1745</v>
      </c>
      <c r="F329" s="43" t="s">
        <v>619</v>
      </c>
      <c r="G329" s="43" t="s">
        <v>2880</v>
      </c>
      <c r="H329" s="43" t="s">
        <v>735</v>
      </c>
      <c r="I329" s="43" t="s">
        <v>2393</v>
      </c>
      <c r="J329" s="43" t="s">
        <v>92</v>
      </c>
      <c r="K329" s="43" t="s">
        <v>623</v>
      </c>
      <c r="L329" s="43" t="s">
        <v>898</v>
      </c>
      <c r="M329" s="43" t="s">
        <v>794</v>
      </c>
      <c r="N329" s="43" t="s">
        <v>617</v>
      </c>
      <c r="O329" s="43" t="s">
        <v>626</v>
      </c>
      <c r="P329" s="43" t="s">
        <v>1959</v>
      </c>
      <c r="Q329" s="43" t="s">
        <v>2881</v>
      </c>
      <c r="R329" s="43" t="s">
        <v>2882</v>
      </c>
      <c r="S329" s="43" t="s">
        <v>648</v>
      </c>
      <c r="T329" s="43"/>
      <c r="U329" s="43"/>
      <c r="V329" s="43"/>
      <c r="W329" s="43"/>
      <c r="X329" s="43"/>
      <c r="Y329" s="43"/>
      <c r="Z329" s="43"/>
    </row>
    <row r="330" spans="1:26" ht="15.75" customHeight="1" x14ac:dyDescent="0.25">
      <c r="A330" s="43" t="s">
        <v>412</v>
      </c>
      <c r="B330" s="43" t="s">
        <v>2883</v>
      </c>
      <c r="C330" s="43" t="s">
        <v>2884</v>
      </c>
      <c r="D330" s="43" t="s">
        <v>828</v>
      </c>
      <c r="E330" s="43" t="s">
        <v>1702</v>
      </c>
      <c r="F330" s="43" t="s">
        <v>619</v>
      </c>
      <c r="G330" s="43" t="s">
        <v>2885</v>
      </c>
      <c r="H330" s="43" t="s">
        <v>2886</v>
      </c>
      <c r="I330" s="43" t="s">
        <v>1357</v>
      </c>
      <c r="J330" s="43" t="s">
        <v>1111</v>
      </c>
      <c r="K330" s="43" t="s">
        <v>1123</v>
      </c>
      <c r="L330" s="43" t="s">
        <v>1358</v>
      </c>
      <c r="M330" s="43" t="s">
        <v>855</v>
      </c>
      <c r="N330" s="43" t="s">
        <v>617</v>
      </c>
      <c r="O330" s="43" t="s">
        <v>626</v>
      </c>
      <c r="P330" s="43" t="s">
        <v>2887</v>
      </c>
      <c r="Q330" s="43" t="s">
        <v>2888</v>
      </c>
      <c r="R330" s="43" t="s">
        <v>2889</v>
      </c>
      <c r="S330" s="43" t="s">
        <v>648</v>
      </c>
      <c r="T330" s="43"/>
      <c r="U330" s="43"/>
      <c r="V330" s="43"/>
      <c r="W330" s="43"/>
      <c r="X330" s="43"/>
      <c r="Y330" s="43"/>
      <c r="Z330" s="43"/>
    </row>
    <row r="331" spans="1:26" ht="15.75" customHeight="1" x14ac:dyDescent="0.25">
      <c r="A331" s="43" t="s">
        <v>413</v>
      </c>
      <c r="B331" s="43" t="s">
        <v>2890</v>
      </c>
      <c r="C331" s="43" t="s">
        <v>2891</v>
      </c>
      <c r="D331" s="43" t="s">
        <v>617</v>
      </c>
      <c r="E331" s="43" t="s">
        <v>2892</v>
      </c>
      <c r="F331" s="43" t="s">
        <v>619</v>
      </c>
      <c r="G331" s="43" t="s">
        <v>2893</v>
      </c>
      <c r="H331" s="43" t="s">
        <v>621</v>
      </c>
      <c r="I331" s="43" t="s">
        <v>2344</v>
      </c>
      <c r="J331" s="43" t="s">
        <v>84</v>
      </c>
      <c r="K331" s="43"/>
      <c r="L331" s="43" t="s">
        <v>1380</v>
      </c>
      <c r="M331" s="43" t="s">
        <v>645</v>
      </c>
      <c r="N331" s="43" t="s">
        <v>617</v>
      </c>
      <c r="O331" s="43" t="s">
        <v>626</v>
      </c>
      <c r="P331" s="43" t="s">
        <v>1381</v>
      </c>
      <c r="Q331" s="43" t="s">
        <v>2894</v>
      </c>
      <c r="R331" s="43" t="s">
        <v>2895</v>
      </c>
      <c r="S331" s="43" t="s">
        <v>648</v>
      </c>
      <c r="T331" s="43"/>
      <c r="U331" s="43"/>
      <c r="V331" s="43"/>
      <c r="W331" s="43"/>
      <c r="X331" s="43"/>
      <c r="Y331" s="43"/>
      <c r="Z331" s="43"/>
    </row>
    <row r="332" spans="1:26" ht="15.75" customHeight="1" x14ac:dyDescent="0.25">
      <c r="A332" s="43" t="s">
        <v>414</v>
      </c>
      <c r="B332" s="43" t="s">
        <v>2896</v>
      </c>
      <c r="C332" s="43" t="s">
        <v>2897</v>
      </c>
      <c r="D332" s="43" t="s">
        <v>617</v>
      </c>
      <c r="E332" s="43" t="s">
        <v>1970</v>
      </c>
      <c r="F332" s="43" t="s">
        <v>619</v>
      </c>
      <c r="G332" s="43" t="s">
        <v>2898</v>
      </c>
      <c r="H332" s="43" t="s">
        <v>653</v>
      </c>
      <c r="I332" s="43" t="s">
        <v>2357</v>
      </c>
      <c r="J332" s="43" t="s">
        <v>125</v>
      </c>
      <c r="K332" s="43"/>
      <c r="L332" s="43" t="s">
        <v>1412</v>
      </c>
      <c r="M332" s="43" t="s">
        <v>645</v>
      </c>
      <c r="N332" s="43" t="s">
        <v>617</v>
      </c>
      <c r="O332" s="43" t="s">
        <v>626</v>
      </c>
      <c r="P332" s="43" t="s">
        <v>1647</v>
      </c>
      <c r="Q332" s="43" t="s">
        <v>2899</v>
      </c>
      <c r="R332" s="43" t="s">
        <v>2900</v>
      </c>
      <c r="S332" s="43" t="s">
        <v>730</v>
      </c>
      <c r="T332" s="43"/>
      <c r="U332" s="43"/>
      <c r="V332" s="43"/>
      <c r="W332" s="43"/>
      <c r="X332" s="43"/>
      <c r="Y332" s="43"/>
      <c r="Z332" s="43"/>
    </row>
    <row r="333" spans="1:26" ht="15.75" customHeight="1" x14ac:dyDescent="0.25">
      <c r="A333" s="43" t="s">
        <v>415</v>
      </c>
      <c r="B333" s="43" t="s">
        <v>2901</v>
      </c>
      <c r="C333" s="43" t="s">
        <v>2902</v>
      </c>
      <c r="D333" s="43" t="s">
        <v>617</v>
      </c>
      <c r="E333" s="43" t="s">
        <v>2903</v>
      </c>
      <c r="F333" s="43" t="s">
        <v>740</v>
      </c>
      <c r="G333" s="43" t="s">
        <v>2904</v>
      </c>
      <c r="H333" s="43" t="s">
        <v>653</v>
      </c>
      <c r="I333" s="43" t="s">
        <v>2001</v>
      </c>
      <c r="J333" s="43" t="s">
        <v>1101</v>
      </c>
      <c r="K333" s="43" t="s">
        <v>1123</v>
      </c>
      <c r="L333" s="43" t="s">
        <v>2905</v>
      </c>
      <c r="M333" s="43" t="s">
        <v>1794</v>
      </c>
      <c r="N333" s="43" t="s">
        <v>617</v>
      </c>
      <c r="O333" s="43" t="s">
        <v>626</v>
      </c>
      <c r="P333" s="43" t="s">
        <v>2010</v>
      </c>
      <c r="Q333" s="43" t="s">
        <v>2906</v>
      </c>
      <c r="R333" s="43" t="s">
        <v>2907</v>
      </c>
      <c r="S333" s="43" t="s">
        <v>893</v>
      </c>
      <c r="T333" s="43"/>
      <c r="U333" s="43"/>
      <c r="V333" s="43"/>
      <c r="W333" s="43"/>
      <c r="X333" s="43"/>
      <c r="Y333" s="43"/>
      <c r="Z333" s="43"/>
    </row>
    <row r="334" spans="1:26" ht="15.75" customHeight="1" x14ac:dyDescent="0.25">
      <c r="A334" s="43" t="s">
        <v>416</v>
      </c>
      <c r="B334" s="43" t="s">
        <v>2908</v>
      </c>
      <c r="C334" s="43" t="s">
        <v>2909</v>
      </c>
      <c r="D334" s="43" t="s">
        <v>617</v>
      </c>
      <c r="E334" s="43" t="s">
        <v>2910</v>
      </c>
      <c r="F334" s="43" t="s">
        <v>619</v>
      </c>
      <c r="G334" s="43" t="s">
        <v>2911</v>
      </c>
      <c r="H334" s="43" t="s">
        <v>653</v>
      </c>
      <c r="I334" s="43" t="s">
        <v>2912</v>
      </c>
      <c r="J334" s="43" t="s">
        <v>86</v>
      </c>
      <c r="K334" s="43" t="s">
        <v>623</v>
      </c>
      <c r="L334" s="43" t="s">
        <v>743</v>
      </c>
      <c r="M334" s="43" t="s">
        <v>744</v>
      </c>
      <c r="N334" s="43" t="s">
        <v>617</v>
      </c>
      <c r="O334" s="43" t="s">
        <v>626</v>
      </c>
      <c r="P334" s="43" t="s">
        <v>810</v>
      </c>
      <c r="Q334" s="43" t="s">
        <v>2913</v>
      </c>
      <c r="R334" s="43" t="s">
        <v>2914</v>
      </c>
      <c r="S334" s="43" t="s">
        <v>648</v>
      </c>
      <c r="T334" s="43"/>
      <c r="U334" s="43"/>
      <c r="V334" s="43"/>
      <c r="W334" s="43"/>
      <c r="X334" s="43"/>
      <c r="Y334" s="43"/>
      <c r="Z334" s="43"/>
    </row>
    <row r="335" spans="1:26" ht="15.75" customHeight="1" x14ac:dyDescent="0.25">
      <c r="A335" s="43" t="s">
        <v>417</v>
      </c>
      <c r="B335" s="43" t="s">
        <v>2915</v>
      </c>
      <c r="C335" s="43" t="s">
        <v>2916</v>
      </c>
      <c r="D335" s="43" t="s">
        <v>962</v>
      </c>
      <c r="E335" s="43" t="s">
        <v>2917</v>
      </c>
      <c r="F335" s="43" t="s">
        <v>619</v>
      </c>
      <c r="G335" s="43" t="s">
        <v>2918</v>
      </c>
      <c r="H335" s="43" t="s">
        <v>735</v>
      </c>
      <c r="I335" s="43" t="s">
        <v>2325</v>
      </c>
      <c r="J335" s="43" t="s">
        <v>85</v>
      </c>
      <c r="K335" s="43" t="s">
        <v>623</v>
      </c>
      <c r="L335" s="43" t="s">
        <v>854</v>
      </c>
      <c r="M335" s="43" t="s">
        <v>855</v>
      </c>
      <c r="N335" s="43" t="s">
        <v>617</v>
      </c>
      <c r="O335" s="43" t="s">
        <v>626</v>
      </c>
      <c r="P335" s="43" t="s">
        <v>2919</v>
      </c>
      <c r="Q335" s="43" t="s">
        <v>2920</v>
      </c>
      <c r="R335" s="43" t="s">
        <v>1123</v>
      </c>
      <c r="S335" s="43" t="s">
        <v>629</v>
      </c>
      <c r="T335" s="43"/>
      <c r="U335" s="43"/>
      <c r="V335" s="43"/>
      <c r="W335" s="43"/>
      <c r="X335" s="43"/>
      <c r="Y335" s="43"/>
      <c r="Z335" s="43"/>
    </row>
    <row r="336" spans="1:26" ht="15.75" customHeight="1" x14ac:dyDescent="0.25">
      <c r="A336" s="43" t="s">
        <v>418</v>
      </c>
      <c r="B336" s="43" t="s">
        <v>2921</v>
      </c>
      <c r="C336" s="43" t="s">
        <v>2922</v>
      </c>
      <c r="D336" s="43" t="s">
        <v>617</v>
      </c>
      <c r="E336" s="43" t="s">
        <v>1925</v>
      </c>
      <c r="F336" s="43" t="s">
        <v>619</v>
      </c>
      <c r="G336" s="43" t="s">
        <v>2923</v>
      </c>
      <c r="H336" s="43" t="s">
        <v>2886</v>
      </c>
      <c r="I336" s="43" t="s">
        <v>1267</v>
      </c>
      <c r="J336" s="43" t="s">
        <v>89</v>
      </c>
      <c r="K336" s="43" t="s">
        <v>623</v>
      </c>
      <c r="L336" s="43" t="s">
        <v>617</v>
      </c>
      <c r="M336" s="43" t="s">
        <v>617</v>
      </c>
      <c r="N336" s="43" t="s">
        <v>617</v>
      </c>
      <c r="O336" s="43" t="s">
        <v>626</v>
      </c>
      <c r="P336" s="43" t="s">
        <v>1268</v>
      </c>
      <c r="Q336" s="43" t="s">
        <v>2924</v>
      </c>
      <c r="R336" s="43" t="s">
        <v>2925</v>
      </c>
      <c r="S336" s="43" t="s">
        <v>893</v>
      </c>
      <c r="T336" s="43"/>
      <c r="U336" s="43"/>
      <c r="V336" s="43"/>
      <c r="W336" s="43"/>
      <c r="X336" s="43"/>
      <c r="Y336" s="43"/>
      <c r="Z336" s="43"/>
    </row>
    <row r="337" spans="1:26" ht="15.75" customHeight="1" x14ac:dyDescent="0.25">
      <c r="A337" s="43" t="s">
        <v>419</v>
      </c>
      <c r="B337" s="43" t="s">
        <v>2926</v>
      </c>
      <c r="C337" s="43" t="s">
        <v>2927</v>
      </c>
      <c r="D337" s="43" t="s">
        <v>2928</v>
      </c>
      <c r="E337" s="43" t="s">
        <v>651</v>
      </c>
      <c r="F337" s="43" t="s">
        <v>619</v>
      </c>
      <c r="G337" s="43" t="s">
        <v>2929</v>
      </c>
      <c r="H337" s="43" t="s">
        <v>1956</v>
      </c>
      <c r="I337" s="43" t="s">
        <v>2930</v>
      </c>
      <c r="J337" s="43" t="s">
        <v>84</v>
      </c>
      <c r="K337" s="43" t="s">
        <v>1123</v>
      </c>
      <c r="L337" s="43" t="s">
        <v>2216</v>
      </c>
      <c r="M337" s="43" t="s">
        <v>625</v>
      </c>
      <c r="N337" s="43" t="s">
        <v>617</v>
      </c>
      <c r="O337" s="43" t="s">
        <v>626</v>
      </c>
      <c r="P337" s="43" t="s">
        <v>2931</v>
      </c>
      <c r="Q337" s="43" t="s">
        <v>2932</v>
      </c>
      <c r="R337" s="43" t="s">
        <v>1123</v>
      </c>
      <c r="S337" s="43" t="s">
        <v>893</v>
      </c>
      <c r="T337" s="43"/>
      <c r="U337" s="43"/>
      <c r="V337" s="43"/>
      <c r="W337" s="43"/>
      <c r="X337" s="43"/>
      <c r="Y337" s="43"/>
      <c r="Z337" s="43"/>
    </row>
    <row r="338" spans="1:26" ht="15.75" customHeight="1" x14ac:dyDescent="0.25">
      <c r="A338" s="43" t="s">
        <v>420</v>
      </c>
      <c r="B338" s="43" t="s">
        <v>2933</v>
      </c>
      <c r="C338" s="43" t="s">
        <v>2934</v>
      </c>
      <c r="D338" s="43" t="s">
        <v>617</v>
      </c>
      <c r="E338" s="43" t="s">
        <v>886</v>
      </c>
      <c r="F338" s="43" t="s">
        <v>619</v>
      </c>
      <c r="G338" s="43" t="s">
        <v>2935</v>
      </c>
      <c r="H338" s="43" t="s">
        <v>735</v>
      </c>
      <c r="I338" s="43" t="s">
        <v>921</v>
      </c>
      <c r="J338" s="43" t="s">
        <v>86</v>
      </c>
      <c r="K338" s="43" t="s">
        <v>623</v>
      </c>
      <c r="L338" s="43" t="s">
        <v>1380</v>
      </c>
      <c r="M338" s="43" t="s">
        <v>645</v>
      </c>
      <c r="N338" s="43" t="s">
        <v>617</v>
      </c>
      <c r="O338" s="43" t="s">
        <v>626</v>
      </c>
      <c r="P338" s="43" t="s">
        <v>899</v>
      </c>
      <c r="Q338" s="43" t="s">
        <v>2936</v>
      </c>
      <c r="R338" s="43" t="s">
        <v>2937</v>
      </c>
      <c r="S338" s="43" t="s">
        <v>648</v>
      </c>
      <c r="T338" s="43"/>
      <c r="U338" s="43"/>
      <c r="V338" s="43"/>
      <c r="W338" s="43"/>
      <c r="X338" s="43"/>
      <c r="Y338" s="43"/>
      <c r="Z338" s="43"/>
    </row>
    <row r="339" spans="1:26" ht="15.75" customHeight="1" x14ac:dyDescent="0.25">
      <c r="A339" s="43" t="s">
        <v>421</v>
      </c>
      <c r="B339" s="43" t="s">
        <v>2938</v>
      </c>
      <c r="C339" s="43" t="s">
        <v>2939</v>
      </c>
      <c r="D339" s="43" t="s">
        <v>962</v>
      </c>
      <c r="E339" s="43" t="s">
        <v>2940</v>
      </c>
      <c r="F339" s="43" t="s">
        <v>619</v>
      </c>
      <c r="G339" s="43" t="s">
        <v>2941</v>
      </c>
      <c r="H339" s="43" t="s">
        <v>621</v>
      </c>
      <c r="I339" s="43" t="s">
        <v>1529</v>
      </c>
      <c r="J339" s="43" t="s">
        <v>88</v>
      </c>
      <c r="K339" s="43" t="s">
        <v>623</v>
      </c>
      <c r="L339" s="43" t="s">
        <v>680</v>
      </c>
      <c r="M339" s="43" t="s">
        <v>617</v>
      </c>
      <c r="N339" s="43" t="s">
        <v>617</v>
      </c>
      <c r="O339" s="43" t="s">
        <v>626</v>
      </c>
      <c r="P339" s="43" t="s">
        <v>1268</v>
      </c>
      <c r="Q339" s="43" t="s">
        <v>2942</v>
      </c>
      <c r="R339" s="43" t="s">
        <v>2943</v>
      </c>
      <c r="S339" s="43" t="s">
        <v>893</v>
      </c>
      <c r="T339" s="43"/>
      <c r="U339" s="43"/>
      <c r="V339" s="43"/>
      <c r="W339" s="43"/>
      <c r="X339" s="43"/>
      <c r="Y339" s="43"/>
      <c r="Z339" s="43"/>
    </row>
    <row r="340" spans="1:26" ht="15.75" customHeight="1" x14ac:dyDescent="0.25">
      <c r="A340" s="43" t="s">
        <v>422</v>
      </c>
      <c r="B340" s="43" t="s">
        <v>2944</v>
      </c>
      <c r="C340" s="43" t="s">
        <v>4520</v>
      </c>
      <c r="D340" s="43" t="s">
        <v>617</v>
      </c>
      <c r="E340" s="43" t="s">
        <v>2239</v>
      </c>
      <c r="F340" s="43" t="s">
        <v>619</v>
      </c>
      <c r="G340" s="43" t="s">
        <v>2945</v>
      </c>
      <c r="H340" s="43" t="s">
        <v>634</v>
      </c>
      <c r="I340" s="43" t="s">
        <v>897</v>
      </c>
      <c r="J340" s="43" t="s">
        <v>87</v>
      </c>
      <c r="K340" s="43" t="s">
        <v>623</v>
      </c>
      <c r="L340" s="43" t="s">
        <v>898</v>
      </c>
      <c r="M340" s="43" t="s">
        <v>794</v>
      </c>
      <c r="N340" s="43" t="s">
        <v>617</v>
      </c>
      <c r="O340" s="43" t="s">
        <v>626</v>
      </c>
      <c r="P340" s="43" t="s">
        <v>899</v>
      </c>
      <c r="Q340" s="43" t="s">
        <v>2946</v>
      </c>
      <c r="R340" s="43" t="s">
        <v>2947</v>
      </c>
      <c r="S340" s="43" t="s">
        <v>893</v>
      </c>
      <c r="T340" s="43"/>
      <c r="U340" s="43"/>
      <c r="V340" s="43"/>
      <c r="W340" s="43"/>
      <c r="X340" s="43"/>
      <c r="Y340" s="43"/>
      <c r="Z340" s="43"/>
    </row>
    <row r="341" spans="1:26" ht="15.75" customHeight="1" x14ac:dyDescent="0.25">
      <c r="A341" s="43" t="s">
        <v>423</v>
      </c>
      <c r="B341" s="43" t="s">
        <v>2948</v>
      </c>
      <c r="C341" s="43" t="s">
        <v>2949</v>
      </c>
      <c r="D341" s="43" t="s">
        <v>2950</v>
      </c>
      <c r="E341" s="43" t="s">
        <v>2951</v>
      </c>
      <c r="F341" s="43" t="s">
        <v>619</v>
      </c>
      <c r="G341" s="43" t="s">
        <v>2952</v>
      </c>
      <c r="H341" s="43" t="s">
        <v>1956</v>
      </c>
      <c r="I341" s="43" t="s">
        <v>2953</v>
      </c>
      <c r="J341" s="43" t="s">
        <v>1101</v>
      </c>
      <c r="K341" s="43"/>
      <c r="L341" s="43" t="s">
        <v>1220</v>
      </c>
      <c r="M341" s="43" t="s">
        <v>840</v>
      </c>
      <c r="N341" s="43" t="s">
        <v>617</v>
      </c>
      <c r="O341" s="43" t="s">
        <v>626</v>
      </c>
      <c r="P341" s="43" t="s">
        <v>2954</v>
      </c>
      <c r="Q341" s="43" t="s">
        <v>2955</v>
      </c>
      <c r="R341" s="43" t="s">
        <v>2956</v>
      </c>
      <c r="S341" s="43" t="s">
        <v>730</v>
      </c>
      <c r="T341" s="43"/>
      <c r="U341" s="43"/>
      <c r="V341" s="43"/>
      <c r="W341" s="43"/>
      <c r="X341" s="43"/>
      <c r="Y341" s="43"/>
      <c r="Z341" s="43"/>
    </row>
    <row r="342" spans="1:26" ht="15.75" customHeight="1" x14ac:dyDescent="0.25">
      <c r="A342" s="43" t="s">
        <v>424</v>
      </c>
      <c r="B342" s="43" t="s">
        <v>2957</v>
      </c>
      <c r="C342" s="43" t="s">
        <v>2958</v>
      </c>
      <c r="D342" s="43" t="s">
        <v>2959</v>
      </c>
      <c r="E342" s="43" t="s">
        <v>2960</v>
      </c>
      <c r="F342" s="43" t="s">
        <v>619</v>
      </c>
      <c r="G342" s="43" t="s">
        <v>2961</v>
      </c>
      <c r="H342" s="43" t="s">
        <v>621</v>
      </c>
      <c r="I342" s="43" t="s">
        <v>2962</v>
      </c>
      <c r="J342" s="43" t="s">
        <v>92</v>
      </c>
      <c r="K342" s="43" t="s">
        <v>1123</v>
      </c>
      <c r="L342" s="43" t="s">
        <v>1412</v>
      </c>
      <c r="M342" s="43" t="s">
        <v>645</v>
      </c>
      <c r="N342" s="43" t="s">
        <v>617</v>
      </c>
      <c r="O342" s="43" t="s">
        <v>626</v>
      </c>
      <c r="P342" s="43" t="s">
        <v>2380</v>
      </c>
      <c r="Q342" s="43" t="s">
        <v>2963</v>
      </c>
      <c r="R342" s="43" t="s">
        <v>2964</v>
      </c>
      <c r="S342" s="43" t="s">
        <v>893</v>
      </c>
      <c r="T342" s="43"/>
      <c r="U342" s="43"/>
      <c r="V342" s="43"/>
      <c r="W342" s="43"/>
      <c r="X342" s="43"/>
      <c r="Y342" s="43"/>
      <c r="Z342" s="43"/>
    </row>
    <row r="343" spans="1:26" ht="15.75" customHeight="1" x14ac:dyDescent="0.25">
      <c r="A343" s="43" t="s">
        <v>425</v>
      </c>
      <c r="B343" s="43" t="s">
        <v>2965</v>
      </c>
      <c r="C343" s="43" t="s">
        <v>2966</v>
      </c>
      <c r="D343" s="43" t="s">
        <v>617</v>
      </c>
      <c r="E343" s="43" t="s">
        <v>2967</v>
      </c>
      <c r="F343" s="43" t="s">
        <v>619</v>
      </c>
      <c r="G343" s="43" t="s">
        <v>2968</v>
      </c>
      <c r="H343" s="43" t="s">
        <v>653</v>
      </c>
      <c r="I343" s="43" t="s">
        <v>2652</v>
      </c>
      <c r="J343" s="43" t="s">
        <v>84</v>
      </c>
      <c r="K343" s="43"/>
      <c r="L343" s="43" t="s">
        <v>1358</v>
      </c>
      <c r="M343" s="43" t="s">
        <v>855</v>
      </c>
      <c r="N343" s="43" t="s">
        <v>617</v>
      </c>
      <c r="O343" s="43" t="s">
        <v>626</v>
      </c>
      <c r="P343" s="43" t="s">
        <v>1388</v>
      </c>
      <c r="Q343" s="43" t="s">
        <v>2969</v>
      </c>
      <c r="R343" s="43" t="s">
        <v>2970</v>
      </c>
      <c r="S343" s="43" t="s">
        <v>648</v>
      </c>
      <c r="T343" s="43"/>
      <c r="U343" s="43"/>
      <c r="V343" s="43"/>
      <c r="W343" s="43"/>
      <c r="X343" s="43"/>
      <c r="Y343" s="43"/>
      <c r="Z343" s="43"/>
    </row>
    <row r="344" spans="1:26" ht="15.75" customHeight="1" x14ac:dyDescent="0.25">
      <c r="A344" s="43" t="s">
        <v>426</v>
      </c>
      <c r="B344" s="43" t="s">
        <v>2971</v>
      </c>
      <c r="C344" s="43" t="s">
        <v>2972</v>
      </c>
      <c r="D344" s="43" t="s">
        <v>617</v>
      </c>
      <c r="E344" s="43" t="s">
        <v>2973</v>
      </c>
      <c r="F344" s="43" t="s">
        <v>619</v>
      </c>
      <c r="G344" s="43" t="s">
        <v>2974</v>
      </c>
      <c r="H344" s="43" t="s">
        <v>621</v>
      </c>
      <c r="I344" s="43" t="s">
        <v>2975</v>
      </c>
      <c r="J344" s="43" t="s">
        <v>87</v>
      </c>
      <c r="K344" s="43" t="s">
        <v>623</v>
      </c>
      <c r="L344" s="43" t="s">
        <v>809</v>
      </c>
      <c r="M344" s="43" t="s">
        <v>744</v>
      </c>
      <c r="N344" s="43" t="s">
        <v>617</v>
      </c>
      <c r="O344" s="43" t="s">
        <v>626</v>
      </c>
      <c r="P344" s="43" t="s">
        <v>906</v>
      </c>
      <c r="Q344" s="43" t="s">
        <v>4524</v>
      </c>
      <c r="R344" s="43" t="s">
        <v>2976</v>
      </c>
      <c r="S344" s="43" t="s">
        <v>648</v>
      </c>
      <c r="T344" s="43"/>
      <c r="U344" s="43"/>
      <c r="V344" s="43"/>
      <c r="W344" s="43"/>
      <c r="X344" s="43"/>
      <c r="Y344" s="43"/>
      <c r="Z344" s="43"/>
    </row>
    <row r="345" spans="1:26" ht="15.75" customHeight="1" x14ac:dyDescent="0.25">
      <c r="A345" s="43" t="s">
        <v>427</v>
      </c>
      <c r="B345" s="43" t="s">
        <v>2977</v>
      </c>
      <c r="C345" s="43" t="s">
        <v>2978</v>
      </c>
      <c r="D345" s="43" t="s">
        <v>2979</v>
      </c>
      <c r="E345" s="43" t="s">
        <v>2980</v>
      </c>
      <c r="F345" s="43" t="s">
        <v>619</v>
      </c>
      <c r="G345" s="43" t="s">
        <v>2981</v>
      </c>
      <c r="H345" s="43" t="s">
        <v>735</v>
      </c>
      <c r="I345" s="43" t="s">
        <v>2202</v>
      </c>
      <c r="J345" s="43" t="s">
        <v>2982</v>
      </c>
      <c r="K345" s="43" t="s">
        <v>1123</v>
      </c>
      <c r="L345" s="43" t="s">
        <v>1794</v>
      </c>
      <c r="M345" s="43" t="s">
        <v>1794</v>
      </c>
      <c r="N345" s="43" t="s">
        <v>617</v>
      </c>
      <c r="O345" s="43" t="s">
        <v>626</v>
      </c>
      <c r="P345" s="43" t="s">
        <v>2374</v>
      </c>
      <c r="Q345" s="43" t="s">
        <v>2983</v>
      </c>
      <c r="R345" s="43" t="s">
        <v>2984</v>
      </c>
      <c r="S345" s="43" t="s">
        <v>730</v>
      </c>
      <c r="T345" s="43"/>
      <c r="U345" s="43"/>
      <c r="V345" s="43"/>
      <c r="W345" s="43"/>
      <c r="X345" s="43"/>
      <c r="Y345" s="43"/>
      <c r="Z345" s="43"/>
    </row>
    <row r="346" spans="1:26" ht="15.75" customHeight="1" x14ac:dyDescent="0.25">
      <c r="A346" s="43" t="s">
        <v>428</v>
      </c>
      <c r="B346" s="43" t="s">
        <v>2985</v>
      </c>
      <c r="C346" s="43" t="s">
        <v>2986</v>
      </c>
      <c r="D346" s="43" t="s">
        <v>617</v>
      </c>
      <c r="E346" s="43" t="s">
        <v>2987</v>
      </c>
      <c r="F346" s="43" t="s">
        <v>619</v>
      </c>
      <c r="G346" s="43" t="s">
        <v>2988</v>
      </c>
      <c r="H346" s="43" t="s">
        <v>735</v>
      </c>
      <c r="I346" s="43" t="s">
        <v>2344</v>
      </c>
      <c r="J346" s="43" t="s">
        <v>2989</v>
      </c>
      <c r="K346" s="43" t="s">
        <v>1123</v>
      </c>
      <c r="L346" s="43" t="s">
        <v>1380</v>
      </c>
      <c r="M346" s="43" t="s">
        <v>645</v>
      </c>
      <c r="N346" s="43" t="s">
        <v>617</v>
      </c>
      <c r="O346" s="43" t="s">
        <v>626</v>
      </c>
      <c r="P346" s="43" t="s">
        <v>2224</v>
      </c>
      <c r="Q346" s="43" t="s">
        <v>2990</v>
      </c>
      <c r="R346" s="43" t="s">
        <v>2991</v>
      </c>
      <c r="S346" s="43" t="s">
        <v>648</v>
      </c>
      <c r="T346" s="43"/>
      <c r="U346" s="43"/>
      <c r="V346" s="43"/>
      <c r="W346" s="43"/>
      <c r="X346" s="43"/>
      <c r="Y346" s="43"/>
      <c r="Z346" s="43"/>
    </row>
    <row r="347" spans="1:26" ht="15.75" customHeight="1" x14ac:dyDescent="0.25">
      <c r="A347" s="43" t="s">
        <v>429</v>
      </c>
      <c r="B347" s="43" t="s">
        <v>2992</v>
      </c>
      <c r="C347" s="43" t="s">
        <v>2993</v>
      </c>
      <c r="D347" s="43" t="s">
        <v>617</v>
      </c>
      <c r="E347" s="43" t="s">
        <v>1074</v>
      </c>
      <c r="F347" s="43" t="s">
        <v>619</v>
      </c>
      <c r="G347" s="43" t="s">
        <v>1671</v>
      </c>
      <c r="H347" s="43" t="s">
        <v>653</v>
      </c>
      <c r="I347" s="43" t="s">
        <v>2994</v>
      </c>
      <c r="J347" s="43" t="s">
        <v>2633</v>
      </c>
      <c r="K347" s="43" t="s">
        <v>1123</v>
      </c>
      <c r="L347" s="43" t="s">
        <v>1220</v>
      </c>
      <c r="M347" s="43" t="s">
        <v>840</v>
      </c>
      <c r="N347" s="43" t="s">
        <v>617</v>
      </c>
      <c r="O347" s="43" t="s">
        <v>626</v>
      </c>
      <c r="P347" s="43" t="s">
        <v>1537</v>
      </c>
      <c r="Q347" s="43" t="s">
        <v>2995</v>
      </c>
      <c r="R347" s="43" t="s">
        <v>2996</v>
      </c>
      <c r="S347" s="43" t="s">
        <v>629</v>
      </c>
      <c r="T347" s="43"/>
      <c r="U347" s="43"/>
      <c r="V347" s="43"/>
      <c r="W347" s="43"/>
      <c r="X347" s="43"/>
      <c r="Y347" s="43"/>
      <c r="Z347" s="43"/>
    </row>
    <row r="348" spans="1:26" ht="15.75" customHeight="1" x14ac:dyDescent="0.25">
      <c r="A348" s="43" t="s">
        <v>430</v>
      </c>
      <c r="B348" s="43" t="s">
        <v>2997</v>
      </c>
      <c r="C348" s="43" t="s">
        <v>2998</v>
      </c>
      <c r="D348" s="43" t="s">
        <v>617</v>
      </c>
      <c r="E348" s="43" t="s">
        <v>2999</v>
      </c>
      <c r="F348" s="43" t="s">
        <v>619</v>
      </c>
      <c r="G348" s="43" t="s">
        <v>3000</v>
      </c>
      <c r="H348" s="43" t="s">
        <v>735</v>
      </c>
      <c r="I348" s="43" t="s">
        <v>2854</v>
      </c>
      <c r="J348" s="43" t="s">
        <v>135</v>
      </c>
      <c r="K348" s="43" t="s">
        <v>623</v>
      </c>
      <c r="L348" s="43" t="s">
        <v>1412</v>
      </c>
      <c r="M348" s="43" t="s">
        <v>645</v>
      </c>
      <c r="N348" s="43" t="s">
        <v>617</v>
      </c>
      <c r="O348" s="43" t="s">
        <v>626</v>
      </c>
      <c r="P348" s="43" t="s">
        <v>1028</v>
      </c>
      <c r="Q348" s="43" t="s">
        <v>3001</v>
      </c>
      <c r="R348" s="43" t="s">
        <v>3002</v>
      </c>
      <c r="S348" s="43" t="s">
        <v>730</v>
      </c>
      <c r="T348" s="43"/>
      <c r="U348" s="43"/>
      <c r="V348" s="43"/>
      <c r="W348" s="43"/>
      <c r="X348" s="43"/>
      <c r="Y348" s="43"/>
      <c r="Z348" s="43"/>
    </row>
    <row r="349" spans="1:26" ht="15.75" customHeight="1" x14ac:dyDescent="0.25">
      <c r="A349" s="43" t="s">
        <v>431</v>
      </c>
      <c r="B349" s="43" t="s">
        <v>3003</v>
      </c>
      <c r="C349" s="43" t="s">
        <v>3004</v>
      </c>
      <c r="D349" s="43" t="s">
        <v>962</v>
      </c>
      <c r="E349" s="43" t="s">
        <v>3005</v>
      </c>
      <c r="F349" s="43" t="s">
        <v>740</v>
      </c>
      <c r="G349" s="43" t="s">
        <v>3006</v>
      </c>
      <c r="H349" s="43" t="s">
        <v>735</v>
      </c>
      <c r="I349" s="43" t="s">
        <v>2169</v>
      </c>
      <c r="J349" s="43" t="s">
        <v>928</v>
      </c>
      <c r="K349" s="43"/>
      <c r="L349" s="43" t="s">
        <v>2170</v>
      </c>
      <c r="M349" s="43" t="s">
        <v>840</v>
      </c>
      <c r="N349" s="43" t="s">
        <v>617</v>
      </c>
      <c r="O349" s="43" t="s">
        <v>626</v>
      </c>
      <c r="P349" s="43" t="s">
        <v>795</v>
      </c>
      <c r="Q349" s="43" t="s">
        <v>3007</v>
      </c>
      <c r="R349" s="43" t="s">
        <v>3008</v>
      </c>
      <c r="S349" s="43" t="s">
        <v>893</v>
      </c>
      <c r="T349" s="43"/>
      <c r="U349" s="43"/>
      <c r="V349" s="43"/>
      <c r="W349" s="43"/>
      <c r="X349" s="43"/>
      <c r="Y349" s="43"/>
      <c r="Z349" s="43"/>
    </row>
    <row r="350" spans="1:26" ht="15.75" customHeight="1" x14ac:dyDescent="0.25">
      <c r="A350" s="43" t="s">
        <v>432</v>
      </c>
      <c r="B350" s="43" t="s">
        <v>3009</v>
      </c>
      <c r="C350" s="43" t="s">
        <v>3010</v>
      </c>
      <c r="D350" s="43" t="s">
        <v>617</v>
      </c>
      <c r="E350" s="43" t="s">
        <v>1907</v>
      </c>
      <c r="F350" s="43" t="s">
        <v>619</v>
      </c>
      <c r="G350" s="43" t="s">
        <v>2658</v>
      </c>
      <c r="H350" s="43" t="s">
        <v>653</v>
      </c>
      <c r="I350" s="43" t="s">
        <v>3011</v>
      </c>
      <c r="J350" s="43" t="s">
        <v>84</v>
      </c>
      <c r="K350" s="43" t="s">
        <v>623</v>
      </c>
      <c r="L350" s="43" t="s">
        <v>1482</v>
      </c>
      <c r="M350" s="43" t="s">
        <v>794</v>
      </c>
      <c r="N350" s="43" t="s">
        <v>617</v>
      </c>
      <c r="O350" s="43" t="s">
        <v>626</v>
      </c>
      <c r="P350" s="43" t="s">
        <v>795</v>
      </c>
      <c r="Q350" s="43" t="s">
        <v>3012</v>
      </c>
      <c r="R350" s="43" t="s">
        <v>3013</v>
      </c>
      <c r="S350" s="43" t="s">
        <v>648</v>
      </c>
      <c r="T350" s="43"/>
      <c r="U350" s="43"/>
      <c r="V350" s="43"/>
      <c r="W350" s="43"/>
      <c r="X350" s="43"/>
      <c r="Y350" s="43"/>
      <c r="Z350" s="43"/>
    </row>
    <row r="351" spans="1:26" ht="15.75" customHeight="1" x14ac:dyDescent="0.25">
      <c r="A351" s="43" t="s">
        <v>433</v>
      </c>
      <c r="B351" s="43" t="s">
        <v>3014</v>
      </c>
      <c r="C351" s="43" t="s">
        <v>3015</v>
      </c>
      <c r="D351" s="43" t="s">
        <v>3016</v>
      </c>
      <c r="E351" s="43" t="s">
        <v>2940</v>
      </c>
      <c r="F351" s="43" t="s">
        <v>619</v>
      </c>
      <c r="G351" s="43" t="s">
        <v>3017</v>
      </c>
      <c r="H351" s="43" t="s">
        <v>634</v>
      </c>
      <c r="I351" s="43" t="s">
        <v>3018</v>
      </c>
      <c r="J351" s="43" t="s">
        <v>84</v>
      </c>
      <c r="K351" s="43" t="s">
        <v>623</v>
      </c>
      <c r="L351" s="43" t="s">
        <v>3019</v>
      </c>
      <c r="M351" s="43" t="s">
        <v>840</v>
      </c>
      <c r="N351" s="43" t="s">
        <v>617</v>
      </c>
      <c r="O351" s="43" t="s">
        <v>626</v>
      </c>
      <c r="P351" s="43" t="s">
        <v>3020</v>
      </c>
      <c r="Q351" s="43" t="s">
        <v>3021</v>
      </c>
      <c r="R351" s="43" t="s">
        <v>3022</v>
      </c>
      <c r="S351" s="43" t="s">
        <v>893</v>
      </c>
      <c r="T351" s="43"/>
      <c r="U351" s="43"/>
      <c r="V351" s="43"/>
      <c r="W351" s="43"/>
      <c r="X351" s="43"/>
      <c r="Y351" s="43"/>
      <c r="Z351" s="43"/>
    </row>
    <row r="352" spans="1:26" ht="15.75" customHeight="1" x14ac:dyDescent="0.25">
      <c r="A352" s="43" t="s">
        <v>434</v>
      </c>
      <c r="B352" s="43" t="s">
        <v>3023</v>
      </c>
      <c r="C352" s="43" t="s">
        <v>3024</v>
      </c>
      <c r="D352" s="43" t="s">
        <v>617</v>
      </c>
      <c r="E352" s="43" t="s">
        <v>2473</v>
      </c>
      <c r="F352" s="43" t="s">
        <v>619</v>
      </c>
      <c r="G352" s="43" t="s">
        <v>3025</v>
      </c>
      <c r="H352" s="43" t="s">
        <v>653</v>
      </c>
      <c r="I352" s="43" t="s">
        <v>3026</v>
      </c>
      <c r="J352" s="43" t="s">
        <v>87</v>
      </c>
      <c r="K352" s="43"/>
      <c r="L352" s="43" t="s">
        <v>2450</v>
      </c>
      <c r="M352" s="43" t="s">
        <v>2450</v>
      </c>
      <c r="N352" s="43" t="s">
        <v>617</v>
      </c>
      <c r="O352" s="43" t="s">
        <v>626</v>
      </c>
      <c r="P352" s="43" t="s">
        <v>2451</v>
      </c>
      <c r="Q352" s="43" t="s">
        <v>3027</v>
      </c>
      <c r="R352" s="43" t="s">
        <v>3028</v>
      </c>
      <c r="S352" s="43" t="s">
        <v>893</v>
      </c>
      <c r="T352" s="43"/>
      <c r="U352" s="43"/>
      <c r="V352" s="43"/>
      <c r="W352" s="43"/>
      <c r="X352" s="43"/>
      <c r="Y352" s="43"/>
      <c r="Z352" s="43"/>
    </row>
    <row r="353" spans="1:26" ht="15.75" customHeight="1" x14ac:dyDescent="0.25">
      <c r="A353" s="43" t="s">
        <v>435</v>
      </c>
      <c r="B353" s="43" t="s">
        <v>3029</v>
      </c>
      <c r="C353" s="43" t="s">
        <v>3030</v>
      </c>
      <c r="D353" s="43" t="s">
        <v>1518</v>
      </c>
      <c r="E353" s="43" t="s">
        <v>3031</v>
      </c>
      <c r="F353" s="43" t="s">
        <v>619</v>
      </c>
      <c r="G353" s="43" t="s">
        <v>3032</v>
      </c>
      <c r="H353" s="43" t="s">
        <v>735</v>
      </c>
      <c r="I353" s="43" t="s">
        <v>3033</v>
      </c>
      <c r="J353" s="43" t="s">
        <v>623</v>
      </c>
      <c r="K353" s="43"/>
      <c r="L353" s="43" t="s">
        <v>1069</v>
      </c>
      <c r="M353" s="43" t="s">
        <v>914</v>
      </c>
      <c r="N353" s="43" t="s">
        <v>617</v>
      </c>
      <c r="O353" s="43" t="s">
        <v>626</v>
      </c>
      <c r="P353" s="43" t="s">
        <v>3034</v>
      </c>
      <c r="Q353" s="43" t="s">
        <v>3035</v>
      </c>
      <c r="R353" s="43" t="s">
        <v>3036</v>
      </c>
      <c r="S353" s="43" t="s">
        <v>629</v>
      </c>
      <c r="T353" s="43"/>
      <c r="U353" s="43"/>
      <c r="V353" s="43"/>
      <c r="W353" s="43"/>
      <c r="X353" s="43"/>
      <c r="Y353" s="43"/>
      <c r="Z353" s="43"/>
    </row>
    <row r="354" spans="1:26" ht="15.75" customHeight="1" x14ac:dyDescent="0.25">
      <c r="A354" s="43" t="s">
        <v>436</v>
      </c>
      <c r="B354" s="43" t="s">
        <v>3037</v>
      </c>
      <c r="C354" s="43" t="s">
        <v>3038</v>
      </c>
      <c r="D354" s="43" t="s">
        <v>617</v>
      </c>
      <c r="E354" s="43" t="s">
        <v>3039</v>
      </c>
      <c r="F354" s="43" t="s">
        <v>619</v>
      </c>
      <c r="G354" s="43" t="s">
        <v>3040</v>
      </c>
      <c r="H354" s="43" t="s">
        <v>735</v>
      </c>
      <c r="I354" s="43" t="s">
        <v>3041</v>
      </c>
      <c r="J354" s="43" t="s">
        <v>3042</v>
      </c>
      <c r="K354" s="43" t="s">
        <v>2982</v>
      </c>
      <c r="L354" s="43" t="s">
        <v>3043</v>
      </c>
      <c r="M354" s="43" t="s">
        <v>3044</v>
      </c>
      <c r="N354" s="43" t="s">
        <v>1296</v>
      </c>
      <c r="O354" s="43" t="s">
        <v>626</v>
      </c>
      <c r="P354" s="43" t="s">
        <v>3045</v>
      </c>
      <c r="Q354" s="43" t="s">
        <v>3046</v>
      </c>
      <c r="R354" s="43" t="s">
        <v>3047</v>
      </c>
      <c r="S354" s="43" t="s">
        <v>629</v>
      </c>
      <c r="T354" s="43"/>
      <c r="U354" s="43"/>
      <c r="V354" s="43"/>
      <c r="W354" s="43"/>
      <c r="X354" s="43"/>
      <c r="Y354" s="43"/>
      <c r="Z354" s="43"/>
    </row>
    <row r="355" spans="1:26" ht="15.75" customHeight="1" x14ac:dyDescent="0.25">
      <c r="A355" s="43" t="s">
        <v>437</v>
      </c>
      <c r="B355" s="43" t="s">
        <v>3048</v>
      </c>
      <c r="C355" s="43" t="s">
        <v>3049</v>
      </c>
      <c r="D355" s="43" t="s">
        <v>617</v>
      </c>
      <c r="E355" s="43" t="s">
        <v>3050</v>
      </c>
      <c r="F355" s="43" t="s">
        <v>619</v>
      </c>
      <c r="G355" s="43" t="s">
        <v>3051</v>
      </c>
      <c r="H355" s="43" t="s">
        <v>621</v>
      </c>
      <c r="I355" s="43" t="s">
        <v>3052</v>
      </c>
      <c r="J355" s="43" t="s">
        <v>1122</v>
      </c>
      <c r="K355" s="43"/>
      <c r="L355" s="43" t="s">
        <v>644</v>
      </c>
      <c r="M355" s="43" t="s">
        <v>645</v>
      </c>
      <c r="N355" s="43" t="s">
        <v>617</v>
      </c>
      <c r="O355" s="43" t="s">
        <v>626</v>
      </c>
      <c r="P355" s="43" t="s">
        <v>688</v>
      </c>
      <c r="Q355" s="43" t="s">
        <v>3053</v>
      </c>
      <c r="R355" s="43" t="s">
        <v>3054</v>
      </c>
      <c r="S355" s="43" t="s">
        <v>648</v>
      </c>
      <c r="T355" s="43"/>
      <c r="U355" s="43"/>
      <c r="V355" s="43"/>
      <c r="W355" s="43"/>
      <c r="X355" s="43"/>
      <c r="Y355" s="43"/>
      <c r="Z355" s="43"/>
    </row>
    <row r="356" spans="1:26" ht="15.75" customHeight="1" x14ac:dyDescent="0.25">
      <c r="A356" s="43" t="s">
        <v>438</v>
      </c>
      <c r="B356" s="43" t="s">
        <v>3055</v>
      </c>
      <c r="C356" s="43" t="s">
        <v>3056</v>
      </c>
      <c r="D356" s="43" t="s">
        <v>617</v>
      </c>
      <c r="E356" s="43" t="s">
        <v>3057</v>
      </c>
      <c r="F356" s="43" t="s">
        <v>619</v>
      </c>
      <c r="G356" s="43" t="s">
        <v>3058</v>
      </c>
      <c r="H356" s="43" t="s">
        <v>3059</v>
      </c>
      <c r="I356" s="43" t="s">
        <v>2652</v>
      </c>
      <c r="J356" s="43" t="s">
        <v>928</v>
      </c>
      <c r="K356" s="43" t="s">
        <v>623</v>
      </c>
      <c r="L356" s="43" t="s">
        <v>1358</v>
      </c>
      <c r="M356" s="43" t="s">
        <v>855</v>
      </c>
      <c r="N356" s="43" t="s">
        <v>617</v>
      </c>
      <c r="O356" s="43" t="s">
        <v>626</v>
      </c>
      <c r="P356" s="43" t="s">
        <v>1870</v>
      </c>
      <c r="Q356" s="43" t="s">
        <v>3060</v>
      </c>
      <c r="R356" s="43" t="s">
        <v>3061</v>
      </c>
      <c r="S356" s="43" t="s">
        <v>629</v>
      </c>
      <c r="T356" s="43"/>
      <c r="U356" s="43"/>
      <c r="V356" s="43"/>
      <c r="W356" s="43"/>
      <c r="X356" s="43"/>
      <c r="Y356" s="43"/>
      <c r="Z356" s="43"/>
    </row>
    <row r="357" spans="1:26" ht="15.75" customHeight="1" x14ac:dyDescent="0.25">
      <c r="A357" s="43" t="s">
        <v>439</v>
      </c>
      <c r="B357" s="43" t="s">
        <v>3062</v>
      </c>
      <c r="C357" s="43" t="s">
        <v>3063</v>
      </c>
      <c r="D357" s="43" t="s">
        <v>617</v>
      </c>
      <c r="E357" s="43" t="s">
        <v>706</v>
      </c>
      <c r="F357" s="43" t="s">
        <v>619</v>
      </c>
      <c r="G357" s="43" t="s">
        <v>3064</v>
      </c>
      <c r="H357" s="43" t="s">
        <v>653</v>
      </c>
      <c r="I357" s="43" t="s">
        <v>3065</v>
      </c>
      <c r="J357" s="43" t="s">
        <v>1227</v>
      </c>
      <c r="K357" s="43" t="s">
        <v>623</v>
      </c>
      <c r="L357" s="43" t="s">
        <v>3066</v>
      </c>
      <c r="M357" s="43" t="s">
        <v>1794</v>
      </c>
      <c r="N357" s="43" t="s">
        <v>617</v>
      </c>
      <c r="O357" s="43" t="s">
        <v>626</v>
      </c>
      <c r="P357" s="43" t="s">
        <v>2224</v>
      </c>
      <c r="Q357" s="43" t="s">
        <v>3067</v>
      </c>
      <c r="R357" s="43" t="s">
        <v>3068</v>
      </c>
      <c r="S357" s="43" t="s">
        <v>629</v>
      </c>
      <c r="T357" s="43"/>
      <c r="U357" s="43"/>
      <c r="V357" s="43"/>
      <c r="W357" s="43"/>
      <c r="X357" s="43"/>
      <c r="Y357" s="43"/>
      <c r="Z357" s="43"/>
    </row>
    <row r="358" spans="1:26" ht="15.75" customHeight="1" x14ac:dyDescent="0.25">
      <c r="A358" s="43" t="s">
        <v>440</v>
      </c>
      <c r="B358" s="43" t="s">
        <v>3069</v>
      </c>
      <c r="C358" s="43" t="s">
        <v>3070</v>
      </c>
      <c r="D358" s="43" t="s">
        <v>617</v>
      </c>
      <c r="E358" s="43" t="s">
        <v>3071</v>
      </c>
      <c r="F358" s="43" t="s">
        <v>619</v>
      </c>
      <c r="G358" s="43" t="s">
        <v>3072</v>
      </c>
      <c r="H358" s="43" t="s">
        <v>621</v>
      </c>
      <c r="I358" s="43" t="s">
        <v>3073</v>
      </c>
      <c r="J358" s="43" t="s">
        <v>1304</v>
      </c>
      <c r="K358" s="43" t="s">
        <v>623</v>
      </c>
      <c r="L358" s="43" t="s">
        <v>1380</v>
      </c>
      <c r="M358" s="43" t="s">
        <v>645</v>
      </c>
      <c r="N358" s="43" t="s">
        <v>617</v>
      </c>
      <c r="O358" s="43" t="s">
        <v>626</v>
      </c>
      <c r="P358" s="43" t="s">
        <v>1381</v>
      </c>
      <c r="Q358" s="43" t="s">
        <v>3074</v>
      </c>
      <c r="R358" s="43" t="s">
        <v>3075</v>
      </c>
      <c r="S358" s="43" t="s">
        <v>893</v>
      </c>
      <c r="T358" s="43"/>
      <c r="U358" s="43"/>
      <c r="V358" s="43"/>
      <c r="W358" s="43"/>
      <c r="X358" s="43"/>
      <c r="Y358" s="43"/>
      <c r="Z358" s="43"/>
    </row>
    <row r="359" spans="1:26" ht="15.75" customHeight="1" x14ac:dyDescent="0.25">
      <c r="A359" s="43" t="s">
        <v>441</v>
      </c>
      <c r="B359" s="43" t="s">
        <v>3076</v>
      </c>
      <c r="C359" s="43" t="s">
        <v>3077</v>
      </c>
      <c r="D359" s="43" t="s">
        <v>617</v>
      </c>
      <c r="E359" s="43" t="s">
        <v>3078</v>
      </c>
      <c r="F359" s="43" t="s">
        <v>619</v>
      </c>
      <c r="G359" s="43" t="s">
        <v>3079</v>
      </c>
      <c r="H359" s="43" t="s">
        <v>653</v>
      </c>
      <c r="I359" s="43" t="s">
        <v>2875</v>
      </c>
      <c r="J359" s="43" t="s">
        <v>2084</v>
      </c>
      <c r="K359" s="43"/>
      <c r="L359" s="43" t="s">
        <v>981</v>
      </c>
      <c r="M359" s="43" t="s">
        <v>794</v>
      </c>
      <c r="N359" s="43" t="s">
        <v>617</v>
      </c>
      <c r="O359" s="43" t="s">
        <v>626</v>
      </c>
      <c r="P359" s="43" t="s">
        <v>795</v>
      </c>
      <c r="Q359" s="43" t="s">
        <v>3080</v>
      </c>
      <c r="R359" s="43" t="s">
        <v>3081</v>
      </c>
      <c r="S359" s="43" t="s">
        <v>648</v>
      </c>
      <c r="T359" s="43"/>
      <c r="U359" s="43"/>
      <c r="V359" s="43"/>
      <c r="W359" s="43"/>
      <c r="X359" s="43"/>
      <c r="Y359" s="43"/>
      <c r="Z359" s="43"/>
    </row>
    <row r="360" spans="1:26" ht="15.75" customHeight="1" x14ac:dyDescent="0.25">
      <c r="A360" s="43" t="s">
        <v>442</v>
      </c>
      <c r="B360" s="43" t="s">
        <v>3082</v>
      </c>
      <c r="C360" s="43" t="s">
        <v>3083</v>
      </c>
      <c r="D360" s="43" t="s">
        <v>617</v>
      </c>
      <c r="E360" s="43" t="s">
        <v>1771</v>
      </c>
      <c r="F360" s="43" t="s">
        <v>619</v>
      </c>
      <c r="G360" s="43" t="s">
        <v>3084</v>
      </c>
      <c r="H360" s="43" t="s">
        <v>1318</v>
      </c>
      <c r="I360" s="43" t="s">
        <v>3085</v>
      </c>
      <c r="J360" s="43" t="s">
        <v>2084</v>
      </c>
      <c r="K360" s="43"/>
      <c r="L360" s="43" t="s">
        <v>3086</v>
      </c>
      <c r="M360" s="43" t="s">
        <v>794</v>
      </c>
      <c r="N360" s="43" t="s">
        <v>617</v>
      </c>
      <c r="O360" s="43" t="s">
        <v>626</v>
      </c>
      <c r="P360" s="43" t="s">
        <v>1641</v>
      </c>
      <c r="Q360" s="43" t="s">
        <v>3087</v>
      </c>
      <c r="R360" s="43" t="s">
        <v>3088</v>
      </c>
      <c r="S360" s="43" t="s">
        <v>629</v>
      </c>
      <c r="T360" s="43"/>
      <c r="U360" s="43"/>
      <c r="V360" s="43"/>
      <c r="W360" s="43"/>
      <c r="X360" s="43"/>
      <c r="Y360" s="43"/>
      <c r="Z360" s="43"/>
    </row>
    <row r="361" spans="1:26" ht="15.75" customHeight="1" x14ac:dyDescent="0.25">
      <c r="A361" s="43" t="s">
        <v>443</v>
      </c>
      <c r="B361" s="43" t="s">
        <v>3089</v>
      </c>
      <c r="C361" s="43" t="s">
        <v>3090</v>
      </c>
      <c r="D361" s="43" t="s">
        <v>3091</v>
      </c>
      <c r="E361" s="43" t="s">
        <v>2614</v>
      </c>
      <c r="F361" s="43" t="s">
        <v>740</v>
      </c>
      <c r="G361" s="43" t="s">
        <v>3092</v>
      </c>
      <c r="H361" s="43" t="s">
        <v>621</v>
      </c>
      <c r="I361" s="43" t="s">
        <v>3093</v>
      </c>
      <c r="J361" s="43" t="s">
        <v>1304</v>
      </c>
      <c r="K361" s="43" t="s">
        <v>1102</v>
      </c>
      <c r="L361" s="43" t="s">
        <v>913</v>
      </c>
      <c r="M361" s="43" t="s">
        <v>914</v>
      </c>
      <c r="N361" s="43" t="s">
        <v>617</v>
      </c>
      <c r="O361" s="43" t="s">
        <v>626</v>
      </c>
      <c r="P361" s="43" t="s">
        <v>3094</v>
      </c>
      <c r="Q361" s="43" t="s">
        <v>3095</v>
      </c>
      <c r="R361" s="43" t="s">
        <v>3096</v>
      </c>
      <c r="S361" s="43" t="s">
        <v>629</v>
      </c>
      <c r="T361" s="43"/>
      <c r="U361" s="43"/>
      <c r="V361" s="43"/>
      <c r="W361" s="43"/>
      <c r="X361" s="43"/>
      <c r="Y361" s="43"/>
      <c r="Z361" s="43"/>
    </row>
    <row r="362" spans="1:26" ht="15.75" customHeight="1" x14ac:dyDescent="0.25">
      <c r="A362" s="43" t="s">
        <v>444</v>
      </c>
      <c r="B362" s="43" t="s">
        <v>3097</v>
      </c>
      <c r="C362" s="43" t="s">
        <v>3098</v>
      </c>
      <c r="D362" s="43" t="s">
        <v>617</v>
      </c>
      <c r="E362" s="43" t="s">
        <v>3099</v>
      </c>
      <c r="F362" s="43" t="s">
        <v>619</v>
      </c>
      <c r="G362" s="43" t="s">
        <v>3100</v>
      </c>
      <c r="H362" s="43" t="s">
        <v>653</v>
      </c>
      <c r="I362" s="43" t="s">
        <v>3101</v>
      </c>
      <c r="J362" s="43" t="s">
        <v>1111</v>
      </c>
      <c r="K362" s="43"/>
      <c r="L362" s="43" t="s">
        <v>1380</v>
      </c>
      <c r="M362" s="43" t="s">
        <v>645</v>
      </c>
      <c r="N362" s="43" t="s">
        <v>617</v>
      </c>
      <c r="O362" s="43" t="s">
        <v>626</v>
      </c>
      <c r="P362" s="43" t="s">
        <v>3102</v>
      </c>
      <c r="Q362" s="43" t="s">
        <v>3103</v>
      </c>
      <c r="R362" s="43" t="s">
        <v>3104</v>
      </c>
      <c r="S362" s="43" t="s">
        <v>629</v>
      </c>
      <c r="T362" s="43"/>
      <c r="U362" s="43"/>
      <c r="V362" s="43"/>
      <c r="W362" s="43"/>
      <c r="X362" s="43"/>
      <c r="Y362" s="43"/>
      <c r="Z362" s="43"/>
    </row>
    <row r="363" spans="1:26" ht="15.75" customHeight="1" x14ac:dyDescent="0.25">
      <c r="A363" s="43" t="s">
        <v>445</v>
      </c>
      <c r="B363" s="43" t="s">
        <v>3105</v>
      </c>
      <c r="C363" s="43" t="s">
        <v>3106</v>
      </c>
      <c r="D363" s="43" t="s">
        <v>617</v>
      </c>
      <c r="E363" s="43" t="s">
        <v>651</v>
      </c>
      <c r="F363" s="43" t="s">
        <v>619</v>
      </c>
      <c r="G363" s="43" t="s">
        <v>3107</v>
      </c>
      <c r="H363" s="43" t="s">
        <v>653</v>
      </c>
      <c r="I363" s="43" t="s">
        <v>3108</v>
      </c>
      <c r="J363" s="43" t="s">
        <v>928</v>
      </c>
      <c r="K363" s="43" t="s">
        <v>623</v>
      </c>
      <c r="L363" s="43" t="s">
        <v>760</v>
      </c>
      <c r="M363" s="43" t="s">
        <v>664</v>
      </c>
      <c r="N363" s="43" t="s">
        <v>617</v>
      </c>
      <c r="O363" s="43" t="s">
        <v>626</v>
      </c>
      <c r="P363" s="43" t="s">
        <v>1228</v>
      </c>
      <c r="Q363" s="43" t="s">
        <v>3109</v>
      </c>
      <c r="R363" s="43" t="s">
        <v>3110</v>
      </c>
      <c r="S363" s="43" t="s">
        <v>730</v>
      </c>
      <c r="T363" s="43"/>
      <c r="U363" s="43"/>
      <c r="V363" s="43"/>
      <c r="W363" s="43"/>
      <c r="X363" s="43"/>
      <c r="Y363" s="43"/>
      <c r="Z363" s="43"/>
    </row>
    <row r="364" spans="1:26" ht="15.75" customHeight="1" x14ac:dyDescent="0.25">
      <c r="A364" s="43" t="s">
        <v>446</v>
      </c>
      <c r="B364" s="43" t="s">
        <v>3111</v>
      </c>
      <c r="C364" s="43" t="s">
        <v>3112</v>
      </c>
      <c r="D364" s="43" t="s">
        <v>1507</v>
      </c>
      <c r="E364" s="43" t="s">
        <v>3113</v>
      </c>
      <c r="F364" s="43" t="s">
        <v>619</v>
      </c>
      <c r="G364" s="43" t="s">
        <v>3114</v>
      </c>
      <c r="H364" s="43" t="s">
        <v>1292</v>
      </c>
      <c r="I364" s="43" t="s">
        <v>3115</v>
      </c>
      <c r="J364" s="43" t="s">
        <v>1304</v>
      </c>
      <c r="K364" s="43"/>
      <c r="L364" s="43" t="s">
        <v>644</v>
      </c>
      <c r="M364" s="43" t="s">
        <v>645</v>
      </c>
      <c r="N364" s="43" t="s">
        <v>617</v>
      </c>
      <c r="O364" s="43" t="s">
        <v>626</v>
      </c>
      <c r="P364" s="43" t="s">
        <v>1938</v>
      </c>
      <c r="Q364" s="43" t="s">
        <v>3116</v>
      </c>
      <c r="R364" s="43" t="s">
        <v>3117</v>
      </c>
      <c r="S364" s="43" t="s">
        <v>730</v>
      </c>
      <c r="T364" s="43"/>
      <c r="U364" s="43"/>
      <c r="V364" s="43"/>
      <c r="W364" s="43"/>
      <c r="X364" s="43"/>
      <c r="Y364" s="43"/>
      <c r="Z364" s="43"/>
    </row>
    <row r="365" spans="1:26" ht="15.75" customHeight="1" x14ac:dyDescent="0.25">
      <c r="A365" s="43" t="s">
        <v>447</v>
      </c>
      <c r="B365" s="43" t="s">
        <v>3118</v>
      </c>
      <c r="C365" s="43" t="s">
        <v>3119</v>
      </c>
      <c r="D365" s="43" t="s">
        <v>617</v>
      </c>
      <c r="E365" s="43" t="s">
        <v>3120</v>
      </c>
      <c r="F365" s="43" t="s">
        <v>619</v>
      </c>
      <c r="G365" s="43" t="s">
        <v>3121</v>
      </c>
      <c r="H365" s="43" t="s">
        <v>653</v>
      </c>
      <c r="I365" s="43" t="s">
        <v>1633</v>
      </c>
      <c r="J365" s="43" t="s">
        <v>928</v>
      </c>
      <c r="K365" s="43" t="s">
        <v>623</v>
      </c>
      <c r="L365" s="43" t="s">
        <v>1001</v>
      </c>
      <c r="M365" s="43" t="s">
        <v>744</v>
      </c>
      <c r="N365" s="43" t="s">
        <v>617</v>
      </c>
      <c r="O365" s="43" t="s">
        <v>626</v>
      </c>
      <c r="P365" s="43" t="s">
        <v>810</v>
      </c>
      <c r="Q365" s="43" t="s">
        <v>3122</v>
      </c>
      <c r="R365" s="43" t="s">
        <v>3123</v>
      </c>
      <c r="S365" s="43" t="s">
        <v>629</v>
      </c>
      <c r="T365" s="43"/>
      <c r="U365" s="43"/>
      <c r="V365" s="43"/>
      <c r="W365" s="43"/>
      <c r="X365" s="43"/>
      <c r="Y365" s="43"/>
      <c r="Z365" s="43"/>
    </row>
    <row r="366" spans="1:26" ht="15.75" customHeight="1" x14ac:dyDescent="0.25">
      <c r="A366" s="43" t="s">
        <v>448</v>
      </c>
      <c r="B366" s="43" t="s">
        <v>3124</v>
      </c>
      <c r="C366" s="43" t="s">
        <v>3125</v>
      </c>
      <c r="D366" s="43" t="s">
        <v>617</v>
      </c>
      <c r="E366" s="43" t="s">
        <v>3126</v>
      </c>
      <c r="F366" s="43" t="s">
        <v>619</v>
      </c>
      <c r="G366" s="43" t="s">
        <v>3127</v>
      </c>
      <c r="H366" s="43" t="s">
        <v>653</v>
      </c>
      <c r="I366" s="43" t="s">
        <v>635</v>
      </c>
      <c r="J366" s="43" t="s">
        <v>1111</v>
      </c>
      <c r="K366" s="43" t="s">
        <v>623</v>
      </c>
      <c r="L366" s="43" t="s">
        <v>636</v>
      </c>
      <c r="M366" s="43" t="s">
        <v>625</v>
      </c>
      <c r="N366" s="43" t="s">
        <v>617</v>
      </c>
      <c r="O366" s="43" t="s">
        <v>626</v>
      </c>
      <c r="P366" s="43" t="s">
        <v>637</v>
      </c>
      <c r="Q366" s="43" t="s">
        <v>3128</v>
      </c>
      <c r="R366" s="43" t="s">
        <v>3129</v>
      </c>
      <c r="S366" s="43" t="s">
        <v>730</v>
      </c>
      <c r="T366" s="43"/>
      <c r="U366" s="43"/>
      <c r="V366" s="43"/>
      <c r="W366" s="43"/>
      <c r="X366" s="43"/>
      <c r="Y366" s="43"/>
      <c r="Z366" s="43"/>
    </row>
    <row r="367" spans="1:26" ht="15.75" customHeight="1" x14ac:dyDescent="0.25">
      <c r="A367" s="43" t="s">
        <v>449</v>
      </c>
      <c r="B367" s="43" t="s">
        <v>3130</v>
      </c>
      <c r="C367" s="43" t="s">
        <v>3131</v>
      </c>
      <c r="D367" s="43" t="s">
        <v>617</v>
      </c>
      <c r="E367" s="43" t="s">
        <v>3132</v>
      </c>
      <c r="F367" s="43" t="s">
        <v>619</v>
      </c>
      <c r="G367" s="43" t="s">
        <v>3133</v>
      </c>
      <c r="H367" s="43" t="s">
        <v>621</v>
      </c>
      <c r="I367" s="43" t="s">
        <v>3134</v>
      </c>
      <c r="J367" s="43" t="s">
        <v>1227</v>
      </c>
      <c r="K367" s="43" t="s">
        <v>623</v>
      </c>
      <c r="L367" s="43" t="s">
        <v>958</v>
      </c>
      <c r="M367" s="43" t="s">
        <v>855</v>
      </c>
      <c r="N367" s="43" t="s">
        <v>617</v>
      </c>
      <c r="O367" s="43" t="s">
        <v>626</v>
      </c>
      <c r="P367" s="43" t="s">
        <v>929</v>
      </c>
      <c r="Q367" s="43" t="s">
        <v>3135</v>
      </c>
      <c r="R367" s="43" t="s">
        <v>3135</v>
      </c>
      <c r="S367" s="43" t="s">
        <v>629</v>
      </c>
      <c r="T367" s="43"/>
      <c r="U367" s="43"/>
      <c r="V367" s="43"/>
      <c r="W367" s="43"/>
      <c r="X367" s="43"/>
      <c r="Y367" s="43"/>
      <c r="Z367" s="43"/>
    </row>
    <row r="368" spans="1:26" ht="15.75" customHeight="1" x14ac:dyDescent="0.25">
      <c r="A368" s="43" t="s">
        <v>450</v>
      </c>
      <c r="B368" s="43" t="s">
        <v>3136</v>
      </c>
      <c r="C368" s="43" t="s">
        <v>3137</v>
      </c>
      <c r="D368" s="43" t="s">
        <v>3138</v>
      </c>
      <c r="E368" s="43" t="s">
        <v>879</v>
      </c>
      <c r="F368" s="43" t="s">
        <v>619</v>
      </c>
      <c r="G368" s="43" t="s">
        <v>3139</v>
      </c>
      <c r="H368" s="43" t="s">
        <v>2513</v>
      </c>
      <c r="I368" s="43" t="s">
        <v>3140</v>
      </c>
      <c r="J368" s="43" t="s">
        <v>98</v>
      </c>
      <c r="K368" s="43" t="s">
        <v>623</v>
      </c>
      <c r="L368" s="43" t="s">
        <v>839</v>
      </c>
      <c r="M368" s="43" t="s">
        <v>840</v>
      </c>
      <c r="N368" s="43" t="s">
        <v>617</v>
      </c>
      <c r="O368" s="43" t="s">
        <v>626</v>
      </c>
      <c r="P368" s="43" t="s">
        <v>841</v>
      </c>
      <c r="Q368" s="43" t="s">
        <v>3141</v>
      </c>
      <c r="R368" s="43" t="s">
        <v>3142</v>
      </c>
      <c r="S368" s="43" t="s">
        <v>893</v>
      </c>
      <c r="T368" s="43"/>
      <c r="U368" s="43"/>
      <c r="V368" s="43"/>
      <c r="W368" s="43"/>
      <c r="X368" s="43"/>
      <c r="Y368" s="43"/>
      <c r="Z368" s="43"/>
    </row>
    <row r="369" spans="1:26" ht="15.75" customHeight="1" x14ac:dyDescent="0.25">
      <c r="A369" s="43" t="s">
        <v>451</v>
      </c>
      <c r="B369" s="43" t="s">
        <v>3143</v>
      </c>
      <c r="C369" s="43" t="s">
        <v>3144</v>
      </c>
      <c r="D369" s="43" t="s">
        <v>617</v>
      </c>
      <c r="E369" s="43" t="s">
        <v>3145</v>
      </c>
      <c r="F369" s="43" t="s">
        <v>619</v>
      </c>
      <c r="G369" s="43" t="s">
        <v>3146</v>
      </c>
      <c r="H369" s="43" t="s">
        <v>1956</v>
      </c>
      <c r="I369" s="43" t="s">
        <v>3147</v>
      </c>
      <c r="J369" s="43" t="s">
        <v>2633</v>
      </c>
      <c r="K369" s="43"/>
      <c r="L369" s="43" t="s">
        <v>728</v>
      </c>
      <c r="M369" s="43" t="s">
        <v>617</v>
      </c>
      <c r="N369" s="43" t="s">
        <v>617</v>
      </c>
      <c r="O369" s="43" t="s">
        <v>626</v>
      </c>
      <c r="P369" s="43" t="s">
        <v>637</v>
      </c>
      <c r="Q369" s="43" t="s">
        <v>3148</v>
      </c>
      <c r="R369" s="43" t="s">
        <v>3149</v>
      </c>
      <c r="S369" s="43" t="s">
        <v>629</v>
      </c>
      <c r="T369" s="43"/>
      <c r="U369" s="43"/>
      <c r="V369" s="43"/>
      <c r="W369" s="43"/>
      <c r="X369" s="43"/>
      <c r="Y369" s="43"/>
      <c r="Z369" s="43"/>
    </row>
    <row r="370" spans="1:26" ht="15.75" customHeight="1" x14ac:dyDescent="0.25">
      <c r="A370" s="43" t="s">
        <v>452</v>
      </c>
      <c r="B370" s="43" t="s">
        <v>3150</v>
      </c>
      <c r="C370" s="43" t="s">
        <v>3151</v>
      </c>
      <c r="D370" s="43" t="s">
        <v>962</v>
      </c>
      <c r="E370" s="43" t="s">
        <v>3152</v>
      </c>
      <c r="F370" s="43" t="s">
        <v>619</v>
      </c>
      <c r="G370" s="43" t="s">
        <v>3153</v>
      </c>
      <c r="H370" s="43" t="s">
        <v>3154</v>
      </c>
      <c r="I370" s="43" t="s">
        <v>3155</v>
      </c>
      <c r="J370" s="43" t="s">
        <v>106</v>
      </c>
      <c r="K370" s="43" t="s">
        <v>88</v>
      </c>
      <c r="L370" s="43" t="s">
        <v>3156</v>
      </c>
      <c r="M370" s="43" t="s">
        <v>3157</v>
      </c>
      <c r="N370" s="43" t="s">
        <v>1049</v>
      </c>
      <c r="O370" s="43" t="s">
        <v>626</v>
      </c>
      <c r="P370" s="43" t="s">
        <v>1870</v>
      </c>
      <c r="Q370" s="43" t="s">
        <v>3158</v>
      </c>
      <c r="R370" s="43" t="s">
        <v>3159</v>
      </c>
      <c r="S370" s="43" t="s">
        <v>648</v>
      </c>
      <c r="T370" s="43"/>
      <c r="U370" s="43"/>
      <c r="V370" s="43"/>
      <c r="W370" s="43"/>
      <c r="X370" s="43"/>
      <c r="Y370" s="43"/>
      <c r="Z370" s="43"/>
    </row>
    <row r="371" spans="1:26" ht="15.75" customHeight="1" x14ac:dyDescent="0.25">
      <c r="A371" s="43" t="s">
        <v>453</v>
      </c>
      <c r="B371" s="43" t="s">
        <v>3160</v>
      </c>
      <c r="C371" s="43" t="s">
        <v>3161</v>
      </c>
      <c r="D371" s="43" t="s">
        <v>617</v>
      </c>
      <c r="E371" s="43" t="s">
        <v>3162</v>
      </c>
      <c r="F371" s="43" t="s">
        <v>619</v>
      </c>
      <c r="G371" s="43" t="s">
        <v>3163</v>
      </c>
      <c r="H371" s="43" t="s">
        <v>3164</v>
      </c>
      <c r="I371" s="43" t="s">
        <v>2725</v>
      </c>
      <c r="J371" s="43" t="s">
        <v>176</v>
      </c>
      <c r="K371" s="43"/>
      <c r="L371" s="43" t="s">
        <v>779</v>
      </c>
      <c r="M371" s="43" t="s">
        <v>780</v>
      </c>
      <c r="N371" s="43" t="s">
        <v>617</v>
      </c>
      <c r="O371" s="43" t="s">
        <v>626</v>
      </c>
      <c r="P371" s="43" t="s">
        <v>3165</v>
      </c>
      <c r="Q371" s="43" t="s">
        <v>3166</v>
      </c>
      <c r="R371" s="43" t="s">
        <v>3166</v>
      </c>
      <c r="S371" s="43" t="s">
        <v>730</v>
      </c>
      <c r="T371" s="43"/>
      <c r="U371" s="43"/>
      <c r="V371" s="43"/>
      <c r="W371" s="43"/>
      <c r="X371" s="43"/>
      <c r="Y371" s="43"/>
      <c r="Z371" s="43"/>
    </row>
    <row r="372" spans="1:26" ht="15.75" customHeight="1" x14ac:dyDescent="0.25">
      <c r="A372" s="43" t="s">
        <v>454</v>
      </c>
      <c r="B372" s="43" t="s">
        <v>3167</v>
      </c>
      <c r="C372" s="43" t="s">
        <v>3168</v>
      </c>
      <c r="D372" s="43" t="s">
        <v>617</v>
      </c>
      <c r="E372" s="43" t="s">
        <v>3169</v>
      </c>
      <c r="F372" s="43" t="s">
        <v>619</v>
      </c>
      <c r="G372" s="43" t="s">
        <v>3170</v>
      </c>
      <c r="H372" s="43" t="s">
        <v>653</v>
      </c>
      <c r="I372" s="43" t="s">
        <v>3171</v>
      </c>
      <c r="J372" s="43" t="s">
        <v>90</v>
      </c>
      <c r="K372" s="43" t="s">
        <v>623</v>
      </c>
      <c r="L372" s="43" t="s">
        <v>2373</v>
      </c>
      <c r="M372" s="43" t="s">
        <v>1794</v>
      </c>
      <c r="N372" s="43" t="s">
        <v>617</v>
      </c>
      <c r="O372" s="43" t="s">
        <v>626</v>
      </c>
      <c r="P372" s="43" t="s">
        <v>2203</v>
      </c>
      <c r="Q372" s="43" t="s">
        <v>3172</v>
      </c>
      <c r="R372" s="43" t="s">
        <v>3173</v>
      </c>
      <c r="S372" s="43" t="s">
        <v>730</v>
      </c>
      <c r="T372" s="43"/>
      <c r="U372" s="43"/>
      <c r="V372" s="43"/>
      <c r="W372" s="43"/>
      <c r="X372" s="43"/>
      <c r="Y372" s="43"/>
      <c r="Z372" s="43"/>
    </row>
    <row r="373" spans="1:26" ht="15.75" customHeight="1" x14ac:dyDescent="0.25">
      <c r="A373" s="43" t="s">
        <v>455</v>
      </c>
      <c r="B373" s="43" t="s">
        <v>3174</v>
      </c>
      <c r="C373" s="43" t="s">
        <v>3175</v>
      </c>
      <c r="D373" s="43" t="s">
        <v>1518</v>
      </c>
      <c r="E373" s="43" t="s">
        <v>3176</v>
      </c>
      <c r="F373" s="43" t="s">
        <v>619</v>
      </c>
      <c r="G373" s="43" t="s">
        <v>3177</v>
      </c>
      <c r="H373" s="43" t="s">
        <v>621</v>
      </c>
      <c r="I373" s="43" t="s">
        <v>3178</v>
      </c>
      <c r="J373" s="43" t="s">
        <v>93</v>
      </c>
      <c r="K373" s="43" t="s">
        <v>623</v>
      </c>
      <c r="L373" s="43" t="s">
        <v>1794</v>
      </c>
      <c r="M373" s="43" t="s">
        <v>1794</v>
      </c>
      <c r="N373" s="43" t="s">
        <v>617</v>
      </c>
      <c r="O373" s="43" t="s">
        <v>626</v>
      </c>
      <c r="P373" s="43" t="s">
        <v>2224</v>
      </c>
      <c r="Q373" s="43" t="s">
        <v>3179</v>
      </c>
      <c r="R373" s="43" t="s">
        <v>3180</v>
      </c>
      <c r="S373" s="43" t="s">
        <v>629</v>
      </c>
      <c r="T373" s="43"/>
      <c r="U373" s="43"/>
      <c r="V373" s="43"/>
      <c r="W373" s="43"/>
      <c r="X373" s="43"/>
      <c r="Y373" s="43"/>
      <c r="Z373" s="43"/>
    </row>
    <row r="374" spans="1:26" ht="15.75" customHeight="1" x14ac:dyDescent="0.25">
      <c r="A374" s="43" t="s">
        <v>456</v>
      </c>
      <c r="B374" s="43" t="s">
        <v>3181</v>
      </c>
      <c r="C374" s="43" t="s">
        <v>3182</v>
      </c>
      <c r="D374" s="43" t="s">
        <v>828</v>
      </c>
      <c r="E374" s="43" t="s">
        <v>3183</v>
      </c>
      <c r="F374" s="43" t="s">
        <v>619</v>
      </c>
      <c r="G374" s="43" t="s">
        <v>3184</v>
      </c>
      <c r="H374" s="43" t="s">
        <v>621</v>
      </c>
      <c r="I374" s="43" t="s">
        <v>3185</v>
      </c>
      <c r="J374" s="43" t="s">
        <v>85</v>
      </c>
      <c r="K374" s="43" t="s">
        <v>623</v>
      </c>
      <c r="L374" s="43" t="s">
        <v>2254</v>
      </c>
      <c r="M374" s="43" t="s">
        <v>1113</v>
      </c>
      <c r="N374" s="43" t="s">
        <v>617</v>
      </c>
      <c r="O374" s="43" t="s">
        <v>626</v>
      </c>
      <c r="P374" s="43" t="s">
        <v>1870</v>
      </c>
      <c r="Q374" s="43" t="s">
        <v>3186</v>
      </c>
      <c r="R374" s="43" t="s">
        <v>3187</v>
      </c>
      <c r="S374" s="43" t="s">
        <v>730</v>
      </c>
      <c r="T374" s="43"/>
      <c r="U374" s="43"/>
      <c r="V374" s="43"/>
      <c r="W374" s="43"/>
      <c r="X374" s="43"/>
      <c r="Y374" s="43"/>
      <c r="Z374" s="43"/>
    </row>
    <row r="375" spans="1:26" ht="15.75" customHeight="1" x14ac:dyDescent="0.25">
      <c r="A375" s="43" t="s">
        <v>457</v>
      </c>
      <c r="B375" s="43" t="s">
        <v>3188</v>
      </c>
      <c r="C375" s="43" t="s">
        <v>3189</v>
      </c>
      <c r="D375" s="43" t="s">
        <v>617</v>
      </c>
      <c r="E375" s="43" t="s">
        <v>3190</v>
      </c>
      <c r="F375" s="43" t="s">
        <v>619</v>
      </c>
      <c r="G375" s="43" t="s">
        <v>1808</v>
      </c>
      <c r="H375" s="43" t="s">
        <v>653</v>
      </c>
      <c r="I375" s="43" t="s">
        <v>2191</v>
      </c>
      <c r="J375" s="43" t="s">
        <v>3191</v>
      </c>
      <c r="K375" s="43"/>
      <c r="L375" s="43" t="s">
        <v>1380</v>
      </c>
      <c r="M375" s="43" t="s">
        <v>645</v>
      </c>
      <c r="N375" s="43" t="s">
        <v>617</v>
      </c>
      <c r="O375" s="43" t="s">
        <v>626</v>
      </c>
      <c r="P375" s="43" t="s">
        <v>2224</v>
      </c>
      <c r="Q375" s="43" t="s">
        <v>3192</v>
      </c>
      <c r="R375" s="43" t="s">
        <v>3193</v>
      </c>
      <c r="S375" s="43" t="s">
        <v>629</v>
      </c>
      <c r="T375" s="43"/>
      <c r="U375" s="43"/>
      <c r="V375" s="43"/>
      <c r="W375" s="43"/>
      <c r="X375" s="43"/>
      <c r="Y375" s="43"/>
      <c r="Z375" s="43"/>
    </row>
    <row r="376" spans="1:26" ht="15.75" customHeight="1" x14ac:dyDescent="0.25">
      <c r="A376" s="43" t="s">
        <v>458</v>
      </c>
      <c r="B376" s="43" t="s">
        <v>3194</v>
      </c>
      <c r="C376" s="43" t="s">
        <v>3195</v>
      </c>
      <c r="D376" s="43" t="s">
        <v>617</v>
      </c>
      <c r="E376" s="43" t="s">
        <v>3196</v>
      </c>
      <c r="F376" s="43" t="s">
        <v>619</v>
      </c>
      <c r="G376" s="43" t="s">
        <v>3197</v>
      </c>
      <c r="H376" s="43" t="s">
        <v>735</v>
      </c>
      <c r="I376" s="43" t="s">
        <v>3198</v>
      </c>
      <c r="J376" s="43" t="s">
        <v>1111</v>
      </c>
      <c r="K376" s="43"/>
      <c r="L376" s="43" t="s">
        <v>966</v>
      </c>
      <c r="M376" s="43" t="s">
        <v>645</v>
      </c>
      <c r="N376" s="43" t="s">
        <v>617</v>
      </c>
      <c r="O376" s="43" t="s">
        <v>626</v>
      </c>
      <c r="P376" s="43" t="s">
        <v>3199</v>
      </c>
      <c r="Q376" s="43" t="s">
        <v>3200</v>
      </c>
      <c r="R376" s="43" t="s">
        <v>3200</v>
      </c>
      <c r="S376" s="43" t="s">
        <v>648</v>
      </c>
      <c r="T376" s="43"/>
      <c r="U376" s="43"/>
      <c r="V376" s="43"/>
      <c r="W376" s="43"/>
      <c r="X376" s="43"/>
      <c r="Y376" s="43"/>
      <c r="Z376" s="43"/>
    </row>
    <row r="377" spans="1:26" ht="15.75" customHeight="1" x14ac:dyDescent="0.25">
      <c r="A377" s="43" t="s">
        <v>459</v>
      </c>
      <c r="B377" s="43" t="s">
        <v>3201</v>
      </c>
      <c r="C377" s="43" t="s">
        <v>3202</v>
      </c>
      <c r="D377" s="43" t="s">
        <v>1289</v>
      </c>
      <c r="E377" s="43" t="s">
        <v>3203</v>
      </c>
      <c r="F377" s="43" t="s">
        <v>619</v>
      </c>
      <c r="G377" s="43" t="s">
        <v>3204</v>
      </c>
      <c r="H377" s="43" t="s">
        <v>3059</v>
      </c>
      <c r="I377" s="43" t="s">
        <v>3205</v>
      </c>
      <c r="J377" s="43" t="s">
        <v>101</v>
      </c>
      <c r="K377" s="43" t="s">
        <v>92</v>
      </c>
      <c r="L377" s="43" t="s">
        <v>3043</v>
      </c>
      <c r="M377" s="43" t="s">
        <v>3044</v>
      </c>
      <c r="N377" s="43" t="s">
        <v>1296</v>
      </c>
      <c r="O377" s="43" t="s">
        <v>626</v>
      </c>
      <c r="P377" s="43" t="s">
        <v>3045</v>
      </c>
      <c r="Q377" s="43" t="s">
        <v>3206</v>
      </c>
      <c r="R377" s="43" t="s">
        <v>3206</v>
      </c>
      <c r="S377" s="43" t="s">
        <v>629</v>
      </c>
      <c r="T377" s="43"/>
      <c r="U377" s="43"/>
      <c r="V377" s="43"/>
      <c r="W377" s="43"/>
      <c r="X377" s="43"/>
      <c r="Y377" s="43"/>
      <c r="Z377" s="43"/>
    </row>
    <row r="378" spans="1:26" ht="15.75" customHeight="1" x14ac:dyDescent="0.25">
      <c r="A378" s="43" t="s">
        <v>460</v>
      </c>
      <c r="B378" s="43" t="s">
        <v>3207</v>
      </c>
      <c r="C378" s="43" t="s">
        <v>3208</v>
      </c>
      <c r="D378" s="43" t="s">
        <v>617</v>
      </c>
      <c r="E378" s="43" t="s">
        <v>3209</v>
      </c>
      <c r="F378" s="43" t="s">
        <v>619</v>
      </c>
      <c r="G378" s="43" t="s">
        <v>3210</v>
      </c>
      <c r="H378" s="43" t="s">
        <v>653</v>
      </c>
      <c r="I378" s="43" t="s">
        <v>3211</v>
      </c>
      <c r="J378" s="43" t="s">
        <v>107</v>
      </c>
      <c r="K378" s="43" t="s">
        <v>1123</v>
      </c>
      <c r="L378" s="43" t="s">
        <v>779</v>
      </c>
      <c r="M378" s="43" t="s">
        <v>780</v>
      </c>
      <c r="N378" s="43" t="s">
        <v>617</v>
      </c>
      <c r="O378" s="43" t="s">
        <v>626</v>
      </c>
      <c r="P378" s="43" t="s">
        <v>2023</v>
      </c>
      <c r="Q378" s="43" t="s">
        <v>3212</v>
      </c>
      <c r="R378" s="43" t="s">
        <v>3213</v>
      </c>
      <c r="S378" s="43" t="s">
        <v>648</v>
      </c>
      <c r="T378" s="43"/>
      <c r="U378" s="43"/>
      <c r="V378" s="43"/>
      <c r="W378" s="43"/>
      <c r="X378" s="43"/>
      <c r="Y378" s="43"/>
      <c r="Z378" s="43"/>
    </row>
    <row r="379" spans="1:26" ht="15.75" customHeight="1" x14ac:dyDescent="0.25">
      <c r="A379" s="43" t="s">
        <v>461</v>
      </c>
      <c r="B379" s="43" t="s">
        <v>3214</v>
      </c>
      <c r="C379" s="43" t="s">
        <v>3215</v>
      </c>
      <c r="D379" s="43" t="s">
        <v>617</v>
      </c>
      <c r="E379" s="43" t="s">
        <v>3216</v>
      </c>
      <c r="F379" s="43" t="s">
        <v>619</v>
      </c>
      <c r="G379" s="43" t="s">
        <v>3217</v>
      </c>
      <c r="H379" s="43" t="s">
        <v>634</v>
      </c>
      <c r="I379" s="43" t="s">
        <v>3218</v>
      </c>
      <c r="J379" s="43" t="s">
        <v>1111</v>
      </c>
      <c r="K379" s="43"/>
      <c r="L379" s="43" t="s">
        <v>793</v>
      </c>
      <c r="M379" s="43" t="s">
        <v>794</v>
      </c>
      <c r="N379" s="43" t="s">
        <v>617</v>
      </c>
      <c r="O379" s="43" t="s">
        <v>626</v>
      </c>
      <c r="P379" s="43" t="s">
        <v>982</v>
      </c>
      <c r="Q379" s="43" t="s">
        <v>3219</v>
      </c>
      <c r="R379" s="43" t="s">
        <v>3219</v>
      </c>
      <c r="S379" s="43" t="s">
        <v>648</v>
      </c>
      <c r="T379" s="43"/>
      <c r="U379" s="43"/>
      <c r="V379" s="43"/>
      <c r="W379" s="43"/>
      <c r="X379" s="43"/>
      <c r="Y379" s="43"/>
      <c r="Z379" s="43"/>
    </row>
    <row r="380" spans="1:26" ht="15.75" customHeight="1" x14ac:dyDescent="0.25">
      <c r="A380" s="43" t="s">
        <v>462</v>
      </c>
      <c r="B380" s="43" t="s">
        <v>3220</v>
      </c>
      <c r="C380" s="43" t="s">
        <v>3221</v>
      </c>
      <c r="D380" s="43" t="s">
        <v>617</v>
      </c>
      <c r="E380" s="43" t="s">
        <v>1918</v>
      </c>
      <c r="F380" s="43" t="s">
        <v>619</v>
      </c>
      <c r="G380" s="43" t="s">
        <v>3222</v>
      </c>
      <c r="H380" s="43" t="s">
        <v>653</v>
      </c>
      <c r="I380" s="43" t="s">
        <v>1007</v>
      </c>
      <c r="J380" s="43" t="s">
        <v>1111</v>
      </c>
      <c r="K380" s="43" t="s">
        <v>1102</v>
      </c>
      <c r="L380" s="43" t="s">
        <v>854</v>
      </c>
      <c r="M380" s="43" t="s">
        <v>855</v>
      </c>
      <c r="N380" s="43" t="s">
        <v>617</v>
      </c>
      <c r="O380" s="43" t="s">
        <v>626</v>
      </c>
      <c r="P380" s="43" t="s">
        <v>3223</v>
      </c>
      <c r="Q380" s="43" t="s">
        <v>3224</v>
      </c>
      <c r="R380" s="43" t="s">
        <v>3225</v>
      </c>
      <c r="S380" s="43" t="s">
        <v>629</v>
      </c>
      <c r="T380" s="43"/>
      <c r="U380" s="43"/>
      <c r="V380" s="43"/>
      <c r="W380" s="43"/>
      <c r="X380" s="43"/>
      <c r="Y380" s="43"/>
      <c r="Z380" s="43"/>
    </row>
    <row r="381" spans="1:26" ht="15.75" customHeight="1" x14ac:dyDescent="0.25">
      <c r="A381" s="43" t="s">
        <v>463</v>
      </c>
      <c r="B381" s="43" t="s">
        <v>3226</v>
      </c>
      <c r="C381" s="43" t="s">
        <v>3227</v>
      </c>
      <c r="D381" s="43" t="s">
        <v>617</v>
      </c>
      <c r="E381" s="43" t="s">
        <v>1025</v>
      </c>
      <c r="F381" s="43" t="s">
        <v>619</v>
      </c>
      <c r="G381" s="43" t="s">
        <v>3228</v>
      </c>
      <c r="H381" s="43" t="s">
        <v>735</v>
      </c>
      <c r="I381" s="43" t="s">
        <v>3218</v>
      </c>
      <c r="J381" s="43" t="s">
        <v>1111</v>
      </c>
      <c r="K381" s="43"/>
      <c r="L381" s="43" t="s">
        <v>793</v>
      </c>
      <c r="M381" s="43" t="s">
        <v>794</v>
      </c>
      <c r="N381" s="43" t="s">
        <v>617</v>
      </c>
      <c r="O381" s="43" t="s">
        <v>626</v>
      </c>
      <c r="P381" s="43" t="s">
        <v>982</v>
      </c>
      <c r="Q381" s="43" t="s">
        <v>3229</v>
      </c>
      <c r="R381" s="43" t="s">
        <v>3230</v>
      </c>
      <c r="S381" s="43" t="s">
        <v>629</v>
      </c>
      <c r="T381" s="43"/>
      <c r="U381" s="43"/>
      <c r="V381" s="43"/>
      <c r="W381" s="43"/>
      <c r="X381" s="43"/>
      <c r="Y381" s="43"/>
      <c r="Z381" s="43"/>
    </row>
    <row r="382" spans="1:26" ht="15.75" customHeight="1" x14ac:dyDescent="0.25">
      <c r="A382" s="43" t="s">
        <v>464</v>
      </c>
      <c r="B382" s="43" t="s">
        <v>3231</v>
      </c>
      <c r="C382" s="43" t="s">
        <v>3232</v>
      </c>
      <c r="D382" s="43" t="s">
        <v>617</v>
      </c>
      <c r="E382" s="43" t="s">
        <v>1534</v>
      </c>
      <c r="F382" s="43" t="s">
        <v>619</v>
      </c>
      <c r="G382" s="43" t="s">
        <v>3233</v>
      </c>
      <c r="H382" s="43" t="s">
        <v>735</v>
      </c>
      <c r="I382" s="43" t="s">
        <v>3234</v>
      </c>
      <c r="J382" s="43" t="s">
        <v>1111</v>
      </c>
      <c r="K382" s="43"/>
      <c r="L382" s="43" t="s">
        <v>958</v>
      </c>
      <c r="M382" s="43" t="s">
        <v>855</v>
      </c>
      <c r="N382" s="43" t="s">
        <v>617</v>
      </c>
      <c r="O382" s="43" t="s">
        <v>626</v>
      </c>
      <c r="P382" s="43" t="s">
        <v>1626</v>
      </c>
      <c r="Q382" s="43" t="s">
        <v>3235</v>
      </c>
      <c r="R382" s="43" t="s">
        <v>3236</v>
      </c>
      <c r="S382" s="43" t="s">
        <v>629</v>
      </c>
      <c r="T382" s="43"/>
      <c r="U382" s="43"/>
      <c r="V382" s="43"/>
      <c r="W382" s="43"/>
      <c r="X382" s="43"/>
      <c r="Y382" s="43"/>
      <c r="Z382" s="43"/>
    </row>
    <row r="383" spans="1:26" ht="15.75" customHeight="1" x14ac:dyDescent="0.25">
      <c r="A383" s="43" t="s">
        <v>465</v>
      </c>
      <c r="B383" s="43" t="s">
        <v>3237</v>
      </c>
      <c r="C383" s="43" t="s">
        <v>3238</v>
      </c>
      <c r="D383" s="43" t="s">
        <v>617</v>
      </c>
      <c r="E383" s="43" t="s">
        <v>3239</v>
      </c>
      <c r="F383" s="43" t="s">
        <v>619</v>
      </c>
      <c r="G383" s="43" t="s">
        <v>3240</v>
      </c>
      <c r="H383" s="43" t="s">
        <v>653</v>
      </c>
      <c r="I383" s="43" t="s">
        <v>3241</v>
      </c>
      <c r="J383" s="43" t="s">
        <v>928</v>
      </c>
      <c r="K383" s="43"/>
      <c r="L383" s="43" t="s">
        <v>3019</v>
      </c>
      <c r="M383" s="43" t="s">
        <v>840</v>
      </c>
      <c r="N383" s="43" t="s">
        <v>617</v>
      </c>
      <c r="O383" s="43" t="s">
        <v>626</v>
      </c>
      <c r="P383" s="43" t="s">
        <v>1228</v>
      </c>
      <c r="Q383" s="43" t="s">
        <v>3242</v>
      </c>
      <c r="R383" s="43" t="s">
        <v>3242</v>
      </c>
      <c r="S383" s="43" t="s">
        <v>648</v>
      </c>
      <c r="T383" s="43"/>
      <c r="U383" s="43"/>
      <c r="V383" s="43"/>
      <c r="W383" s="43"/>
      <c r="X383" s="43"/>
      <c r="Y383" s="43"/>
      <c r="Z383" s="43"/>
    </row>
    <row r="384" spans="1:26" ht="15.75" customHeight="1" x14ac:dyDescent="0.25">
      <c r="A384" s="43" t="s">
        <v>466</v>
      </c>
      <c r="B384" s="43" t="s">
        <v>3243</v>
      </c>
      <c r="C384" s="43" t="s">
        <v>3244</v>
      </c>
      <c r="D384" s="43" t="s">
        <v>617</v>
      </c>
      <c r="E384" s="43" t="s">
        <v>3245</v>
      </c>
      <c r="F384" s="43" t="s">
        <v>619</v>
      </c>
      <c r="G384" s="43" t="s">
        <v>3246</v>
      </c>
      <c r="H384" s="43" t="s">
        <v>735</v>
      </c>
      <c r="I384" s="43" t="s">
        <v>2337</v>
      </c>
      <c r="J384" s="43" t="s">
        <v>3247</v>
      </c>
      <c r="K384" s="43" t="s">
        <v>1123</v>
      </c>
      <c r="L384" s="43" t="s">
        <v>898</v>
      </c>
      <c r="M384" s="43" t="s">
        <v>794</v>
      </c>
      <c r="N384" s="43" t="s">
        <v>617</v>
      </c>
      <c r="O384" s="43" t="s">
        <v>626</v>
      </c>
      <c r="P384" s="43" t="s">
        <v>1641</v>
      </c>
      <c r="Q384" s="43" t="s">
        <v>3248</v>
      </c>
      <c r="R384" s="43" t="s">
        <v>3248</v>
      </c>
      <c r="S384" s="43" t="s">
        <v>629</v>
      </c>
      <c r="T384" s="43"/>
      <c r="U384" s="43"/>
      <c r="V384" s="43"/>
      <c r="W384" s="43"/>
      <c r="X384" s="43"/>
      <c r="Y384" s="43"/>
      <c r="Z384" s="43"/>
    </row>
    <row r="385" spans="1:26" ht="15.75" customHeight="1" x14ac:dyDescent="0.25">
      <c r="A385" s="43" t="s">
        <v>467</v>
      </c>
      <c r="B385" s="43" t="s">
        <v>3249</v>
      </c>
      <c r="C385" s="43" t="s">
        <v>3250</v>
      </c>
      <c r="D385" s="43" t="s">
        <v>617</v>
      </c>
      <c r="E385" s="43" t="s">
        <v>3251</v>
      </c>
      <c r="F385" s="43" t="s">
        <v>619</v>
      </c>
      <c r="G385" s="43" t="s">
        <v>3252</v>
      </c>
      <c r="H385" s="43" t="s">
        <v>735</v>
      </c>
      <c r="I385" s="43" t="s">
        <v>1303</v>
      </c>
      <c r="J385" s="43" t="s">
        <v>1304</v>
      </c>
      <c r="K385" s="43" t="s">
        <v>1123</v>
      </c>
      <c r="L385" s="43" t="s">
        <v>1305</v>
      </c>
      <c r="M385" s="43" t="s">
        <v>744</v>
      </c>
      <c r="N385" s="43" t="s">
        <v>617</v>
      </c>
      <c r="O385" s="43" t="s">
        <v>626</v>
      </c>
      <c r="P385" s="43" t="s">
        <v>745</v>
      </c>
      <c r="Q385" s="43" t="s">
        <v>3253</v>
      </c>
      <c r="R385" s="43" t="s">
        <v>3254</v>
      </c>
      <c r="S385" s="43" t="s">
        <v>648</v>
      </c>
      <c r="T385" s="43"/>
      <c r="U385" s="43"/>
      <c r="V385" s="43"/>
      <c r="W385" s="43"/>
      <c r="X385" s="43"/>
      <c r="Y385" s="43"/>
      <c r="Z385" s="43"/>
    </row>
    <row r="386" spans="1:26" ht="15.75" customHeight="1" x14ac:dyDescent="0.25">
      <c r="A386" s="43" t="s">
        <v>468</v>
      </c>
      <c r="B386" s="43" t="s">
        <v>3255</v>
      </c>
      <c r="C386" s="43" t="s">
        <v>3256</v>
      </c>
      <c r="D386" s="43" t="s">
        <v>617</v>
      </c>
      <c r="E386" s="43" t="s">
        <v>3257</v>
      </c>
      <c r="F386" s="43" t="s">
        <v>619</v>
      </c>
      <c r="G386" s="43" t="s">
        <v>3258</v>
      </c>
      <c r="H386" s="43" t="s">
        <v>735</v>
      </c>
      <c r="I386" s="43" t="s">
        <v>3259</v>
      </c>
      <c r="J386" s="43" t="s">
        <v>108</v>
      </c>
      <c r="K386" s="43"/>
      <c r="L386" s="43" t="s">
        <v>1412</v>
      </c>
      <c r="M386" s="43" t="s">
        <v>645</v>
      </c>
      <c r="N386" s="43" t="s">
        <v>617</v>
      </c>
      <c r="O386" s="43" t="s">
        <v>626</v>
      </c>
      <c r="P386" s="43" t="s">
        <v>1028</v>
      </c>
      <c r="Q386" s="43" t="s">
        <v>3260</v>
      </c>
      <c r="R386" s="43" t="s">
        <v>3260</v>
      </c>
      <c r="S386" s="43" t="s">
        <v>648</v>
      </c>
      <c r="T386" s="43"/>
      <c r="U386" s="43"/>
      <c r="V386" s="43"/>
      <c r="W386" s="43"/>
      <c r="X386" s="43"/>
      <c r="Y386" s="43"/>
      <c r="Z386" s="43"/>
    </row>
    <row r="387" spans="1:26" ht="15.75" customHeight="1" x14ac:dyDescent="0.25">
      <c r="A387" s="43" t="s">
        <v>469</v>
      </c>
      <c r="B387" s="43" t="s">
        <v>3261</v>
      </c>
      <c r="C387" s="43" t="s">
        <v>3262</v>
      </c>
      <c r="D387" s="43" t="s">
        <v>617</v>
      </c>
      <c r="E387" s="43" t="s">
        <v>2028</v>
      </c>
      <c r="F387" s="43" t="s">
        <v>619</v>
      </c>
      <c r="G387" s="43" t="s">
        <v>3263</v>
      </c>
      <c r="H387" s="43" t="s">
        <v>653</v>
      </c>
      <c r="I387" s="43" t="s">
        <v>3264</v>
      </c>
      <c r="J387" s="43" t="s">
        <v>86</v>
      </c>
      <c r="K387" s="43" t="s">
        <v>623</v>
      </c>
      <c r="L387" s="43" t="s">
        <v>1320</v>
      </c>
      <c r="M387" s="43" t="s">
        <v>818</v>
      </c>
      <c r="N387" s="43" t="s">
        <v>617</v>
      </c>
      <c r="O387" s="43" t="s">
        <v>626</v>
      </c>
      <c r="P387" s="43" t="s">
        <v>2059</v>
      </c>
      <c r="Q387" s="43" t="s">
        <v>3265</v>
      </c>
      <c r="R387" s="43" t="s">
        <v>3266</v>
      </c>
      <c r="S387" s="43" t="s">
        <v>648</v>
      </c>
      <c r="T387" s="43"/>
      <c r="U387" s="43"/>
      <c r="V387" s="43"/>
      <c r="W387" s="43"/>
      <c r="X387" s="43"/>
      <c r="Y387" s="43"/>
      <c r="Z387" s="43"/>
    </row>
    <row r="388" spans="1:26" ht="15.75" customHeight="1" x14ac:dyDescent="0.25">
      <c r="A388" s="43" t="s">
        <v>470</v>
      </c>
      <c r="B388" s="43" t="s">
        <v>3267</v>
      </c>
      <c r="C388" s="43" t="s">
        <v>3268</v>
      </c>
      <c r="D388" s="43" t="s">
        <v>617</v>
      </c>
      <c r="E388" s="43" t="s">
        <v>3269</v>
      </c>
      <c r="F388" s="43" t="s">
        <v>619</v>
      </c>
      <c r="G388" s="43" t="s">
        <v>3270</v>
      </c>
      <c r="H388" s="43" t="s">
        <v>735</v>
      </c>
      <c r="I388" s="43" t="s">
        <v>808</v>
      </c>
      <c r="J388" s="43" t="s">
        <v>2084</v>
      </c>
      <c r="K388" s="43" t="s">
        <v>1123</v>
      </c>
      <c r="L388" s="43" t="s">
        <v>1158</v>
      </c>
      <c r="M388" s="43" t="s">
        <v>617</v>
      </c>
      <c r="N388" s="43" t="s">
        <v>617</v>
      </c>
      <c r="O388" s="43" t="s">
        <v>626</v>
      </c>
      <c r="P388" s="43" t="s">
        <v>3271</v>
      </c>
      <c r="Q388" s="43" t="s">
        <v>3272</v>
      </c>
      <c r="R388" s="43" t="s">
        <v>3272</v>
      </c>
      <c r="S388" s="43" t="s">
        <v>629</v>
      </c>
      <c r="T388" s="43"/>
      <c r="U388" s="43"/>
      <c r="V388" s="43"/>
      <c r="W388" s="43"/>
      <c r="X388" s="43"/>
      <c r="Y388" s="43"/>
      <c r="Z388" s="43"/>
    </row>
    <row r="389" spans="1:26" ht="15.75" customHeight="1" x14ac:dyDescent="0.25">
      <c r="A389" s="43" t="s">
        <v>471</v>
      </c>
      <c r="B389" s="43" t="s">
        <v>3273</v>
      </c>
      <c r="C389" s="43" t="s">
        <v>3274</v>
      </c>
      <c r="D389" s="43" t="s">
        <v>2621</v>
      </c>
      <c r="E389" s="43" t="s">
        <v>1579</v>
      </c>
      <c r="F389" s="43" t="s">
        <v>619</v>
      </c>
      <c r="G389" s="43" t="s">
        <v>3275</v>
      </c>
      <c r="H389" s="43" t="s">
        <v>653</v>
      </c>
      <c r="I389" s="43" t="s">
        <v>2930</v>
      </c>
      <c r="J389" s="43" t="s">
        <v>2084</v>
      </c>
      <c r="K389" s="43"/>
      <c r="L389" s="43" t="s">
        <v>680</v>
      </c>
      <c r="M389" s="43" t="s">
        <v>617</v>
      </c>
      <c r="N389" s="43" t="s">
        <v>617</v>
      </c>
      <c r="O389" s="43" t="s">
        <v>626</v>
      </c>
      <c r="P389" s="43" t="s">
        <v>656</v>
      </c>
      <c r="Q389" s="43" t="s">
        <v>3276</v>
      </c>
      <c r="R389" s="43" t="s">
        <v>3277</v>
      </c>
      <c r="S389" s="43" t="s">
        <v>1271</v>
      </c>
      <c r="T389" s="43"/>
      <c r="U389" s="43"/>
      <c r="V389" s="43"/>
      <c r="W389" s="43"/>
      <c r="X389" s="43"/>
      <c r="Y389" s="43"/>
      <c r="Z389" s="43"/>
    </row>
    <row r="390" spans="1:26" ht="15.75" customHeight="1" x14ac:dyDescent="0.25">
      <c r="A390" s="43" t="s">
        <v>472</v>
      </c>
      <c r="B390" s="43" t="s">
        <v>3278</v>
      </c>
      <c r="C390" s="43" t="s">
        <v>3279</v>
      </c>
      <c r="D390" s="43" t="s">
        <v>617</v>
      </c>
      <c r="E390" s="43" t="s">
        <v>3280</v>
      </c>
      <c r="F390" s="43" t="s">
        <v>619</v>
      </c>
      <c r="G390" s="43" t="s">
        <v>3281</v>
      </c>
      <c r="H390" s="43" t="s">
        <v>653</v>
      </c>
      <c r="I390" s="43" t="s">
        <v>3282</v>
      </c>
      <c r="J390" s="43" t="s">
        <v>93</v>
      </c>
      <c r="K390" s="43" t="s">
        <v>1123</v>
      </c>
      <c r="L390" s="43" t="s">
        <v>958</v>
      </c>
      <c r="M390" s="43" t="s">
        <v>855</v>
      </c>
      <c r="N390" s="43" t="s">
        <v>617</v>
      </c>
      <c r="O390" s="43" t="s">
        <v>626</v>
      </c>
      <c r="P390" s="43" t="s">
        <v>2660</v>
      </c>
      <c r="Q390" s="43" t="s">
        <v>3283</v>
      </c>
      <c r="R390" s="43" t="s">
        <v>3284</v>
      </c>
      <c r="S390" s="43" t="s">
        <v>648</v>
      </c>
      <c r="T390" s="43"/>
      <c r="U390" s="43"/>
      <c r="V390" s="43"/>
      <c r="W390" s="43"/>
      <c r="X390" s="43"/>
      <c r="Y390" s="43"/>
      <c r="Z390" s="43"/>
    </row>
    <row r="391" spans="1:26" ht="15.75" customHeight="1" x14ac:dyDescent="0.25">
      <c r="A391" s="43" t="s">
        <v>473</v>
      </c>
      <c r="B391" s="43" t="s">
        <v>3285</v>
      </c>
      <c r="C391" s="43" t="s">
        <v>3286</v>
      </c>
      <c r="D391" s="43" t="s">
        <v>617</v>
      </c>
      <c r="E391" s="43" t="s">
        <v>1086</v>
      </c>
      <c r="F391" s="43" t="s">
        <v>619</v>
      </c>
      <c r="G391" s="43" t="s">
        <v>3287</v>
      </c>
      <c r="H391" s="43" t="s">
        <v>621</v>
      </c>
      <c r="I391" s="43" t="s">
        <v>3288</v>
      </c>
      <c r="J391" s="43" t="s">
        <v>2740</v>
      </c>
      <c r="K391" s="43"/>
      <c r="L391" s="43" t="s">
        <v>966</v>
      </c>
      <c r="M391" s="43" t="s">
        <v>645</v>
      </c>
      <c r="N391" s="43" t="s">
        <v>617</v>
      </c>
      <c r="O391" s="43" t="s">
        <v>626</v>
      </c>
      <c r="P391" s="43" t="s">
        <v>1760</v>
      </c>
      <c r="Q391" s="43" t="s">
        <v>3289</v>
      </c>
      <c r="R391" s="43" t="s">
        <v>3290</v>
      </c>
      <c r="S391" s="43" t="s">
        <v>1271</v>
      </c>
      <c r="T391" s="43"/>
      <c r="U391" s="43"/>
      <c r="V391" s="43"/>
      <c r="W391" s="43"/>
      <c r="X391" s="43"/>
      <c r="Y391" s="43"/>
      <c r="Z391" s="43"/>
    </row>
    <row r="392" spans="1:26" ht="15.75" customHeight="1" x14ac:dyDescent="0.25">
      <c r="A392" s="43" t="s">
        <v>474</v>
      </c>
      <c r="B392" s="43" t="s">
        <v>3291</v>
      </c>
      <c r="C392" s="43" t="s">
        <v>3292</v>
      </c>
      <c r="D392" s="43" t="s">
        <v>617</v>
      </c>
      <c r="E392" s="43" t="s">
        <v>3293</v>
      </c>
      <c r="F392" s="43" t="s">
        <v>619</v>
      </c>
      <c r="G392" s="43" t="s">
        <v>3294</v>
      </c>
      <c r="H392" s="43" t="s">
        <v>621</v>
      </c>
      <c r="I392" s="43" t="s">
        <v>2428</v>
      </c>
      <c r="J392" s="43" t="s">
        <v>93</v>
      </c>
      <c r="K392" s="43" t="s">
        <v>96</v>
      </c>
      <c r="L392" s="43" t="s">
        <v>854</v>
      </c>
      <c r="M392" s="43" t="s">
        <v>855</v>
      </c>
      <c r="N392" s="43" t="s">
        <v>617</v>
      </c>
      <c r="O392" s="43" t="s">
        <v>626</v>
      </c>
      <c r="P392" s="43" t="s">
        <v>3295</v>
      </c>
      <c r="Q392" s="43" t="s">
        <v>3296</v>
      </c>
      <c r="R392" s="43" t="s">
        <v>3296</v>
      </c>
      <c r="S392" s="43" t="s">
        <v>893</v>
      </c>
      <c r="T392" s="43"/>
      <c r="U392" s="43"/>
      <c r="V392" s="43"/>
      <c r="W392" s="43"/>
      <c r="X392" s="43"/>
      <c r="Y392" s="43"/>
      <c r="Z392" s="43"/>
    </row>
    <row r="393" spans="1:26" ht="15.75" customHeight="1" x14ac:dyDescent="0.25">
      <c r="A393" s="43" t="s">
        <v>475</v>
      </c>
      <c r="B393" s="43" t="s">
        <v>3297</v>
      </c>
      <c r="C393" s="43" t="s">
        <v>3298</v>
      </c>
      <c r="D393" s="43" t="s">
        <v>1296</v>
      </c>
      <c r="E393" s="43" t="s">
        <v>2239</v>
      </c>
      <c r="F393" s="43" t="s">
        <v>619</v>
      </c>
      <c r="G393" s="43" t="s">
        <v>3299</v>
      </c>
      <c r="H393" s="43" t="s">
        <v>653</v>
      </c>
      <c r="I393" s="43" t="s">
        <v>3300</v>
      </c>
      <c r="J393" s="43" t="s">
        <v>113</v>
      </c>
      <c r="K393" s="43" t="s">
        <v>3301</v>
      </c>
      <c r="L393" s="43" t="s">
        <v>3302</v>
      </c>
      <c r="M393" s="43" t="s">
        <v>3303</v>
      </c>
      <c r="N393" s="43" t="s">
        <v>1296</v>
      </c>
      <c r="O393" s="43" t="s">
        <v>626</v>
      </c>
      <c r="P393" s="43" t="s">
        <v>3304</v>
      </c>
      <c r="Q393" s="43" t="s">
        <v>3305</v>
      </c>
      <c r="R393" s="43" t="s">
        <v>3305</v>
      </c>
      <c r="S393" s="43" t="s">
        <v>730</v>
      </c>
      <c r="T393" s="43"/>
      <c r="U393" s="43"/>
      <c r="V393" s="43"/>
      <c r="W393" s="43"/>
      <c r="X393" s="43"/>
      <c r="Y393" s="43"/>
      <c r="Z393" s="43"/>
    </row>
    <row r="394" spans="1:26" ht="15.75" customHeight="1" x14ac:dyDescent="0.25">
      <c r="A394" s="43" t="s">
        <v>476</v>
      </c>
      <c r="B394" s="43" t="s">
        <v>3306</v>
      </c>
      <c r="C394" s="43" t="s">
        <v>3307</v>
      </c>
      <c r="D394" s="43" t="s">
        <v>617</v>
      </c>
      <c r="E394" s="43" t="s">
        <v>3308</v>
      </c>
      <c r="F394" s="43" t="s">
        <v>619</v>
      </c>
      <c r="G394" s="43" t="s">
        <v>3309</v>
      </c>
      <c r="H394" s="43" t="s">
        <v>653</v>
      </c>
      <c r="I394" s="43" t="s">
        <v>3310</v>
      </c>
      <c r="J394" s="43" t="s">
        <v>3301</v>
      </c>
      <c r="K394" s="43"/>
      <c r="L394" s="43" t="s">
        <v>2170</v>
      </c>
      <c r="M394" s="43" t="s">
        <v>840</v>
      </c>
      <c r="N394" s="43" t="s">
        <v>617</v>
      </c>
      <c r="O394" s="43" t="s">
        <v>626</v>
      </c>
      <c r="P394" s="43" t="s">
        <v>3311</v>
      </c>
      <c r="Q394" s="43" t="s">
        <v>3312</v>
      </c>
      <c r="R394" s="43" t="s">
        <v>3313</v>
      </c>
      <c r="S394" s="43" t="s">
        <v>629</v>
      </c>
      <c r="T394" s="43"/>
      <c r="U394" s="43"/>
      <c r="V394" s="43"/>
      <c r="W394" s="43"/>
      <c r="X394" s="43"/>
      <c r="Y394" s="43"/>
      <c r="Z394" s="43"/>
    </row>
    <row r="395" spans="1:26" ht="15.75" customHeight="1" x14ac:dyDescent="0.25">
      <c r="A395" s="43" t="s">
        <v>477</v>
      </c>
      <c r="B395" s="43" t="s">
        <v>3314</v>
      </c>
      <c r="C395" s="43" t="s">
        <v>3315</v>
      </c>
      <c r="D395" s="43" t="s">
        <v>617</v>
      </c>
      <c r="E395" s="43" t="s">
        <v>1702</v>
      </c>
      <c r="F395" s="43" t="s">
        <v>619</v>
      </c>
      <c r="G395" s="43" t="s">
        <v>3316</v>
      </c>
      <c r="H395" s="43" t="s">
        <v>653</v>
      </c>
      <c r="I395" s="43" t="s">
        <v>3317</v>
      </c>
      <c r="J395" s="43" t="s">
        <v>86</v>
      </c>
      <c r="K395" s="43"/>
      <c r="L395" s="43" t="s">
        <v>1001</v>
      </c>
      <c r="M395" s="43" t="s">
        <v>744</v>
      </c>
      <c r="N395" s="43" t="s">
        <v>617</v>
      </c>
      <c r="O395" s="43" t="s">
        <v>626</v>
      </c>
      <c r="P395" s="43" t="s">
        <v>906</v>
      </c>
      <c r="Q395" s="43" t="s">
        <v>3318</v>
      </c>
      <c r="R395" s="43" t="s">
        <v>3319</v>
      </c>
      <c r="S395" s="43" t="s">
        <v>893</v>
      </c>
      <c r="T395" s="43"/>
      <c r="U395" s="43"/>
      <c r="V395" s="43"/>
      <c r="W395" s="43"/>
      <c r="X395" s="43"/>
      <c r="Y395" s="43"/>
      <c r="Z395" s="43"/>
    </row>
    <row r="396" spans="1:26" ht="15.75" customHeight="1" x14ac:dyDescent="0.25">
      <c r="A396" s="43" t="s">
        <v>478</v>
      </c>
      <c r="B396" s="43" t="s">
        <v>3320</v>
      </c>
      <c r="C396" s="43" t="s">
        <v>3321</v>
      </c>
      <c r="D396" s="43" t="s">
        <v>962</v>
      </c>
      <c r="E396" s="43" t="s">
        <v>1310</v>
      </c>
      <c r="F396" s="43" t="s">
        <v>619</v>
      </c>
      <c r="G396" s="43" t="s">
        <v>3322</v>
      </c>
      <c r="H396" s="43" t="s">
        <v>735</v>
      </c>
      <c r="I396" s="43" t="s">
        <v>2481</v>
      </c>
      <c r="J396" s="43" t="s">
        <v>928</v>
      </c>
      <c r="K396" s="43" t="s">
        <v>3247</v>
      </c>
      <c r="L396" s="43" t="s">
        <v>1358</v>
      </c>
      <c r="M396" s="43" t="s">
        <v>855</v>
      </c>
      <c r="N396" s="43" t="s">
        <v>617</v>
      </c>
      <c r="O396" s="43" t="s">
        <v>626</v>
      </c>
      <c r="P396" s="43" t="s">
        <v>1388</v>
      </c>
      <c r="Q396" s="43" t="s">
        <v>3323</v>
      </c>
      <c r="R396" s="43" t="s">
        <v>3324</v>
      </c>
      <c r="S396" s="43" t="s">
        <v>648</v>
      </c>
      <c r="T396" s="43"/>
      <c r="U396" s="43"/>
      <c r="V396" s="43"/>
      <c r="W396" s="43"/>
      <c r="X396" s="43"/>
      <c r="Y396" s="43"/>
      <c r="Z396" s="43"/>
    </row>
    <row r="397" spans="1:26" ht="15.75" customHeight="1" x14ac:dyDescent="0.25">
      <c r="A397" s="43" t="s">
        <v>479</v>
      </c>
      <c r="B397" s="43" t="s">
        <v>3325</v>
      </c>
      <c r="C397" s="43" t="s">
        <v>3326</v>
      </c>
      <c r="D397" s="43" t="s">
        <v>617</v>
      </c>
      <c r="E397" s="43" t="s">
        <v>1977</v>
      </c>
      <c r="F397" s="43" t="s">
        <v>740</v>
      </c>
      <c r="G397" s="43" t="s">
        <v>3327</v>
      </c>
      <c r="H397" s="43" t="s">
        <v>653</v>
      </c>
      <c r="I397" s="43" t="s">
        <v>3328</v>
      </c>
      <c r="J397" s="43" t="s">
        <v>2084</v>
      </c>
      <c r="K397" s="43" t="s">
        <v>623</v>
      </c>
      <c r="L397" s="43" t="s">
        <v>2373</v>
      </c>
      <c r="M397" s="43" t="s">
        <v>1794</v>
      </c>
      <c r="N397" s="43" t="s">
        <v>617</v>
      </c>
      <c r="O397" s="43" t="s">
        <v>626</v>
      </c>
      <c r="P397" s="43" t="s">
        <v>2224</v>
      </c>
      <c r="Q397" s="43" t="s">
        <v>3329</v>
      </c>
      <c r="R397" s="43" t="s">
        <v>3330</v>
      </c>
      <c r="S397" s="43" t="s">
        <v>629</v>
      </c>
      <c r="T397" s="43"/>
      <c r="U397" s="43"/>
      <c r="V397" s="43"/>
      <c r="W397" s="43"/>
      <c r="X397" s="43"/>
      <c r="Y397" s="43"/>
      <c r="Z397" s="43"/>
    </row>
    <row r="398" spans="1:26" ht="15.75" customHeight="1" x14ac:dyDescent="0.25">
      <c r="A398" s="43" t="s">
        <v>480</v>
      </c>
      <c r="B398" s="43" t="s">
        <v>3331</v>
      </c>
      <c r="C398" s="43" t="s">
        <v>3332</v>
      </c>
      <c r="D398" s="43" t="s">
        <v>3333</v>
      </c>
      <c r="E398" s="43" t="s">
        <v>1527</v>
      </c>
      <c r="F398" s="43" t="s">
        <v>619</v>
      </c>
      <c r="G398" s="43" t="s">
        <v>1528</v>
      </c>
      <c r="H398" s="43" t="s">
        <v>653</v>
      </c>
      <c r="I398" s="43" t="s">
        <v>3334</v>
      </c>
      <c r="J398" s="43" t="s">
        <v>176</v>
      </c>
      <c r="K398" s="43" t="s">
        <v>623</v>
      </c>
      <c r="L398" s="43" t="s">
        <v>1412</v>
      </c>
      <c r="M398" s="43" t="s">
        <v>645</v>
      </c>
      <c r="N398" s="43" t="s">
        <v>617</v>
      </c>
      <c r="O398" s="43" t="s">
        <v>626</v>
      </c>
      <c r="P398" s="43" t="s">
        <v>1647</v>
      </c>
      <c r="Q398" s="43" t="s">
        <v>3335</v>
      </c>
      <c r="R398" s="43" t="s">
        <v>623</v>
      </c>
      <c r="S398" s="43" t="s">
        <v>648</v>
      </c>
      <c r="T398" s="43"/>
      <c r="U398" s="43"/>
      <c r="V398" s="43"/>
      <c r="W398" s="43"/>
      <c r="X398" s="43"/>
      <c r="Y398" s="43"/>
      <c r="Z398" s="43"/>
    </row>
    <row r="399" spans="1:26" ht="15.75" customHeight="1" x14ac:dyDescent="0.25">
      <c r="A399" s="43" t="s">
        <v>481</v>
      </c>
      <c r="B399" s="43" t="s">
        <v>3336</v>
      </c>
      <c r="C399" s="43" t="s">
        <v>3337</v>
      </c>
      <c r="D399" s="43" t="s">
        <v>828</v>
      </c>
      <c r="E399" s="43" t="s">
        <v>699</v>
      </c>
      <c r="F399" s="43" t="s">
        <v>619</v>
      </c>
      <c r="G399" s="43" t="s">
        <v>3338</v>
      </c>
      <c r="H399" s="43" t="s">
        <v>653</v>
      </c>
      <c r="I399" s="43" t="s">
        <v>2316</v>
      </c>
      <c r="J399" s="43" t="s">
        <v>87</v>
      </c>
      <c r="K399" s="43" t="s">
        <v>115</v>
      </c>
      <c r="L399" s="43" t="s">
        <v>2317</v>
      </c>
      <c r="M399" s="43" t="s">
        <v>2318</v>
      </c>
      <c r="N399" s="43" t="s">
        <v>828</v>
      </c>
      <c r="O399" s="43" t="s">
        <v>626</v>
      </c>
      <c r="P399" s="43" t="s">
        <v>2319</v>
      </c>
      <c r="Q399" s="43" t="s">
        <v>3339</v>
      </c>
      <c r="R399" s="43" t="s">
        <v>3340</v>
      </c>
      <c r="S399" s="43" t="s">
        <v>648</v>
      </c>
      <c r="T399" s="43"/>
      <c r="U399" s="43"/>
      <c r="V399" s="43"/>
      <c r="W399" s="43"/>
      <c r="X399" s="43"/>
      <c r="Y399" s="43"/>
      <c r="Z399" s="43"/>
    </row>
    <row r="400" spans="1:26" ht="15.75" customHeight="1" x14ac:dyDescent="0.25">
      <c r="A400" s="43" t="s">
        <v>482</v>
      </c>
      <c r="B400" s="43" t="s">
        <v>3341</v>
      </c>
      <c r="C400" s="43" t="s">
        <v>3342</v>
      </c>
      <c r="D400" s="43" t="s">
        <v>617</v>
      </c>
      <c r="E400" s="43" t="s">
        <v>886</v>
      </c>
      <c r="F400" s="43" t="s">
        <v>619</v>
      </c>
      <c r="G400" s="43" t="s">
        <v>3343</v>
      </c>
      <c r="H400" s="43" t="s">
        <v>1292</v>
      </c>
      <c r="I400" s="43" t="s">
        <v>3344</v>
      </c>
      <c r="J400" s="43" t="s">
        <v>1111</v>
      </c>
      <c r="K400" s="43" t="s">
        <v>1102</v>
      </c>
      <c r="L400" s="43" t="s">
        <v>966</v>
      </c>
      <c r="M400" s="43" t="s">
        <v>645</v>
      </c>
      <c r="N400" s="43" t="s">
        <v>617</v>
      </c>
      <c r="O400" s="43" t="s">
        <v>626</v>
      </c>
      <c r="P400" s="43" t="s">
        <v>1760</v>
      </c>
      <c r="Q400" s="43" t="s">
        <v>3345</v>
      </c>
      <c r="R400" s="43" t="s">
        <v>3346</v>
      </c>
      <c r="S400" s="43" t="s">
        <v>893</v>
      </c>
      <c r="T400" s="43"/>
      <c r="U400" s="43"/>
      <c r="V400" s="43"/>
      <c r="W400" s="43"/>
      <c r="X400" s="43"/>
      <c r="Y400" s="43"/>
      <c r="Z400" s="43"/>
    </row>
    <row r="401" spans="1:26" ht="15.75" customHeight="1" x14ac:dyDescent="0.25">
      <c r="A401" s="43" t="s">
        <v>483</v>
      </c>
      <c r="B401" s="43" t="s">
        <v>3347</v>
      </c>
      <c r="C401" s="43" t="s">
        <v>3348</v>
      </c>
      <c r="D401" s="43" t="s">
        <v>617</v>
      </c>
      <c r="E401" s="43" t="s">
        <v>3269</v>
      </c>
      <c r="F401" s="43" t="s">
        <v>619</v>
      </c>
      <c r="G401" s="43" t="s">
        <v>3349</v>
      </c>
      <c r="H401" s="43" t="s">
        <v>653</v>
      </c>
      <c r="I401" s="43" t="s">
        <v>3350</v>
      </c>
      <c r="J401" s="43" t="s">
        <v>1227</v>
      </c>
      <c r="K401" s="43" t="s">
        <v>101</v>
      </c>
      <c r="L401" s="43" t="s">
        <v>1069</v>
      </c>
      <c r="M401" s="43" t="s">
        <v>914</v>
      </c>
      <c r="N401" s="43" t="s">
        <v>617</v>
      </c>
      <c r="O401" s="43" t="s">
        <v>626</v>
      </c>
      <c r="P401" s="43" t="s">
        <v>1626</v>
      </c>
      <c r="Q401" s="43" t="s">
        <v>3351</v>
      </c>
      <c r="R401" s="43" t="s">
        <v>3352</v>
      </c>
      <c r="S401" s="43" t="s">
        <v>648</v>
      </c>
      <c r="T401" s="43"/>
      <c r="U401" s="43"/>
      <c r="V401" s="43"/>
      <c r="W401" s="43"/>
      <c r="X401" s="43"/>
      <c r="Y401" s="43"/>
      <c r="Z401" s="43"/>
    </row>
    <row r="402" spans="1:26" ht="15.75" customHeight="1" x14ac:dyDescent="0.25">
      <c r="A402" s="43" t="s">
        <v>484</v>
      </c>
      <c r="B402" s="43" t="s">
        <v>3353</v>
      </c>
      <c r="C402" s="43" t="s">
        <v>3354</v>
      </c>
      <c r="D402" s="43" t="s">
        <v>617</v>
      </c>
      <c r="E402" s="43" t="s">
        <v>3355</v>
      </c>
      <c r="F402" s="43" t="s">
        <v>619</v>
      </c>
      <c r="G402" s="43" t="s">
        <v>3356</v>
      </c>
      <c r="H402" s="43" t="s">
        <v>653</v>
      </c>
      <c r="I402" s="43" t="s">
        <v>3357</v>
      </c>
      <c r="J402" s="43" t="s">
        <v>3247</v>
      </c>
      <c r="K402" s="43" t="s">
        <v>623</v>
      </c>
      <c r="L402" s="43" t="s">
        <v>854</v>
      </c>
      <c r="M402" s="43" t="s">
        <v>855</v>
      </c>
      <c r="N402" s="43" t="s">
        <v>617</v>
      </c>
      <c r="O402" s="43" t="s">
        <v>626</v>
      </c>
      <c r="P402" s="43" t="s">
        <v>3223</v>
      </c>
      <c r="Q402" s="43" t="s">
        <v>3358</v>
      </c>
      <c r="R402" s="43" t="s">
        <v>623</v>
      </c>
      <c r="S402" s="43" t="s">
        <v>629</v>
      </c>
      <c r="T402" s="43"/>
      <c r="U402" s="43"/>
      <c r="V402" s="43"/>
      <c r="W402" s="43"/>
      <c r="X402" s="43"/>
      <c r="Y402" s="43"/>
      <c r="Z402" s="43"/>
    </row>
    <row r="403" spans="1:26" ht="15.75" customHeight="1" x14ac:dyDescent="0.25">
      <c r="A403" s="43" t="s">
        <v>485</v>
      </c>
      <c r="B403" s="43" t="s">
        <v>3359</v>
      </c>
      <c r="C403" s="43" t="s">
        <v>3360</v>
      </c>
      <c r="D403" s="43" t="s">
        <v>617</v>
      </c>
      <c r="E403" s="43" t="s">
        <v>3361</v>
      </c>
      <c r="F403" s="43" t="s">
        <v>619</v>
      </c>
      <c r="G403" s="43" t="s">
        <v>3362</v>
      </c>
      <c r="H403" s="43" t="s">
        <v>621</v>
      </c>
      <c r="I403" s="43" t="s">
        <v>2953</v>
      </c>
      <c r="J403" s="43" t="s">
        <v>1111</v>
      </c>
      <c r="K403" s="43" t="s">
        <v>623</v>
      </c>
      <c r="L403" s="43" t="s">
        <v>1220</v>
      </c>
      <c r="M403" s="43" t="s">
        <v>840</v>
      </c>
      <c r="N403" s="43" t="s">
        <v>617</v>
      </c>
      <c r="O403" s="43" t="s">
        <v>626</v>
      </c>
      <c r="P403" s="43" t="s">
        <v>841</v>
      </c>
      <c r="Q403" s="43" t="s">
        <v>3363</v>
      </c>
      <c r="R403" s="43" t="s">
        <v>3364</v>
      </c>
      <c r="S403" s="43" t="s">
        <v>893</v>
      </c>
      <c r="T403" s="43"/>
      <c r="U403" s="43"/>
      <c r="V403" s="43"/>
      <c r="W403" s="43"/>
      <c r="X403" s="43"/>
      <c r="Y403" s="43"/>
      <c r="Z403" s="43"/>
    </row>
    <row r="404" spans="1:26" ht="15.75" customHeight="1" x14ac:dyDescent="0.25">
      <c r="A404" s="43" t="s">
        <v>486</v>
      </c>
      <c r="B404" s="43" t="s">
        <v>3365</v>
      </c>
      <c r="C404" s="43" t="s">
        <v>3366</v>
      </c>
      <c r="D404" s="43" t="s">
        <v>617</v>
      </c>
      <c r="E404" s="43" t="s">
        <v>3367</v>
      </c>
      <c r="F404" s="43" t="s">
        <v>619</v>
      </c>
      <c r="G404" s="43" t="s">
        <v>3368</v>
      </c>
      <c r="H404" s="43" t="s">
        <v>1956</v>
      </c>
      <c r="I404" s="43" t="s">
        <v>3369</v>
      </c>
      <c r="J404" s="43" t="s">
        <v>1111</v>
      </c>
      <c r="K404" s="43" t="s">
        <v>623</v>
      </c>
      <c r="L404" s="43" t="s">
        <v>2216</v>
      </c>
      <c r="M404" s="43" t="s">
        <v>625</v>
      </c>
      <c r="N404" s="43" t="s">
        <v>617</v>
      </c>
      <c r="O404" s="43" t="s">
        <v>626</v>
      </c>
      <c r="P404" s="43" t="s">
        <v>637</v>
      </c>
      <c r="Q404" s="43" t="s">
        <v>3370</v>
      </c>
      <c r="R404" s="43" t="s">
        <v>3371</v>
      </c>
      <c r="S404" s="43" t="s">
        <v>629</v>
      </c>
      <c r="T404" s="43"/>
      <c r="U404" s="43"/>
      <c r="V404" s="43"/>
      <c r="W404" s="43"/>
      <c r="X404" s="43"/>
      <c r="Y404" s="43"/>
      <c r="Z404" s="43"/>
    </row>
    <row r="405" spans="1:26" ht="15.75" customHeight="1" x14ac:dyDescent="0.25">
      <c r="A405" s="43" t="s">
        <v>487</v>
      </c>
      <c r="B405" s="43" t="s">
        <v>3372</v>
      </c>
      <c r="C405" s="43" t="s">
        <v>3373</v>
      </c>
      <c r="D405" s="43" t="s">
        <v>962</v>
      </c>
      <c r="E405" s="43" t="s">
        <v>3050</v>
      </c>
      <c r="F405" s="43" t="s">
        <v>740</v>
      </c>
      <c r="G405" s="43" t="s">
        <v>3374</v>
      </c>
      <c r="H405" s="43" t="s">
        <v>1292</v>
      </c>
      <c r="I405" s="43" t="s">
        <v>713</v>
      </c>
      <c r="J405" s="43" t="s">
        <v>3247</v>
      </c>
      <c r="K405" s="43" t="s">
        <v>623</v>
      </c>
      <c r="L405" s="43" t="s">
        <v>680</v>
      </c>
      <c r="M405" s="43" t="s">
        <v>617</v>
      </c>
      <c r="N405" s="43" t="s">
        <v>617</v>
      </c>
      <c r="O405" s="43" t="s">
        <v>626</v>
      </c>
      <c r="P405" s="43" t="s">
        <v>656</v>
      </c>
      <c r="Q405" s="43" t="s">
        <v>3375</v>
      </c>
      <c r="R405" s="43" t="s">
        <v>3376</v>
      </c>
      <c r="S405" s="43" t="s">
        <v>893</v>
      </c>
      <c r="T405" s="43"/>
      <c r="U405" s="43"/>
      <c r="V405" s="43"/>
      <c r="W405" s="43"/>
      <c r="X405" s="43"/>
      <c r="Y405" s="43"/>
      <c r="Z405" s="43"/>
    </row>
    <row r="406" spans="1:26" ht="15.75" customHeight="1" x14ac:dyDescent="0.25">
      <c r="A406" s="43" t="s">
        <v>488</v>
      </c>
      <c r="B406" s="43" t="s">
        <v>3377</v>
      </c>
      <c r="C406" s="43" t="s">
        <v>3378</v>
      </c>
      <c r="D406" s="43" t="s">
        <v>805</v>
      </c>
      <c r="E406" s="43" t="s">
        <v>3379</v>
      </c>
      <c r="F406" s="43" t="s">
        <v>740</v>
      </c>
      <c r="G406" s="43" t="s">
        <v>1837</v>
      </c>
      <c r="H406" s="43" t="s">
        <v>621</v>
      </c>
      <c r="I406" s="43" t="s">
        <v>3380</v>
      </c>
      <c r="J406" s="43" t="s">
        <v>1111</v>
      </c>
      <c r="K406" s="43" t="s">
        <v>3381</v>
      </c>
      <c r="L406" s="43" t="s">
        <v>3382</v>
      </c>
      <c r="M406" s="43" t="s">
        <v>3383</v>
      </c>
      <c r="N406" s="43" t="s">
        <v>805</v>
      </c>
      <c r="O406" s="43" t="s">
        <v>3384</v>
      </c>
      <c r="P406" s="43" t="s">
        <v>3385</v>
      </c>
      <c r="Q406" s="43" t="s">
        <v>3386</v>
      </c>
      <c r="R406" s="43" t="s">
        <v>3387</v>
      </c>
      <c r="S406" s="43" t="s">
        <v>893</v>
      </c>
      <c r="T406" s="43"/>
      <c r="U406" s="43"/>
      <c r="V406" s="43"/>
      <c r="W406" s="43"/>
      <c r="X406" s="43"/>
      <c r="Y406" s="43"/>
      <c r="Z406" s="43"/>
    </row>
    <row r="407" spans="1:26" ht="15.75" customHeight="1" x14ac:dyDescent="0.25">
      <c r="A407" s="43" t="s">
        <v>489</v>
      </c>
      <c r="B407" s="43" t="s">
        <v>3388</v>
      </c>
      <c r="C407" s="43" t="s">
        <v>3389</v>
      </c>
      <c r="D407" s="43" t="s">
        <v>617</v>
      </c>
      <c r="E407" s="43" t="s">
        <v>3390</v>
      </c>
      <c r="F407" s="43" t="s">
        <v>740</v>
      </c>
      <c r="G407" s="43" t="s">
        <v>3391</v>
      </c>
      <c r="H407" s="43" t="s">
        <v>653</v>
      </c>
      <c r="I407" s="43" t="s">
        <v>3392</v>
      </c>
      <c r="J407" s="43" t="s">
        <v>88</v>
      </c>
      <c r="K407" s="43" t="s">
        <v>623</v>
      </c>
      <c r="L407" s="43" t="s">
        <v>3019</v>
      </c>
      <c r="M407" s="43" t="s">
        <v>840</v>
      </c>
      <c r="N407" s="43" t="s">
        <v>617</v>
      </c>
      <c r="O407" s="43" t="s">
        <v>626</v>
      </c>
      <c r="P407" s="43" t="s">
        <v>2788</v>
      </c>
      <c r="Q407" s="43" t="s">
        <v>3393</v>
      </c>
      <c r="R407" s="43" t="s">
        <v>3394</v>
      </c>
      <c r="S407" s="43" t="s">
        <v>893</v>
      </c>
      <c r="T407" s="43"/>
      <c r="U407" s="43"/>
      <c r="V407" s="43"/>
      <c r="W407" s="43"/>
      <c r="X407" s="43"/>
      <c r="Y407" s="43"/>
      <c r="Z407" s="43"/>
    </row>
    <row r="408" spans="1:26" ht="15.75" customHeight="1" x14ac:dyDescent="0.25">
      <c r="A408" s="43" t="s">
        <v>490</v>
      </c>
      <c r="B408" s="43" t="s">
        <v>3395</v>
      </c>
      <c r="C408" s="43" t="s">
        <v>3396</v>
      </c>
      <c r="D408" s="43" t="s">
        <v>617</v>
      </c>
      <c r="E408" s="43" t="s">
        <v>2296</v>
      </c>
      <c r="F408" s="43" t="s">
        <v>619</v>
      </c>
      <c r="G408" s="43" t="s">
        <v>3397</v>
      </c>
      <c r="H408" s="43" t="s">
        <v>735</v>
      </c>
      <c r="I408" s="43" t="s">
        <v>3398</v>
      </c>
      <c r="J408" s="43" t="s">
        <v>89</v>
      </c>
      <c r="K408" s="43" t="s">
        <v>623</v>
      </c>
      <c r="L408" s="43" t="s">
        <v>958</v>
      </c>
      <c r="M408" s="43" t="s">
        <v>855</v>
      </c>
      <c r="N408" s="43" t="s">
        <v>617</v>
      </c>
      <c r="O408" s="43" t="s">
        <v>626</v>
      </c>
      <c r="P408" s="43" t="s">
        <v>1453</v>
      </c>
      <c r="Q408" s="43" t="s">
        <v>3399</v>
      </c>
      <c r="R408" s="43" t="s">
        <v>3400</v>
      </c>
      <c r="S408" s="43" t="s">
        <v>648</v>
      </c>
      <c r="T408" s="43"/>
      <c r="U408" s="43"/>
      <c r="V408" s="43"/>
      <c r="W408" s="43"/>
      <c r="X408" s="43"/>
      <c r="Y408" s="43"/>
      <c r="Z408" s="43"/>
    </row>
    <row r="409" spans="1:26" ht="15.75" customHeight="1" x14ac:dyDescent="0.25">
      <c r="A409" s="43" t="s">
        <v>491</v>
      </c>
      <c r="B409" s="43" t="s">
        <v>3401</v>
      </c>
      <c r="C409" s="43" t="s">
        <v>3402</v>
      </c>
      <c r="D409" s="43" t="s">
        <v>617</v>
      </c>
      <c r="E409" s="43" t="s">
        <v>660</v>
      </c>
      <c r="F409" s="43" t="s">
        <v>619</v>
      </c>
      <c r="G409" s="43" t="s">
        <v>3403</v>
      </c>
      <c r="H409" s="43" t="s">
        <v>1123</v>
      </c>
      <c r="I409" s="43" t="s">
        <v>3404</v>
      </c>
      <c r="J409" s="43" t="s">
        <v>88</v>
      </c>
      <c r="K409" s="43" t="s">
        <v>623</v>
      </c>
      <c r="L409" s="43" t="s">
        <v>655</v>
      </c>
      <c r="M409" s="43" t="s">
        <v>617</v>
      </c>
      <c r="N409" s="43" t="s">
        <v>617</v>
      </c>
      <c r="O409" s="43" t="s">
        <v>626</v>
      </c>
      <c r="P409" s="43" t="s">
        <v>656</v>
      </c>
      <c r="Q409" s="43" t="s">
        <v>3405</v>
      </c>
      <c r="R409" s="43" t="s">
        <v>3406</v>
      </c>
      <c r="S409" s="43" t="s">
        <v>1271</v>
      </c>
      <c r="T409" s="43"/>
      <c r="U409" s="43"/>
      <c r="V409" s="43"/>
      <c r="W409" s="43"/>
      <c r="X409" s="43"/>
      <c r="Y409" s="43"/>
      <c r="Z409" s="43"/>
    </row>
    <row r="410" spans="1:26" ht="15.75" customHeight="1" x14ac:dyDescent="0.25">
      <c r="A410" s="43" t="s">
        <v>492</v>
      </c>
      <c r="B410" s="43" t="s">
        <v>3407</v>
      </c>
      <c r="C410" s="43" t="s">
        <v>3408</v>
      </c>
      <c r="D410" s="43" t="s">
        <v>617</v>
      </c>
      <c r="E410" s="43" t="s">
        <v>3409</v>
      </c>
      <c r="F410" s="43" t="s">
        <v>619</v>
      </c>
      <c r="G410" s="43" t="s">
        <v>3410</v>
      </c>
      <c r="H410" s="43" t="s">
        <v>735</v>
      </c>
      <c r="I410" s="43" t="s">
        <v>3411</v>
      </c>
      <c r="J410" s="43" t="s">
        <v>89</v>
      </c>
      <c r="K410" s="43"/>
      <c r="L410" s="43" t="s">
        <v>2216</v>
      </c>
      <c r="M410" s="43" t="s">
        <v>625</v>
      </c>
      <c r="N410" s="43" t="s">
        <v>617</v>
      </c>
      <c r="O410" s="43" t="s">
        <v>626</v>
      </c>
      <c r="P410" s="43" t="s">
        <v>3412</v>
      </c>
      <c r="Q410" s="43" t="s">
        <v>3413</v>
      </c>
      <c r="R410" s="43" t="s">
        <v>3413</v>
      </c>
      <c r="S410" s="43" t="s">
        <v>648</v>
      </c>
      <c r="T410" s="43"/>
      <c r="U410" s="43"/>
      <c r="V410" s="43"/>
      <c r="W410" s="43"/>
      <c r="X410" s="43"/>
      <c r="Y410" s="43"/>
      <c r="Z410" s="43"/>
    </row>
    <row r="411" spans="1:26" ht="15.75" customHeight="1" x14ac:dyDescent="0.25">
      <c r="A411" s="43" t="s">
        <v>493</v>
      </c>
      <c r="B411" s="43" t="s">
        <v>3414</v>
      </c>
      <c r="C411" s="43" t="s">
        <v>3415</v>
      </c>
      <c r="D411" s="43" t="s">
        <v>617</v>
      </c>
      <c r="E411" s="43" t="s">
        <v>2699</v>
      </c>
      <c r="F411" s="43" t="s">
        <v>619</v>
      </c>
      <c r="G411" s="43" t="s">
        <v>3416</v>
      </c>
      <c r="H411" s="43" t="s">
        <v>653</v>
      </c>
      <c r="I411" s="43" t="s">
        <v>3417</v>
      </c>
      <c r="J411" s="43" t="s">
        <v>2468</v>
      </c>
      <c r="K411" s="43"/>
      <c r="L411" s="43" t="s">
        <v>898</v>
      </c>
      <c r="M411" s="43" t="s">
        <v>794</v>
      </c>
      <c r="N411" s="43" t="s">
        <v>617</v>
      </c>
      <c r="O411" s="43" t="s">
        <v>626</v>
      </c>
      <c r="P411" s="43" t="s">
        <v>1641</v>
      </c>
      <c r="Q411" s="43" t="s">
        <v>3418</v>
      </c>
      <c r="R411" s="43" t="s">
        <v>3419</v>
      </c>
      <c r="S411" s="43" t="s">
        <v>629</v>
      </c>
      <c r="T411" s="43"/>
      <c r="U411" s="43"/>
      <c r="V411" s="43"/>
      <c r="W411" s="43"/>
      <c r="X411" s="43"/>
      <c r="Y411" s="43"/>
      <c r="Z411" s="43"/>
    </row>
    <row r="412" spans="1:26" ht="15.75" customHeight="1" x14ac:dyDescent="0.25">
      <c r="A412" s="43" t="s">
        <v>494</v>
      </c>
      <c r="B412" s="43" t="s">
        <v>3420</v>
      </c>
      <c r="C412" s="43" t="s">
        <v>3421</v>
      </c>
      <c r="D412" s="43" t="s">
        <v>617</v>
      </c>
      <c r="E412" s="43" t="s">
        <v>2213</v>
      </c>
      <c r="F412" s="43" t="s">
        <v>619</v>
      </c>
      <c r="G412" s="43" t="s">
        <v>3422</v>
      </c>
      <c r="H412" s="43" t="s">
        <v>653</v>
      </c>
      <c r="I412" s="43" t="s">
        <v>3417</v>
      </c>
      <c r="J412" s="43" t="s">
        <v>93</v>
      </c>
      <c r="K412" s="43" t="s">
        <v>623</v>
      </c>
      <c r="L412" s="43" t="s">
        <v>898</v>
      </c>
      <c r="M412" s="43" t="s">
        <v>794</v>
      </c>
      <c r="N412" s="43" t="s">
        <v>617</v>
      </c>
      <c r="O412" s="43" t="s">
        <v>626</v>
      </c>
      <c r="P412" s="43" t="s">
        <v>1959</v>
      </c>
      <c r="Q412" s="43" t="s">
        <v>3423</v>
      </c>
      <c r="R412" s="43" t="s">
        <v>3423</v>
      </c>
      <c r="S412" s="43" t="s">
        <v>629</v>
      </c>
      <c r="T412" s="43"/>
      <c r="U412" s="43"/>
      <c r="V412" s="43"/>
      <c r="W412" s="43"/>
      <c r="X412" s="43"/>
      <c r="Y412" s="43"/>
      <c r="Z412" s="43"/>
    </row>
    <row r="413" spans="1:26" ht="15.75" customHeight="1" x14ac:dyDescent="0.25">
      <c r="A413" s="43" t="s">
        <v>495</v>
      </c>
      <c r="B413" s="43" t="s">
        <v>3424</v>
      </c>
      <c r="C413" s="43" t="s">
        <v>3425</v>
      </c>
      <c r="D413" s="43" t="s">
        <v>617</v>
      </c>
      <c r="E413" s="43" t="s">
        <v>3152</v>
      </c>
      <c r="F413" s="43" t="s">
        <v>619</v>
      </c>
      <c r="G413" s="43" t="s">
        <v>3426</v>
      </c>
      <c r="H413" s="43" t="s">
        <v>653</v>
      </c>
      <c r="I413" s="43" t="s">
        <v>3427</v>
      </c>
      <c r="J413" s="43" t="s">
        <v>85</v>
      </c>
      <c r="K413" s="43" t="s">
        <v>623</v>
      </c>
      <c r="L413" s="43" t="s">
        <v>1305</v>
      </c>
      <c r="M413" s="43" t="s">
        <v>744</v>
      </c>
      <c r="N413" s="43" t="s">
        <v>617</v>
      </c>
      <c r="O413" s="43" t="s">
        <v>626</v>
      </c>
      <c r="P413" s="43" t="s">
        <v>810</v>
      </c>
      <c r="Q413" s="43" t="s">
        <v>3428</v>
      </c>
      <c r="R413" s="43" t="s">
        <v>3428</v>
      </c>
      <c r="S413" s="43" t="s">
        <v>629</v>
      </c>
      <c r="T413" s="43"/>
      <c r="U413" s="43"/>
      <c r="V413" s="43"/>
      <c r="W413" s="43"/>
      <c r="X413" s="43"/>
      <c r="Y413" s="43"/>
      <c r="Z413" s="43"/>
    </row>
    <row r="414" spans="1:26" ht="15.75" customHeight="1" x14ac:dyDescent="0.25">
      <c r="A414" s="43" t="s">
        <v>496</v>
      </c>
      <c r="B414" s="43" t="s">
        <v>3429</v>
      </c>
      <c r="C414" s="43" t="s">
        <v>3430</v>
      </c>
      <c r="D414" s="43" t="s">
        <v>617</v>
      </c>
      <c r="E414" s="43" t="s">
        <v>711</v>
      </c>
      <c r="F414" s="43" t="s">
        <v>619</v>
      </c>
      <c r="G414" s="43" t="s">
        <v>3431</v>
      </c>
      <c r="H414" s="43" t="s">
        <v>735</v>
      </c>
      <c r="I414" s="43" t="s">
        <v>720</v>
      </c>
      <c r="J414" s="43" t="s">
        <v>1605</v>
      </c>
      <c r="K414" s="43"/>
      <c r="L414" s="43" t="s">
        <v>680</v>
      </c>
      <c r="M414" s="43" t="s">
        <v>617</v>
      </c>
      <c r="N414" s="43" t="s">
        <v>617</v>
      </c>
      <c r="O414" s="43" t="s">
        <v>626</v>
      </c>
      <c r="P414" s="43" t="s">
        <v>1268</v>
      </c>
      <c r="Q414" s="43" t="s">
        <v>3432</v>
      </c>
      <c r="R414" s="43" t="s">
        <v>3433</v>
      </c>
      <c r="S414" s="43" t="s">
        <v>648</v>
      </c>
      <c r="T414" s="43"/>
      <c r="U414" s="43"/>
      <c r="V414" s="43"/>
      <c r="W414" s="43"/>
      <c r="X414" s="43"/>
      <c r="Y414" s="43"/>
      <c r="Z414" s="43"/>
    </row>
    <row r="415" spans="1:26" ht="15.75" customHeight="1" x14ac:dyDescent="0.25">
      <c r="A415" s="43" t="s">
        <v>497</v>
      </c>
      <c r="B415" s="43" t="s">
        <v>3434</v>
      </c>
      <c r="C415" s="43" t="s">
        <v>3435</v>
      </c>
      <c r="D415" s="43" t="s">
        <v>617</v>
      </c>
      <c r="E415" s="43" t="s">
        <v>3190</v>
      </c>
      <c r="F415" s="43" t="s">
        <v>619</v>
      </c>
      <c r="G415" s="43" t="s">
        <v>3436</v>
      </c>
      <c r="H415" s="43" t="s">
        <v>653</v>
      </c>
      <c r="I415" s="43" t="s">
        <v>3437</v>
      </c>
      <c r="J415" s="43" t="s">
        <v>84</v>
      </c>
      <c r="K415" s="43" t="s">
        <v>623</v>
      </c>
      <c r="L415" s="43" t="s">
        <v>1069</v>
      </c>
      <c r="M415" s="43" t="s">
        <v>914</v>
      </c>
      <c r="N415" s="43" t="s">
        <v>617</v>
      </c>
      <c r="O415" s="43" t="s">
        <v>626</v>
      </c>
      <c r="P415" s="43" t="s">
        <v>891</v>
      </c>
      <c r="Q415" s="43" t="s">
        <v>3438</v>
      </c>
      <c r="R415" s="43" t="s">
        <v>3439</v>
      </c>
      <c r="S415" s="43" t="s">
        <v>730</v>
      </c>
      <c r="T415" s="43"/>
      <c r="U415" s="43"/>
      <c r="V415" s="43"/>
      <c r="W415" s="43"/>
      <c r="X415" s="43"/>
      <c r="Y415" s="43"/>
      <c r="Z415" s="43"/>
    </row>
    <row r="416" spans="1:26" ht="15.75" customHeight="1" x14ac:dyDescent="0.25">
      <c r="A416" s="43" t="s">
        <v>498</v>
      </c>
      <c r="B416" s="43" t="s">
        <v>3440</v>
      </c>
      <c r="C416" s="43" t="s">
        <v>3441</v>
      </c>
      <c r="D416" s="43" t="s">
        <v>617</v>
      </c>
      <c r="E416" s="43" t="s">
        <v>1032</v>
      </c>
      <c r="F416" s="43" t="s">
        <v>740</v>
      </c>
      <c r="G416" s="43" t="s">
        <v>3442</v>
      </c>
      <c r="H416" s="43" t="s">
        <v>1292</v>
      </c>
      <c r="I416" s="43" t="s">
        <v>3443</v>
      </c>
      <c r="J416" s="43" t="s">
        <v>2740</v>
      </c>
      <c r="K416" s="43"/>
      <c r="L416" s="43" t="s">
        <v>1794</v>
      </c>
      <c r="M416" s="43" t="s">
        <v>1794</v>
      </c>
      <c r="N416" s="43" t="s">
        <v>617</v>
      </c>
      <c r="O416" s="43" t="s">
        <v>626</v>
      </c>
      <c r="P416" s="43" t="s">
        <v>2224</v>
      </c>
      <c r="Q416" s="43" t="s">
        <v>3444</v>
      </c>
      <c r="R416" s="43" t="s">
        <v>3444</v>
      </c>
      <c r="S416" s="43" t="s">
        <v>893</v>
      </c>
      <c r="T416" s="43"/>
      <c r="U416" s="43"/>
      <c r="V416" s="43"/>
      <c r="W416" s="43"/>
      <c r="X416" s="43"/>
      <c r="Y416" s="43"/>
      <c r="Z416" s="43"/>
    </row>
    <row r="417" spans="1:26" ht="15.75" customHeight="1" x14ac:dyDescent="0.25">
      <c r="A417" s="43" t="s">
        <v>499</v>
      </c>
      <c r="B417" s="43" t="s">
        <v>3445</v>
      </c>
      <c r="C417" s="43" t="s">
        <v>3446</v>
      </c>
      <c r="D417" s="43" t="s">
        <v>617</v>
      </c>
      <c r="E417" s="43" t="s">
        <v>1393</v>
      </c>
      <c r="F417" s="43" t="s">
        <v>619</v>
      </c>
      <c r="G417" s="43" t="s">
        <v>3447</v>
      </c>
      <c r="H417" s="43" t="s">
        <v>735</v>
      </c>
      <c r="I417" s="43" t="s">
        <v>840</v>
      </c>
      <c r="J417" s="43" t="s">
        <v>1605</v>
      </c>
      <c r="K417" s="43"/>
      <c r="L417" s="43" t="s">
        <v>3448</v>
      </c>
      <c r="M417" s="43" t="s">
        <v>794</v>
      </c>
      <c r="N417" s="43" t="s">
        <v>617</v>
      </c>
      <c r="O417" s="43" t="s">
        <v>626</v>
      </c>
      <c r="P417" s="43" t="s">
        <v>1228</v>
      </c>
      <c r="Q417" s="43" t="s">
        <v>3449</v>
      </c>
      <c r="R417" s="43" t="s">
        <v>3450</v>
      </c>
      <c r="S417" s="43" t="s">
        <v>629</v>
      </c>
      <c r="T417" s="43"/>
      <c r="U417" s="43"/>
      <c r="V417" s="43"/>
      <c r="W417" s="43"/>
      <c r="X417" s="43"/>
      <c r="Y417" s="43"/>
      <c r="Z417" s="43"/>
    </row>
    <row r="418" spans="1:26" ht="15.75" customHeight="1" x14ac:dyDescent="0.25">
      <c r="A418" s="43" t="s">
        <v>500</v>
      </c>
      <c r="B418" s="43" t="s">
        <v>3451</v>
      </c>
      <c r="C418" s="43" t="s">
        <v>3452</v>
      </c>
      <c r="D418" s="43" t="s">
        <v>1296</v>
      </c>
      <c r="E418" s="43" t="s">
        <v>3453</v>
      </c>
      <c r="F418" s="43" t="s">
        <v>619</v>
      </c>
      <c r="G418" s="43" t="s">
        <v>3454</v>
      </c>
      <c r="H418" s="43" t="s">
        <v>1156</v>
      </c>
      <c r="I418" s="43" t="s">
        <v>3455</v>
      </c>
      <c r="J418" s="43" t="s">
        <v>3456</v>
      </c>
      <c r="K418" s="43"/>
      <c r="L418" s="43" t="s">
        <v>839</v>
      </c>
      <c r="M418" s="43" t="s">
        <v>840</v>
      </c>
      <c r="N418" s="43" t="s">
        <v>617</v>
      </c>
      <c r="O418" s="43" t="s">
        <v>626</v>
      </c>
      <c r="P418" s="43" t="s">
        <v>841</v>
      </c>
      <c r="Q418" s="43" t="s">
        <v>3457</v>
      </c>
      <c r="R418" s="43" t="s">
        <v>3458</v>
      </c>
      <c r="S418" s="43" t="s">
        <v>1271</v>
      </c>
      <c r="T418" s="43"/>
      <c r="U418" s="43"/>
      <c r="V418" s="43"/>
      <c r="W418" s="43"/>
      <c r="X418" s="43"/>
      <c r="Y418" s="43"/>
      <c r="Z418" s="43"/>
    </row>
    <row r="419" spans="1:26" ht="15.75" customHeight="1" x14ac:dyDescent="0.25">
      <c r="A419" s="43" t="s">
        <v>501</v>
      </c>
      <c r="B419" s="43" t="s">
        <v>3459</v>
      </c>
      <c r="C419" s="43" t="s">
        <v>3460</v>
      </c>
      <c r="D419" s="43" t="s">
        <v>617</v>
      </c>
      <c r="E419" s="43" t="s">
        <v>1555</v>
      </c>
      <c r="F419" s="43" t="s">
        <v>619</v>
      </c>
      <c r="G419" s="43" t="s">
        <v>3461</v>
      </c>
      <c r="H419" s="43" t="s">
        <v>2683</v>
      </c>
      <c r="I419" s="43" t="s">
        <v>3462</v>
      </c>
      <c r="J419" s="43" t="s">
        <v>1111</v>
      </c>
      <c r="K419" s="43" t="s">
        <v>1304</v>
      </c>
      <c r="L419" s="43" t="s">
        <v>2170</v>
      </c>
      <c r="M419" s="43" t="s">
        <v>840</v>
      </c>
      <c r="N419" s="43" t="s">
        <v>617</v>
      </c>
      <c r="O419" s="43" t="s">
        <v>626</v>
      </c>
      <c r="P419" s="43" t="s">
        <v>2171</v>
      </c>
      <c r="Q419" s="43" t="s">
        <v>3463</v>
      </c>
      <c r="R419" s="43" t="s">
        <v>3464</v>
      </c>
      <c r="S419" s="43" t="s">
        <v>648</v>
      </c>
      <c r="T419" s="43"/>
      <c r="U419" s="43"/>
      <c r="V419" s="43"/>
      <c r="W419" s="43"/>
      <c r="X419" s="43"/>
      <c r="Y419" s="43"/>
      <c r="Z419" s="43"/>
    </row>
    <row r="420" spans="1:26" ht="15.75" customHeight="1" x14ac:dyDescent="0.25">
      <c r="A420" s="43" t="s">
        <v>502</v>
      </c>
      <c r="B420" s="43" t="s">
        <v>3465</v>
      </c>
      <c r="C420" s="43" t="s">
        <v>3466</v>
      </c>
      <c r="D420" s="43" t="s">
        <v>617</v>
      </c>
      <c r="E420" s="43" t="s">
        <v>3467</v>
      </c>
      <c r="F420" s="43" t="s">
        <v>619</v>
      </c>
      <c r="G420" s="43" t="s">
        <v>1574</v>
      </c>
      <c r="H420" s="43" t="s">
        <v>621</v>
      </c>
      <c r="I420" s="43" t="s">
        <v>1357</v>
      </c>
      <c r="J420" s="43" t="s">
        <v>1304</v>
      </c>
      <c r="K420" s="43"/>
      <c r="L420" s="43" t="s">
        <v>3468</v>
      </c>
      <c r="M420" s="43" t="s">
        <v>1794</v>
      </c>
      <c r="N420" s="43" t="s">
        <v>617</v>
      </c>
      <c r="O420" s="43" t="s">
        <v>626</v>
      </c>
      <c r="P420" s="43" t="s">
        <v>3199</v>
      </c>
      <c r="Q420" s="43" t="s">
        <v>3469</v>
      </c>
      <c r="R420" s="43" t="s">
        <v>3469</v>
      </c>
      <c r="S420" s="43" t="s">
        <v>629</v>
      </c>
      <c r="T420" s="43"/>
      <c r="U420" s="43"/>
      <c r="V420" s="43"/>
      <c r="W420" s="43"/>
      <c r="X420" s="43"/>
      <c r="Y420" s="43"/>
      <c r="Z420" s="43"/>
    </row>
    <row r="421" spans="1:26" ht="15.75" customHeight="1" x14ac:dyDescent="0.25">
      <c r="A421" s="43" t="s">
        <v>503</v>
      </c>
      <c r="B421" s="43" t="s">
        <v>3470</v>
      </c>
      <c r="C421" s="43" t="s">
        <v>3471</v>
      </c>
      <c r="D421" s="43" t="s">
        <v>617</v>
      </c>
      <c r="E421" s="43" t="s">
        <v>1579</v>
      </c>
      <c r="F421" s="43" t="s">
        <v>619</v>
      </c>
      <c r="G421" s="43" t="s">
        <v>3472</v>
      </c>
      <c r="H421" s="43" t="s">
        <v>653</v>
      </c>
      <c r="I421" s="43" t="s">
        <v>3473</v>
      </c>
      <c r="J421" s="43" t="s">
        <v>2084</v>
      </c>
      <c r="K421" s="43"/>
      <c r="L421" s="43" t="s">
        <v>2216</v>
      </c>
      <c r="M421" s="43" t="s">
        <v>625</v>
      </c>
      <c r="N421" s="43" t="s">
        <v>617</v>
      </c>
      <c r="O421" s="43" t="s">
        <v>626</v>
      </c>
      <c r="P421" s="43" t="s">
        <v>1268</v>
      </c>
      <c r="Q421" s="43" t="s">
        <v>3474</v>
      </c>
      <c r="R421" s="43" t="s">
        <v>3475</v>
      </c>
      <c r="S421" s="43" t="s">
        <v>648</v>
      </c>
      <c r="T421" s="43"/>
      <c r="U421" s="43"/>
      <c r="V421" s="43"/>
      <c r="W421" s="43"/>
      <c r="X421" s="43"/>
      <c r="Y421" s="43"/>
      <c r="Z421" s="43"/>
    </row>
    <row r="422" spans="1:26" ht="15.75" customHeight="1" x14ac:dyDescent="0.25">
      <c r="A422" s="43" t="s">
        <v>504</v>
      </c>
      <c r="B422" s="43" t="s">
        <v>3476</v>
      </c>
      <c r="C422" s="43" t="s">
        <v>3477</v>
      </c>
      <c r="D422" s="43" t="s">
        <v>617</v>
      </c>
      <c r="E422" s="43" t="s">
        <v>3478</v>
      </c>
      <c r="F422" s="43" t="s">
        <v>619</v>
      </c>
      <c r="G422" s="43" t="s">
        <v>3479</v>
      </c>
      <c r="H422" s="43" t="s">
        <v>653</v>
      </c>
      <c r="I422" s="43" t="s">
        <v>1284</v>
      </c>
      <c r="J422" s="43" t="s">
        <v>87</v>
      </c>
      <c r="K422" s="43" t="s">
        <v>623</v>
      </c>
      <c r="L422" s="43" t="s">
        <v>680</v>
      </c>
      <c r="M422" s="43" t="s">
        <v>617</v>
      </c>
      <c r="N422" s="43" t="s">
        <v>617</v>
      </c>
      <c r="O422" s="43" t="s">
        <v>626</v>
      </c>
      <c r="P422" s="43" t="s">
        <v>637</v>
      </c>
      <c r="Q422" s="43" t="s">
        <v>3480</v>
      </c>
      <c r="R422" s="43" t="s">
        <v>3481</v>
      </c>
      <c r="S422" s="43" t="s">
        <v>648</v>
      </c>
      <c r="T422" s="43"/>
      <c r="U422" s="43"/>
      <c r="V422" s="43"/>
      <c r="W422" s="43"/>
      <c r="X422" s="43"/>
      <c r="Y422" s="43"/>
      <c r="Z422" s="43"/>
    </row>
    <row r="423" spans="1:26" ht="15.75" customHeight="1" x14ac:dyDescent="0.25">
      <c r="A423" s="43" t="s">
        <v>505</v>
      </c>
      <c r="B423" s="43" t="s">
        <v>3482</v>
      </c>
      <c r="C423" s="43" t="s">
        <v>3483</v>
      </c>
      <c r="D423" s="43" t="s">
        <v>617</v>
      </c>
      <c r="E423" s="43" t="s">
        <v>3484</v>
      </c>
      <c r="F423" s="43" t="s">
        <v>619</v>
      </c>
      <c r="G423" s="43" t="s">
        <v>3485</v>
      </c>
      <c r="H423" s="43" t="s">
        <v>653</v>
      </c>
      <c r="I423" s="43" t="s">
        <v>3486</v>
      </c>
      <c r="J423" s="43" t="s">
        <v>1681</v>
      </c>
      <c r="K423" s="43"/>
      <c r="L423" s="43" t="s">
        <v>3066</v>
      </c>
      <c r="M423" s="43" t="s">
        <v>2127</v>
      </c>
      <c r="N423" s="43" t="s">
        <v>617</v>
      </c>
      <c r="O423" s="43" t="s">
        <v>626</v>
      </c>
      <c r="P423" s="43" t="s">
        <v>3487</v>
      </c>
      <c r="Q423" s="43" t="s">
        <v>3488</v>
      </c>
      <c r="R423" s="43" t="s">
        <v>3489</v>
      </c>
      <c r="S423" s="43" t="s">
        <v>648</v>
      </c>
      <c r="T423" s="43"/>
      <c r="U423" s="43"/>
      <c r="V423" s="43"/>
      <c r="W423" s="43"/>
      <c r="X423" s="43"/>
      <c r="Y423" s="43"/>
      <c r="Z423" s="43"/>
    </row>
    <row r="424" spans="1:26" ht="15.75" customHeight="1" x14ac:dyDescent="0.25">
      <c r="A424" s="43" t="s">
        <v>506</v>
      </c>
      <c r="B424" s="43" t="s">
        <v>3490</v>
      </c>
      <c r="C424" s="43" t="s">
        <v>3491</v>
      </c>
      <c r="D424" s="43" t="s">
        <v>617</v>
      </c>
      <c r="E424" s="43" t="s">
        <v>776</v>
      </c>
      <c r="F424" s="43" t="s">
        <v>619</v>
      </c>
      <c r="G424" s="43" t="s">
        <v>3492</v>
      </c>
      <c r="H424" s="43" t="s">
        <v>1123</v>
      </c>
      <c r="I424" s="43" t="s">
        <v>2351</v>
      </c>
      <c r="J424" s="43" t="s">
        <v>3301</v>
      </c>
      <c r="K424" s="43" t="s">
        <v>1102</v>
      </c>
      <c r="L424" s="43" t="s">
        <v>1380</v>
      </c>
      <c r="M424" s="43" t="s">
        <v>645</v>
      </c>
      <c r="N424" s="43" t="s">
        <v>617</v>
      </c>
      <c r="O424" s="43" t="s">
        <v>626</v>
      </c>
      <c r="P424" s="43" t="s">
        <v>1381</v>
      </c>
      <c r="Q424" s="43" t="s">
        <v>3493</v>
      </c>
      <c r="R424" s="43" t="s">
        <v>3493</v>
      </c>
      <c r="S424" s="43" t="s">
        <v>730</v>
      </c>
      <c r="T424" s="43"/>
      <c r="U424" s="43"/>
      <c r="V424" s="43"/>
      <c r="W424" s="43"/>
      <c r="X424" s="43"/>
      <c r="Y424" s="43"/>
      <c r="Z424" s="43"/>
    </row>
    <row r="425" spans="1:26" ht="15.75" customHeight="1" x14ac:dyDescent="0.25">
      <c r="A425" s="43" t="s">
        <v>507</v>
      </c>
      <c r="B425" s="43" t="s">
        <v>3494</v>
      </c>
      <c r="C425" s="43" t="s">
        <v>3495</v>
      </c>
      <c r="D425" s="43" t="s">
        <v>617</v>
      </c>
      <c r="E425" s="43" t="s">
        <v>3496</v>
      </c>
      <c r="F425" s="43" t="s">
        <v>619</v>
      </c>
      <c r="G425" s="43" t="s">
        <v>3497</v>
      </c>
      <c r="H425" s="43" t="s">
        <v>653</v>
      </c>
      <c r="I425" s="43" t="s">
        <v>3486</v>
      </c>
      <c r="J425" s="43" t="s">
        <v>1681</v>
      </c>
      <c r="K425" s="43"/>
      <c r="L425" s="43" t="s">
        <v>3066</v>
      </c>
      <c r="M425" s="43" t="s">
        <v>2127</v>
      </c>
      <c r="N425" s="43" t="s">
        <v>617</v>
      </c>
      <c r="O425" s="43" t="s">
        <v>626</v>
      </c>
      <c r="P425" s="43" t="s">
        <v>3487</v>
      </c>
      <c r="Q425" s="43" t="s">
        <v>3498</v>
      </c>
      <c r="R425" s="43" t="s">
        <v>3498</v>
      </c>
      <c r="S425" s="43" t="s">
        <v>629</v>
      </c>
      <c r="T425" s="43"/>
      <c r="U425" s="43"/>
      <c r="V425" s="43"/>
      <c r="W425" s="43"/>
      <c r="X425" s="43"/>
      <c r="Y425" s="43"/>
      <c r="Z425" s="43"/>
    </row>
    <row r="426" spans="1:26" ht="15.75" customHeight="1" x14ac:dyDescent="0.25">
      <c r="A426" s="43" t="s">
        <v>508</v>
      </c>
      <c r="B426" s="43" t="s">
        <v>3499</v>
      </c>
      <c r="C426" s="43" t="s">
        <v>3500</v>
      </c>
      <c r="D426" s="43" t="s">
        <v>617</v>
      </c>
      <c r="E426" s="43" t="s">
        <v>1547</v>
      </c>
      <c r="F426" s="43" t="s">
        <v>619</v>
      </c>
      <c r="G426" s="43" t="s">
        <v>3501</v>
      </c>
      <c r="H426" s="43" t="s">
        <v>735</v>
      </c>
      <c r="I426" s="43" t="s">
        <v>3502</v>
      </c>
      <c r="J426" s="43" t="s">
        <v>3247</v>
      </c>
      <c r="K426" s="43"/>
      <c r="L426" s="43" t="s">
        <v>3503</v>
      </c>
      <c r="M426" s="43" t="s">
        <v>855</v>
      </c>
      <c r="N426" s="43" t="s">
        <v>617</v>
      </c>
      <c r="O426" s="43" t="s">
        <v>626</v>
      </c>
      <c r="P426" s="43" t="s">
        <v>1114</v>
      </c>
      <c r="Q426" s="43" t="s">
        <v>3504</v>
      </c>
      <c r="R426" s="43" t="s">
        <v>3504</v>
      </c>
      <c r="S426" s="43" t="s">
        <v>730</v>
      </c>
      <c r="T426" s="43"/>
      <c r="U426" s="43"/>
      <c r="V426" s="43"/>
      <c r="W426" s="43"/>
      <c r="X426" s="43"/>
      <c r="Y426" s="43"/>
      <c r="Z426" s="43"/>
    </row>
    <row r="427" spans="1:26" ht="15.75" customHeight="1" x14ac:dyDescent="0.25">
      <c r="A427" s="43" t="s">
        <v>509</v>
      </c>
      <c r="B427" s="43" t="s">
        <v>3505</v>
      </c>
      <c r="C427" s="43" t="s">
        <v>3506</v>
      </c>
      <c r="D427" s="43" t="s">
        <v>617</v>
      </c>
      <c r="E427" s="43" t="s">
        <v>3507</v>
      </c>
      <c r="F427" s="43" t="s">
        <v>740</v>
      </c>
      <c r="G427" s="43" t="s">
        <v>3508</v>
      </c>
      <c r="H427" s="43" t="s">
        <v>1292</v>
      </c>
      <c r="I427" s="43" t="s">
        <v>3509</v>
      </c>
      <c r="J427" s="43" t="s">
        <v>85</v>
      </c>
      <c r="K427" s="43"/>
      <c r="L427" s="43" t="s">
        <v>655</v>
      </c>
      <c r="M427" s="43" t="s">
        <v>617</v>
      </c>
      <c r="N427" s="43" t="s">
        <v>617</v>
      </c>
      <c r="O427" s="43" t="s">
        <v>626</v>
      </c>
      <c r="P427" s="43" t="s">
        <v>1268</v>
      </c>
      <c r="Q427" s="43" t="s">
        <v>3510</v>
      </c>
      <c r="R427" s="43" t="s">
        <v>3511</v>
      </c>
      <c r="S427" s="43" t="s">
        <v>893</v>
      </c>
      <c r="T427" s="43"/>
      <c r="U427" s="43"/>
      <c r="V427" s="43"/>
      <c r="W427" s="43"/>
      <c r="X427" s="43"/>
      <c r="Y427" s="43"/>
      <c r="Z427" s="43"/>
    </row>
    <row r="428" spans="1:26" ht="15.75" customHeight="1" x14ac:dyDescent="0.25">
      <c r="A428" s="43" t="s">
        <v>510</v>
      </c>
      <c r="B428" s="43" t="s">
        <v>3512</v>
      </c>
      <c r="C428" s="43" t="s">
        <v>3513</v>
      </c>
      <c r="D428" s="43" t="s">
        <v>617</v>
      </c>
      <c r="E428" s="43" t="s">
        <v>3514</v>
      </c>
      <c r="F428" s="43" t="s">
        <v>619</v>
      </c>
      <c r="G428" s="43" t="s">
        <v>3515</v>
      </c>
      <c r="H428" s="43" t="s">
        <v>621</v>
      </c>
      <c r="I428" s="43" t="s">
        <v>3516</v>
      </c>
      <c r="J428" s="43" t="s">
        <v>1101</v>
      </c>
      <c r="K428" s="43" t="s">
        <v>623</v>
      </c>
      <c r="L428" s="43" t="s">
        <v>624</v>
      </c>
      <c r="M428" s="43" t="s">
        <v>625</v>
      </c>
      <c r="N428" s="43" t="s">
        <v>617</v>
      </c>
      <c r="O428" s="43" t="s">
        <v>626</v>
      </c>
      <c r="P428" s="43" t="s">
        <v>627</v>
      </c>
      <c r="Q428" s="43" t="s">
        <v>3517</v>
      </c>
      <c r="R428" s="43" t="s">
        <v>3518</v>
      </c>
      <c r="S428" s="43" t="s">
        <v>648</v>
      </c>
      <c r="T428" s="43"/>
      <c r="U428" s="43"/>
      <c r="V428" s="43"/>
      <c r="W428" s="43"/>
      <c r="X428" s="43"/>
      <c r="Y428" s="43"/>
      <c r="Z428" s="43"/>
    </row>
    <row r="429" spans="1:26" ht="15.75" customHeight="1" x14ac:dyDescent="0.25">
      <c r="A429" s="43" t="s">
        <v>511</v>
      </c>
      <c r="B429" s="43" t="s">
        <v>3519</v>
      </c>
      <c r="C429" s="43" t="s">
        <v>3520</v>
      </c>
      <c r="D429" s="43" t="s">
        <v>617</v>
      </c>
      <c r="E429" s="43" t="s">
        <v>3521</v>
      </c>
      <c r="F429" s="43" t="s">
        <v>619</v>
      </c>
      <c r="G429" s="43" t="s">
        <v>3522</v>
      </c>
      <c r="H429" s="43" t="s">
        <v>653</v>
      </c>
      <c r="I429" s="43" t="s">
        <v>1890</v>
      </c>
      <c r="J429" s="43" t="s">
        <v>1101</v>
      </c>
      <c r="K429" s="43"/>
      <c r="L429" s="43" t="s">
        <v>958</v>
      </c>
      <c r="M429" s="43" t="s">
        <v>855</v>
      </c>
      <c r="N429" s="43" t="s">
        <v>617</v>
      </c>
      <c r="O429" s="43" t="s">
        <v>626</v>
      </c>
      <c r="P429" s="43" t="s">
        <v>714</v>
      </c>
      <c r="Q429" s="43" t="s">
        <v>3523</v>
      </c>
      <c r="R429" s="43" t="s">
        <v>3524</v>
      </c>
      <c r="S429" s="43" t="s">
        <v>629</v>
      </c>
      <c r="T429" s="43"/>
      <c r="U429" s="43"/>
      <c r="V429" s="43"/>
      <c r="W429" s="43"/>
      <c r="X429" s="43"/>
      <c r="Y429" s="43"/>
      <c r="Z429" s="43"/>
    </row>
    <row r="430" spans="1:26" ht="15.75" customHeight="1" x14ac:dyDescent="0.25">
      <c r="A430" s="43" t="s">
        <v>512</v>
      </c>
      <c r="B430" s="43" t="s">
        <v>3525</v>
      </c>
      <c r="C430" s="43" t="s">
        <v>3526</v>
      </c>
      <c r="D430" s="43" t="s">
        <v>1518</v>
      </c>
      <c r="E430" s="43" t="s">
        <v>2154</v>
      </c>
      <c r="F430" s="43" t="s">
        <v>619</v>
      </c>
      <c r="G430" s="43" t="s">
        <v>3527</v>
      </c>
      <c r="H430" s="43" t="s">
        <v>1292</v>
      </c>
      <c r="I430" s="43" t="s">
        <v>1220</v>
      </c>
      <c r="J430" s="43" t="s">
        <v>1304</v>
      </c>
      <c r="K430" s="43"/>
      <c r="L430" s="43" t="s">
        <v>1220</v>
      </c>
      <c r="M430" s="43" t="s">
        <v>840</v>
      </c>
      <c r="N430" s="43" t="s">
        <v>617</v>
      </c>
      <c r="O430" s="43" t="s">
        <v>626</v>
      </c>
      <c r="P430" s="43" t="s">
        <v>841</v>
      </c>
      <c r="Q430" s="43" t="s">
        <v>3528</v>
      </c>
      <c r="R430" s="43" t="s">
        <v>3529</v>
      </c>
      <c r="S430" s="43" t="s">
        <v>629</v>
      </c>
      <c r="T430" s="43"/>
      <c r="U430" s="43"/>
      <c r="V430" s="43"/>
      <c r="W430" s="43"/>
      <c r="X430" s="43"/>
      <c r="Y430" s="43"/>
      <c r="Z430" s="43"/>
    </row>
    <row r="431" spans="1:26" ht="15.75" customHeight="1" x14ac:dyDescent="0.25">
      <c r="A431" s="43" t="s">
        <v>513</v>
      </c>
      <c r="B431" s="43" t="s">
        <v>3530</v>
      </c>
      <c r="C431" s="43" t="s">
        <v>3531</v>
      </c>
      <c r="D431" s="43" t="s">
        <v>2621</v>
      </c>
      <c r="E431" s="43" t="s">
        <v>1883</v>
      </c>
      <c r="F431" s="43" t="s">
        <v>619</v>
      </c>
      <c r="G431" s="43" t="s">
        <v>3532</v>
      </c>
      <c r="H431" s="43" t="s">
        <v>735</v>
      </c>
      <c r="I431" s="43" t="s">
        <v>3073</v>
      </c>
      <c r="J431" s="43" t="s">
        <v>1111</v>
      </c>
      <c r="K431" s="43" t="s">
        <v>1123</v>
      </c>
      <c r="L431" s="43" t="s">
        <v>1380</v>
      </c>
      <c r="M431" s="43" t="s">
        <v>645</v>
      </c>
      <c r="N431" s="43" t="s">
        <v>617</v>
      </c>
      <c r="O431" s="43" t="s">
        <v>626</v>
      </c>
      <c r="P431" s="43" t="s">
        <v>1760</v>
      </c>
      <c r="Q431" s="43" t="s">
        <v>3533</v>
      </c>
      <c r="R431" s="43" t="s">
        <v>3534</v>
      </c>
      <c r="S431" s="43" t="s">
        <v>648</v>
      </c>
      <c r="T431" s="43"/>
      <c r="U431" s="43"/>
      <c r="V431" s="43"/>
      <c r="W431" s="43"/>
      <c r="X431" s="43"/>
      <c r="Y431" s="43"/>
      <c r="Z431" s="43"/>
    </row>
    <row r="432" spans="1:26" ht="15.75" customHeight="1" x14ac:dyDescent="0.25">
      <c r="A432" s="43" t="s">
        <v>514</v>
      </c>
      <c r="B432" s="43" t="s">
        <v>3535</v>
      </c>
      <c r="C432" s="43" t="s">
        <v>3536</v>
      </c>
      <c r="D432" s="43" t="s">
        <v>617</v>
      </c>
      <c r="E432" s="43" t="s">
        <v>2461</v>
      </c>
      <c r="F432" s="43" t="s">
        <v>619</v>
      </c>
      <c r="G432" s="43" t="s">
        <v>3537</v>
      </c>
      <c r="H432" s="43" t="s">
        <v>653</v>
      </c>
      <c r="I432" s="43" t="s">
        <v>3538</v>
      </c>
      <c r="J432" s="43" t="s">
        <v>1396</v>
      </c>
      <c r="K432" s="43"/>
      <c r="L432" s="43" t="s">
        <v>793</v>
      </c>
      <c r="M432" s="43" t="s">
        <v>794</v>
      </c>
      <c r="N432" s="43" t="s">
        <v>617</v>
      </c>
      <c r="O432" s="43" t="s">
        <v>626</v>
      </c>
      <c r="P432" s="43" t="s">
        <v>1228</v>
      </c>
      <c r="Q432" s="43" t="s">
        <v>3539</v>
      </c>
      <c r="R432" s="43" t="s">
        <v>3540</v>
      </c>
      <c r="S432" s="43" t="s">
        <v>730</v>
      </c>
      <c r="T432" s="43"/>
      <c r="U432" s="43"/>
      <c r="V432" s="43"/>
      <c r="W432" s="43"/>
      <c r="X432" s="43"/>
      <c r="Y432" s="43"/>
      <c r="Z432" s="43"/>
    </row>
    <row r="433" spans="1:26" ht="15.75" customHeight="1" x14ac:dyDescent="0.25">
      <c r="A433" s="43" t="s">
        <v>515</v>
      </c>
      <c r="B433" s="43" t="s">
        <v>3541</v>
      </c>
      <c r="C433" s="43" t="s">
        <v>3542</v>
      </c>
      <c r="D433" s="43" t="s">
        <v>617</v>
      </c>
      <c r="E433" s="43" t="s">
        <v>3308</v>
      </c>
      <c r="F433" s="43" t="s">
        <v>619</v>
      </c>
      <c r="G433" s="43" t="s">
        <v>3543</v>
      </c>
      <c r="H433" s="43" t="s">
        <v>653</v>
      </c>
      <c r="I433" s="43" t="s">
        <v>3544</v>
      </c>
      <c r="J433" s="43" t="s">
        <v>2468</v>
      </c>
      <c r="K433" s="43"/>
      <c r="L433" s="43" t="s">
        <v>2170</v>
      </c>
      <c r="M433" s="43" t="s">
        <v>840</v>
      </c>
      <c r="N433" s="43" t="s">
        <v>617</v>
      </c>
      <c r="O433" s="43" t="s">
        <v>626</v>
      </c>
      <c r="P433" s="43" t="s">
        <v>1537</v>
      </c>
      <c r="Q433" s="43" t="s">
        <v>3545</v>
      </c>
      <c r="R433" s="43" t="s">
        <v>3546</v>
      </c>
      <c r="S433" s="43" t="s">
        <v>648</v>
      </c>
      <c r="T433" s="43"/>
      <c r="U433" s="43"/>
      <c r="V433" s="43"/>
      <c r="W433" s="43"/>
      <c r="X433" s="43"/>
      <c r="Y433" s="43"/>
      <c r="Z433" s="43"/>
    </row>
    <row r="434" spans="1:26" ht="15.75" customHeight="1" x14ac:dyDescent="0.25">
      <c r="A434" s="43" t="s">
        <v>516</v>
      </c>
      <c r="B434" s="43" t="s">
        <v>3547</v>
      </c>
      <c r="C434" s="43" t="s">
        <v>3548</v>
      </c>
      <c r="D434" s="43" t="s">
        <v>617</v>
      </c>
      <c r="E434" s="43" t="s">
        <v>2461</v>
      </c>
      <c r="F434" s="43" t="s">
        <v>740</v>
      </c>
      <c r="G434" s="43" t="s">
        <v>3549</v>
      </c>
      <c r="H434" s="43" t="s">
        <v>653</v>
      </c>
      <c r="I434" s="43" t="s">
        <v>3437</v>
      </c>
      <c r="J434" s="43" t="s">
        <v>84</v>
      </c>
      <c r="K434" s="43" t="s">
        <v>623</v>
      </c>
      <c r="L434" s="43" t="s">
        <v>1069</v>
      </c>
      <c r="M434" s="43" t="s">
        <v>914</v>
      </c>
      <c r="N434" s="43" t="s">
        <v>617</v>
      </c>
      <c r="O434" s="43" t="s">
        <v>626</v>
      </c>
      <c r="P434" s="43" t="s">
        <v>810</v>
      </c>
      <c r="Q434" s="43" t="s">
        <v>1123</v>
      </c>
      <c r="R434" s="43" t="s">
        <v>3550</v>
      </c>
      <c r="S434" s="43" t="s">
        <v>893</v>
      </c>
      <c r="T434" s="43"/>
      <c r="U434" s="43"/>
      <c r="V434" s="43"/>
      <c r="W434" s="43"/>
      <c r="X434" s="43"/>
      <c r="Y434" s="43"/>
      <c r="Z434" s="43"/>
    </row>
    <row r="435" spans="1:26" ht="15.75" customHeight="1" x14ac:dyDescent="0.25">
      <c r="A435" s="43" t="s">
        <v>517</v>
      </c>
      <c r="B435" s="43" t="s">
        <v>3551</v>
      </c>
      <c r="C435" s="43" t="s">
        <v>3552</v>
      </c>
      <c r="D435" s="43" t="s">
        <v>617</v>
      </c>
      <c r="E435" s="43" t="s">
        <v>3553</v>
      </c>
      <c r="F435" s="43" t="s">
        <v>740</v>
      </c>
      <c r="G435" s="43" t="s">
        <v>3554</v>
      </c>
      <c r="H435" s="43" t="s">
        <v>653</v>
      </c>
      <c r="I435" s="43" t="s">
        <v>3555</v>
      </c>
      <c r="J435" s="43" t="s">
        <v>1625</v>
      </c>
      <c r="K435" s="43" t="s">
        <v>1123</v>
      </c>
      <c r="L435" s="43" t="s">
        <v>1794</v>
      </c>
      <c r="M435" s="43" t="s">
        <v>1794</v>
      </c>
      <c r="N435" s="43" t="s">
        <v>617</v>
      </c>
      <c r="O435" s="43" t="s">
        <v>626</v>
      </c>
      <c r="P435" s="43" t="s">
        <v>2203</v>
      </c>
      <c r="Q435" s="43" t="s">
        <v>3556</v>
      </c>
      <c r="R435" s="43" t="s">
        <v>3557</v>
      </c>
      <c r="S435" s="43" t="s">
        <v>893</v>
      </c>
      <c r="T435" s="43"/>
      <c r="U435" s="43"/>
      <c r="V435" s="43"/>
      <c r="W435" s="43"/>
      <c r="X435" s="43"/>
      <c r="Y435" s="43"/>
      <c r="Z435" s="43"/>
    </row>
    <row r="436" spans="1:26" ht="15.75" customHeight="1" x14ac:dyDescent="0.25">
      <c r="A436" s="43" t="s">
        <v>518</v>
      </c>
      <c r="B436" s="43" t="s">
        <v>3558</v>
      </c>
      <c r="C436" s="43" t="s">
        <v>3559</v>
      </c>
      <c r="D436" s="43" t="s">
        <v>617</v>
      </c>
      <c r="E436" s="43" t="s">
        <v>1348</v>
      </c>
      <c r="F436" s="43" t="s">
        <v>619</v>
      </c>
      <c r="G436" s="43" t="s">
        <v>3560</v>
      </c>
      <c r="H436" s="43" t="s">
        <v>653</v>
      </c>
      <c r="I436" s="43" t="s">
        <v>3561</v>
      </c>
      <c r="J436" s="43" t="s">
        <v>2740</v>
      </c>
      <c r="K436" s="43"/>
      <c r="L436" s="43" t="s">
        <v>3562</v>
      </c>
      <c r="M436" s="43" t="s">
        <v>2127</v>
      </c>
      <c r="N436" s="43" t="s">
        <v>617</v>
      </c>
      <c r="O436" s="43" t="s">
        <v>626</v>
      </c>
      <c r="P436" s="43" t="s">
        <v>3487</v>
      </c>
      <c r="Q436" s="43" t="s">
        <v>3563</v>
      </c>
      <c r="R436" s="43" t="s">
        <v>3564</v>
      </c>
      <c r="S436" s="43" t="s">
        <v>629</v>
      </c>
      <c r="T436" s="43"/>
      <c r="U436" s="43"/>
      <c r="V436" s="43"/>
      <c r="W436" s="43"/>
      <c r="X436" s="43"/>
      <c r="Y436" s="43"/>
      <c r="Z436" s="43"/>
    </row>
    <row r="437" spans="1:26" ht="15.75" customHeight="1" x14ac:dyDescent="0.25">
      <c r="A437" s="43" t="s">
        <v>519</v>
      </c>
      <c r="B437" s="43" t="s">
        <v>3565</v>
      </c>
      <c r="C437" s="43" t="s">
        <v>3566</v>
      </c>
      <c r="D437" s="43" t="s">
        <v>617</v>
      </c>
      <c r="E437" s="43" t="s">
        <v>3567</v>
      </c>
      <c r="F437" s="43" t="s">
        <v>619</v>
      </c>
      <c r="G437" s="43" t="s">
        <v>3568</v>
      </c>
      <c r="H437" s="43" t="s">
        <v>653</v>
      </c>
      <c r="I437" s="43" t="s">
        <v>3561</v>
      </c>
      <c r="J437" s="43" t="s">
        <v>2740</v>
      </c>
      <c r="K437" s="43"/>
      <c r="L437" s="43" t="s">
        <v>3562</v>
      </c>
      <c r="M437" s="43" t="s">
        <v>2127</v>
      </c>
      <c r="N437" s="43" t="s">
        <v>617</v>
      </c>
      <c r="O437" s="43" t="s">
        <v>626</v>
      </c>
      <c r="P437" s="43" t="s">
        <v>2010</v>
      </c>
      <c r="Q437" s="43" t="s">
        <v>3569</v>
      </c>
      <c r="R437" s="43" t="s">
        <v>3570</v>
      </c>
      <c r="S437" s="43" t="s">
        <v>629</v>
      </c>
      <c r="T437" s="43"/>
      <c r="U437" s="43"/>
      <c r="V437" s="43"/>
      <c r="W437" s="43"/>
      <c r="X437" s="43"/>
      <c r="Y437" s="43"/>
      <c r="Z437" s="43"/>
    </row>
    <row r="438" spans="1:26" ht="15.75" customHeight="1" x14ac:dyDescent="0.25">
      <c r="A438" s="43" t="s">
        <v>520</v>
      </c>
      <c r="B438" s="43" t="s">
        <v>3571</v>
      </c>
      <c r="C438" s="43" t="s">
        <v>3572</v>
      </c>
      <c r="D438" s="43" t="s">
        <v>617</v>
      </c>
      <c r="E438" s="43" t="s">
        <v>998</v>
      </c>
      <c r="F438" s="43" t="s">
        <v>619</v>
      </c>
      <c r="G438" s="43" t="s">
        <v>3573</v>
      </c>
      <c r="H438" s="43" t="s">
        <v>3574</v>
      </c>
      <c r="I438" s="43" t="s">
        <v>3310</v>
      </c>
      <c r="J438" s="43" t="s">
        <v>93</v>
      </c>
      <c r="K438" s="43" t="s">
        <v>1102</v>
      </c>
      <c r="L438" s="43" t="s">
        <v>2170</v>
      </c>
      <c r="M438" s="43" t="s">
        <v>840</v>
      </c>
      <c r="N438" s="43" t="s">
        <v>617</v>
      </c>
      <c r="O438" s="43" t="s">
        <v>626</v>
      </c>
      <c r="P438" s="43" t="s">
        <v>1537</v>
      </c>
      <c r="Q438" s="43" t="s">
        <v>3575</v>
      </c>
      <c r="R438" s="43" t="s">
        <v>3575</v>
      </c>
      <c r="S438" s="43" t="s">
        <v>648</v>
      </c>
      <c r="T438" s="43"/>
      <c r="U438" s="43"/>
      <c r="V438" s="43"/>
      <c r="W438" s="43"/>
      <c r="X438" s="43"/>
      <c r="Y438" s="43"/>
      <c r="Z438" s="43"/>
    </row>
    <row r="439" spans="1:26" ht="15.75" customHeight="1" x14ac:dyDescent="0.25">
      <c r="A439" s="43" t="s">
        <v>521</v>
      </c>
      <c r="B439" s="43" t="s">
        <v>3576</v>
      </c>
      <c r="C439" s="43" t="s">
        <v>3577</v>
      </c>
      <c r="D439" s="43" t="s">
        <v>1663</v>
      </c>
      <c r="E439" s="43" t="s">
        <v>2665</v>
      </c>
      <c r="F439" s="43" t="s">
        <v>740</v>
      </c>
      <c r="G439" s="43" t="s">
        <v>3578</v>
      </c>
      <c r="H439" s="43" t="s">
        <v>1292</v>
      </c>
      <c r="I439" s="43" t="s">
        <v>3509</v>
      </c>
      <c r="J439" s="43" t="s">
        <v>928</v>
      </c>
      <c r="K439" s="43"/>
      <c r="L439" s="43" t="s">
        <v>655</v>
      </c>
      <c r="M439" s="43" t="s">
        <v>617</v>
      </c>
      <c r="N439" s="43" t="s">
        <v>617</v>
      </c>
      <c r="O439" s="43" t="s">
        <v>626</v>
      </c>
      <c r="P439" s="43" t="s">
        <v>1268</v>
      </c>
      <c r="Q439" s="43" t="s">
        <v>3579</v>
      </c>
      <c r="R439" s="43" t="s">
        <v>3580</v>
      </c>
      <c r="S439" s="43" t="s">
        <v>893</v>
      </c>
      <c r="T439" s="43"/>
      <c r="U439" s="43"/>
      <c r="V439" s="43"/>
      <c r="W439" s="43"/>
      <c r="X439" s="43"/>
      <c r="Y439" s="43"/>
      <c r="Z439" s="43"/>
    </row>
    <row r="440" spans="1:26" ht="15.75" customHeight="1" x14ac:dyDescent="0.25">
      <c r="A440" s="43" t="s">
        <v>522</v>
      </c>
      <c r="B440" s="43" t="s">
        <v>3581</v>
      </c>
      <c r="C440" s="43" t="s">
        <v>3582</v>
      </c>
      <c r="D440" s="43" t="s">
        <v>617</v>
      </c>
      <c r="E440" s="43" t="s">
        <v>2479</v>
      </c>
      <c r="F440" s="43" t="s">
        <v>619</v>
      </c>
      <c r="G440" s="43" t="s">
        <v>3583</v>
      </c>
      <c r="H440" s="43" t="s">
        <v>653</v>
      </c>
      <c r="I440" s="43" t="s">
        <v>635</v>
      </c>
      <c r="J440" s="43" t="s">
        <v>1304</v>
      </c>
      <c r="K440" s="43"/>
      <c r="L440" s="43" t="s">
        <v>636</v>
      </c>
      <c r="M440" s="43" t="s">
        <v>625</v>
      </c>
      <c r="N440" s="43" t="s">
        <v>617</v>
      </c>
      <c r="O440" s="43" t="s">
        <v>626</v>
      </c>
      <c r="P440" s="43" t="s">
        <v>637</v>
      </c>
      <c r="Q440" s="43" t="s">
        <v>3584</v>
      </c>
      <c r="R440" s="43" t="s">
        <v>3585</v>
      </c>
      <c r="S440" s="43" t="s">
        <v>648</v>
      </c>
      <c r="T440" s="43"/>
      <c r="U440" s="43"/>
      <c r="V440" s="43"/>
      <c r="W440" s="43"/>
      <c r="X440" s="43"/>
      <c r="Y440" s="43"/>
      <c r="Z440" s="43"/>
    </row>
    <row r="441" spans="1:26" ht="15.75" customHeight="1" x14ac:dyDescent="0.25">
      <c r="A441" s="43" t="s">
        <v>523</v>
      </c>
      <c r="B441" s="43" t="s">
        <v>3586</v>
      </c>
      <c r="C441" s="43" t="s">
        <v>3587</v>
      </c>
      <c r="D441" s="43" t="s">
        <v>617</v>
      </c>
      <c r="E441" s="43" t="s">
        <v>3588</v>
      </c>
      <c r="F441" s="43" t="s">
        <v>619</v>
      </c>
      <c r="G441" s="43" t="s">
        <v>3589</v>
      </c>
      <c r="H441" s="43" t="s">
        <v>653</v>
      </c>
      <c r="I441" s="43" t="s">
        <v>3590</v>
      </c>
      <c r="J441" s="43" t="s">
        <v>1101</v>
      </c>
      <c r="K441" s="43" t="s">
        <v>1102</v>
      </c>
      <c r="L441" s="43" t="s">
        <v>2216</v>
      </c>
      <c r="M441" s="43" t="s">
        <v>625</v>
      </c>
      <c r="N441" s="43" t="s">
        <v>617</v>
      </c>
      <c r="O441" s="43" t="s">
        <v>626</v>
      </c>
      <c r="P441" s="43" t="s">
        <v>637</v>
      </c>
      <c r="Q441" s="43" t="s">
        <v>3591</v>
      </c>
      <c r="R441" s="43" t="s">
        <v>3591</v>
      </c>
      <c r="S441" s="43" t="s">
        <v>648</v>
      </c>
      <c r="T441" s="43"/>
      <c r="U441" s="43"/>
      <c r="V441" s="43"/>
      <c r="W441" s="43"/>
      <c r="X441" s="43"/>
      <c r="Y441" s="43"/>
      <c r="Z441" s="43"/>
    </row>
    <row r="442" spans="1:26" ht="15.75" customHeight="1" x14ac:dyDescent="0.25">
      <c r="A442" s="43" t="s">
        <v>524</v>
      </c>
      <c r="B442" s="43" t="s">
        <v>3592</v>
      </c>
      <c r="C442" s="43" t="s">
        <v>3593</v>
      </c>
      <c r="D442" s="43" t="s">
        <v>617</v>
      </c>
      <c r="E442" s="43" t="s">
        <v>910</v>
      </c>
      <c r="F442" s="43" t="s">
        <v>619</v>
      </c>
      <c r="G442" s="43" t="s">
        <v>3594</v>
      </c>
      <c r="H442" s="43" t="s">
        <v>653</v>
      </c>
      <c r="I442" s="43" t="s">
        <v>3595</v>
      </c>
      <c r="J442" s="43" t="s">
        <v>1101</v>
      </c>
      <c r="K442" s="43"/>
      <c r="L442" s="43" t="s">
        <v>898</v>
      </c>
      <c r="M442" s="43" t="s">
        <v>794</v>
      </c>
      <c r="N442" s="43" t="s">
        <v>617</v>
      </c>
      <c r="O442" s="43" t="s">
        <v>626</v>
      </c>
      <c r="P442" s="43" t="s">
        <v>899</v>
      </c>
      <c r="Q442" s="43" t="s">
        <v>3596</v>
      </c>
      <c r="R442" s="43" t="s">
        <v>3597</v>
      </c>
      <c r="S442" s="43" t="s">
        <v>648</v>
      </c>
      <c r="T442" s="43"/>
      <c r="U442" s="43"/>
      <c r="V442" s="43"/>
      <c r="W442" s="43"/>
      <c r="X442" s="43"/>
      <c r="Y442" s="43"/>
      <c r="Z442" s="43"/>
    </row>
    <row r="443" spans="1:26" ht="15.75" customHeight="1" x14ac:dyDescent="0.25">
      <c r="A443" s="43" t="s">
        <v>525</v>
      </c>
      <c r="B443" s="43" t="s">
        <v>3598</v>
      </c>
      <c r="C443" s="43" t="s">
        <v>3599</v>
      </c>
      <c r="D443" s="43" t="s">
        <v>3600</v>
      </c>
      <c r="E443" s="43" t="s">
        <v>3601</v>
      </c>
      <c r="F443" s="43" t="s">
        <v>619</v>
      </c>
      <c r="G443" s="43" t="s">
        <v>3602</v>
      </c>
      <c r="H443" s="43" t="s">
        <v>3603</v>
      </c>
      <c r="I443" s="43" t="s">
        <v>3604</v>
      </c>
      <c r="J443" s="43" t="s">
        <v>86</v>
      </c>
      <c r="K443" s="43" t="s">
        <v>623</v>
      </c>
      <c r="L443" s="43" t="s">
        <v>672</v>
      </c>
      <c r="M443" s="43" t="s">
        <v>617</v>
      </c>
      <c r="N443" s="43" t="s">
        <v>617</v>
      </c>
      <c r="O443" s="43" t="s">
        <v>626</v>
      </c>
      <c r="P443" s="43" t="s">
        <v>1268</v>
      </c>
      <c r="Q443" s="43" t="s">
        <v>3605</v>
      </c>
      <c r="R443" s="43" t="s">
        <v>3606</v>
      </c>
      <c r="S443" s="43" t="s">
        <v>629</v>
      </c>
      <c r="T443" s="43"/>
      <c r="U443" s="43"/>
      <c r="V443" s="43"/>
      <c r="W443" s="43"/>
      <c r="X443" s="43"/>
      <c r="Y443" s="43"/>
      <c r="Z443" s="43"/>
    </row>
    <row r="444" spans="1:26" ht="15.75" customHeight="1" x14ac:dyDescent="0.25">
      <c r="A444" s="43" t="s">
        <v>526</v>
      </c>
      <c r="B444" s="43" t="s">
        <v>3607</v>
      </c>
      <c r="C444" s="43" t="s">
        <v>3608</v>
      </c>
      <c r="D444" s="43" t="s">
        <v>3609</v>
      </c>
      <c r="E444" s="43" t="s">
        <v>2579</v>
      </c>
      <c r="F444" s="43" t="s">
        <v>619</v>
      </c>
      <c r="G444" s="43" t="s">
        <v>3610</v>
      </c>
      <c r="H444" s="43" t="s">
        <v>735</v>
      </c>
      <c r="I444" s="43" t="s">
        <v>3611</v>
      </c>
      <c r="J444" s="43" t="s">
        <v>1111</v>
      </c>
      <c r="K444" s="43" t="s">
        <v>1123</v>
      </c>
      <c r="L444" s="43" t="s">
        <v>1958</v>
      </c>
      <c r="M444" s="43" t="s">
        <v>794</v>
      </c>
      <c r="N444" s="43" t="s">
        <v>617</v>
      </c>
      <c r="O444" s="43" t="s">
        <v>626</v>
      </c>
      <c r="P444" s="43" t="s">
        <v>982</v>
      </c>
      <c r="Q444" s="43" t="s">
        <v>3612</v>
      </c>
      <c r="R444" s="43" t="s">
        <v>3613</v>
      </c>
      <c r="S444" s="43" t="s">
        <v>893</v>
      </c>
      <c r="T444" s="43"/>
      <c r="U444" s="43"/>
      <c r="V444" s="43"/>
      <c r="W444" s="43"/>
      <c r="X444" s="43"/>
      <c r="Y444" s="43"/>
      <c r="Z444" s="43"/>
    </row>
    <row r="445" spans="1:26" ht="15.75" customHeight="1" x14ac:dyDescent="0.25">
      <c r="A445" s="43" t="s">
        <v>527</v>
      </c>
      <c r="B445" s="43" t="s">
        <v>3614</v>
      </c>
      <c r="C445" s="43" t="s">
        <v>3615</v>
      </c>
      <c r="D445" s="43" t="s">
        <v>828</v>
      </c>
      <c r="E445" s="43" t="s">
        <v>3616</v>
      </c>
      <c r="F445" s="43" t="s">
        <v>619</v>
      </c>
      <c r="G445" s="43" t="s">
        <v>3617</v>
      </c>
      <c r="H445" s="43" t="s">
        <v>621</v>
      </c>
      <c r="I445" s="43" t="s">
        <v>3618</v>
      </c>
      <c r="J445" s="43" t="s">
        <v>173</v>
      </c>
      <c r="K445" s="43" t="s">
        <v>1123</v>
      </c>
      <c r="L445" s="43" t="s">
        <v>779</v>
      </c>
      <c r="M445" s="43" t="s">
        <v>780</v>
      </c>
      <c r="N445" s="43" t="s">
        <v>617</v>
      </c>
      <c r="O445" s="43" t="s">
        <v>626</v>
      </c>
      <c r="P445" s="43" t="s">
        <v>3619</v>
      </c>
      <c r="Q445" s="43" t="s">
        <v>3620</v>
      </c>
      <c r="R445" s="43" t="s">
        <v>3621</v>
      </c>
      <c r="S445" s="43" t="s">
        <v>1271</v>
      </c>
      <c r="T445" s="43"/>
      <c r="U445" s="43"/>
      <c r="V445" s="43"/>
      <c r="W445" s="43"/>
      <c r="X445" s="43"/>
      <c r="Y445" s="43"/>
      <c r="Z445" s="43"/>
    </row>
    <row r="446" spans="1:26" ht="15.75" customHeight="1" x14ac:dyDescent="0.25">
      <c r="A446" s="43" t="s">
        <v>528</v>
      </c>
      <c r="B446" s="43" t="s">
        <v>3622</v>
      </c>
      <c r="C446" s="43" t="s">
        <v>3623</v>
      </c>
      <c r="D446" s="43" t="s">
        <v>617</v>
      </c>
      <c r="E446" s="43" t="s">
        <v>859</v>
      </c>
      <c r="F446" s="43" t="s">
        <v>619</v>
      </c>
      <c r="G446" s="43" t="s">
        <v>3624</v>
      </c>
      <c r="H446" s="43" t="s">
        <v>3625</v>
      </c>
      <c r="I446" s="43" t="s">
        <v>3437</v>
      </c>
      <c r="J446" s="43" t="s">
        <v>928</v>
      </c>
      <c r="K446" s="43"/>
      <c r="L446" s="43" t="s">
        <v>1069</v>
      </c>
      <c r="M446" s="43" t="s">
        <v>914</v>
      </c>
      <c r="N446" s="43" t="s">
        <v>617</v>
      </c>
      <c r="O446" s="43" t="s">
        <v>626</v>
      </c>
      <c r="P446" s="43" t="s">
        <v>1626</v>
      </c>
      <c r="Q446" s="43" t="s">
        <v>3626</v>
      </c>
      <c r="R446" s="43" t="s">
        <v>3627</v>
      </c>
      <c r="S446" s="43" t="s">
        <v>629</v>
      </c>
      <c r="T446" s="43"/>
      <c r="U446" s="43"/>
      <c r="V446" s="43"/>
      <c r="W446" s="43"/>
      <c r="X446" s="43"/>
      <c r="Y446" s="43"/>
      <c r="Z446" s="43"/>
    </row>
    <row r="447" spans="1:26" ht="15.75" customHeight="1" x14ac:dyDescent="0.25">
      <c r="A447" s="43" t="s">
        <v>529</v>
      </c>
      <c r="B447" s="43" t="s">
        <v>3628</v>
      </c>
      <c r="C447" s="43" t="s">
        <v>3629</v>
      </c>
      <c r="D447" s="43" t="s">
        <v>617</v>
      </c>
      <c r="E447" s="43" t="s">
        <v>3630</v>
      </c>
      <c r="F447" s="43" t="s">
        <v>619</v>
      </c>
      <c r="G447" s="43" t="s">
        <v>3631</v>
      </c>
      <c r="H447" s="43" t="s">
        <v>621</v>
      </c>
      <c r="I447" s="43" t="s">
        <v>3632</v>
      </c>
      <c r="J447" s="43" t="s">
        <v>91</v>
      </c>
      <c r="K447" s="43"/>
      <c r="L447" s="43" t="s">
        <v>655</v>
      </c>
      <c r="M447" s="43" t="s">
        <v>617</v>
      </c>
      <c r="N447" s="43" t="s">
        <v>617</v>
      </c>
      <c r="O447" s="43" t="s">
        <v>626</v>
      </c>
      <c r="P447" s="43" t="s">
        <v>656</v>
      </c>
      <c r="Q447" s="43" t="s">
        <v>3633</v>
      </c>
      <c r="R447" s="43" t="s">
        <v>3633</v>
      </c>
      <c r="S447" s="43" t="s">
        <v>629</v>
      </c>
      <c r="T447" s="43"/>
      <c r="U447" s="43"/>
      <c r="V447" s="43"/>
      <c r="W447" s="43"/>
      <c r="X447" s="43"/>
      <c r="Y447" s="43"/>
      <c r="Z447" s="43"/>
    </row>
    <row r="448" spans="1:26" ht="15.75" customHeight="1" x14ac:dyDescent="0.25">
      <c r="A448" s="43" t="s">
        <v>530</v>
      </c>
      <c r="B448" s="43" t="s">
        <v>3634</v>
      </c>
      <c r="C448" s="43" t="s">
        <v>3635</v>
      </c>
      <c r="D448" s="43" t="s">
        <v>617</v>
      </c>
      <c r="E448" s="43" t="s">
        <v>3636</v>
      </c>
      <c r="F448" s="43" t="s">
        <v>619</v>
      </c>
      <c r="G448" s="43" t="s">
        <v>3637</v>
      </c>
      <c r="H448" s="43" t="s">
        <v>653</v>
      </c>
      <c r="I448" s="43" t="s">
        <v>3638</v>
      </c>
      <c r="J448" s="43" t="s">
        <v>1101</v>
      </c>
      <c r="K448" s="43"/>
      <c r="L448" s="43" t="s">
        <v>1069</v>
      </c>
      <c r="M448" s="43" t="s">
        <v>914</v>
      </c>
      <c r="N448" s="43" t="s">
        <v>617</v>
      </c>
      <c r="O448" s="43" t="s">
        <v>626</v>
      </c>
      <c r="P448" s="43" t="s">
        <v>1490</v>
      </c>
      <c r="Q448" s="43" t="s">
        <v>3639</v>
      </c>
      <c r="R448" s="43" t="s">
        <v>3639</v>
      </c>
      <c r="S448" s="43" t="s">
        <v>629</v>
      </c>
      <c r="T448" s="43"/>
      <c r="U448" s="43"/>
      <c r="V448" s="43"/>
      <c r="W448" s="43"/>
      <c r="X448" s="43"/>
      <c r="Y448" s="43"/>
      <c r="Z448" s="43"/>
    </row>
    <row r="449" spans="1:26" ht="15.75" customHeight="1" x14ac:dyDescent="0.25">
      <c r="A449" s="43" t="s">
        <v>531</v>
      </c>
      <c r="B449" s="43" t="s">
        <v>3640</v>
      </c>
      <c r="C449" s="43" t="s">
        <v>3641</v>
      </c>
      <c r="D449" s="43" t="s">
        <v>617</v>
      </c>
      <c r="E449" s="43" t="s">
        <v>3642</v>
      </c>
      <c r="F449" s="43" t="s">
        <v>619</v>
      </c>
      <c r="G449" s="43" t="s">
        <v>3643</v>
      </c>
      <c r="H449" s="43" t="s">
        <v>653</v>
      </c>
      <c r="I449" s="43" t="s">
        <v>1972</v>
      </c>
      <c r="J449" s="43" t="s">
        <v>1122</v>
      </c>
      <c r="K449" s="43" t="s">
        <v>1102</v>
      </c>
      <c r="L449" s="43" t="s">
        <v>1794</v>
      </c>
      <c r="M449" s="43" t="s">
        <v>1794</v>
      </c>
      <c r="N449" s="43" t="s">
        <v>617</v>
      </c>
      <c r="O449" s="43" t="s">
        <v>626</v>
      </c>
      <c r="P449" s="43" t="s">
        <v>1818</v>
      </c>
      <c r="Q449" s="43" t="s">
        <v>3644</v>
      </c>
      <c r="R449" s="43" t="s">
        <v>3645</v>
      </c>
      <c r="S449" s="43" t="s">
        <v>629</v>
      </c>
      <c r="T449" s="43"/>
      <c r="U449" s="43"/>
      <c r="V449" s="43"/>
      <c r="W449" s="43"/>
      <c r="X449" s="43"/>
      <c r="Y449" s="43"/>
      <c r="Z449" s="43"/>
    </row>
    <row r="450" spans="1:26" ht="15.75" customHeight="1" x14ac:dyDescent="0.25">
      <c r="A450" s="43" t="s">
        <v>532</v>
      </c>
      <c r="B450" s="43" t="s">
        <v>3646</v>
      </c>
      <c r="C450" s="43" t="s">
        <v>3647</v>
      </c>
      <c r="D450" s="43" t="s">
        <v>617</v>
      </c>
      <c r="E450" s="43" t="s">
        <v>1325</v>
      </c>
      <c r="F450" s="43" t="s">
        <v>619</v>
      </c>
      <c r="G450" s="43" t="s">
        <v>3648</v>
      </c>
      <c r="H450" s="43" t="s">
        <v>653</v>
      </c>
      <c r="I450" s="43" t="s">
        <v>3649</v>
      </c>
      <c r="J450" s="43" t="s">
        <v>89</v>
      </c>
      <c r="K450" s="43"/>
      <c r="L450" s="43" t="s">
        <v>2216</v>
      </c>
      <c r="M450" s="43" t="s">
        <v>625</v>
      </c>
      <c r="N450" s="43" t="s">
        <v>617</v>
      </c>
      <c r="O450" s="43" t="s">
        <v>626</v>
      </c>
      <c r="P450" s="43" t="s">
        <v>637</v>
      </c>
      <c r="Q450" s="43" t="s">
        <v>3650</v>
      </c>
      <c r="R450" s="43" t="s">
        <v>3651</v>
      </c>
      <c r="S450" s="43" t="s">
        <v>1271</v>
      </c>
      <c r="T450" s="43"/>
      <c r="U450" s="43"/>
      <c r="V450" s="43"/>
      <c r="W450" s="43"/>
      <c r="X450" s="43"/>
      <c r="Y450" s="43"/>
      <c r="Z450" s="43"/>
    </row>
    <row r="451" spans="1:26" ht="15.75" customHeight="1" x14ac:dyDescent="0.25">
      <c r="A451" s="43" t="s">
        <v>533</v>
      </c>
      <c r="B451" s="43" t="s">
        <v>3652</v>
      </c>
      <c r="C451" s="43" t="s">
        <v>3653</v>
      </c>
      <c r="D451" s="43" t="s">
        <v>617</v>
      </c>
      <c r="E451" s="43" t="s">
        <v>2711</v>
      </c>
      <c r="F451" s="43" t="s">
        <v>619</v>
      </c>
      <c r="G451" s="43" t="s">
        <v>3654</v>
      </c>
      <c r="H451" s="43" t="s">
        <v>653</v>
      </c>
      <c r="I451" s="43" t="s">
        <v>1529</v>
      </c>
      <c r="J451" s="43" t="s">
        <v>88</v>
      </c>
      <c r="K451" s="43" t="s">
        <v>623</v>
      </c>
      <c r="L451" s="43" t="s">
        <v>680</v>
      </c>
      <c r="M451" s="43" t="s">
        <v>617</v>
      </c>
      <c r="N451" s="43" t="s">
        <v>617</v>
      </c>
      <c r="O451" s="43" t="s">
        <v>626</v>
      </c>
      <c r="P451" s="43" t="s">
        <v>1130</v>
      </c>
      <c r="Q451" s="43" t="s">
        <v>3655</v>
      </c>
      <c r="R451" s="43" t="s">
        <v>3656</v>
      </c>
      <c r="S451" s="43" t="s">
        <v>893</v>
      </c>
      <c r="T451" s="43"/>
      <c r="U451" s="43"/>
      <c r="V451" s="43"/>
      <c r="W451" s="43"/>
      <c r="X451" s="43"/>
      <c r="Y451" s="43"/>
      <c r="Z451" s="43"/>
    </row>
    <row r="452" spans="1:26" ht="15.75" customHeight="1" x14ac:dyDescent="0.25">
      <c r="A452" s="43" t="s">
        <v>534</v>
      </c>
      <c r="B452" s="43" t="s">
        <v>3657</v>
      </c>
      <c r="C452" s="43" t="s">
        <v>3658</v>
      </c>
      <c r="D452" s="43" t="s">
        <v>617</v>
      </c>
      <c r="E452" s="43" t="s">
        <v>3659</v>
      </c>
      <c r="F452" s="43" t="s">
        <v>619</v>
      </c>
      <c r="G452" s="43" t="s">
        <v>3660</v>
      </c>
      <c r="H452" s="43" t="s">
        <v>653</v>
      </c>
      <c r="I452" s="43" t="s">
        <v>2169</v>
      </c>
      <c r="J452" s="43" t="s">
        <v>1227</v>
      </c>
      <c r="K452" s="43"/>
      <c r="L452" s="43" t="s">
        <v>2170</v>
      </c>
      <c r="M452" s="43" t="s">
        <v>840</v>
      </c>
      <c r="N452" s="43" t="s">
        <v>617</v>
      </c>
      <c r="O452" s="43" t="s">
        <v>626</v>
      </c>
      <c r="P452" s="43" t="s">
        <v>1056</v>
      </c>
      <c r="Q452" s="43" t="s">
        <v>3661</v>
      </c>
      <c r="R452" s="43" t="s">
        <v>3661</v>
      </c>
      <c r="S452" s="43" t="s">
        <v>648</v>
      </c>
      <c r="T452" s="43"/>
      <c r="U452" s="43"/>
      <c r="V452" s="43"/>
      <c r="W452" s="43"/>
      <c r="X452" s="43"/>
      <c r="Y452" s="43"/>
      <c r="Z452" s="43"/>
    </row>
    <row r="453" spans="1:26" ht="15.75" customHeight="1" x14ac:dyDescent="0.25">
      <c r="A453" s="43" t="s">
        <v>535</v>
      </c>
      <c r="B453" s="43" t="s">
        <v>3662</v>
      </c>
      <c r="C453" s="43" t="s">
        <v>3663</v>
      </c>
      <c r="D453" s="43" t="s">
        <v>617</v>
      </c>
      <c r="E453" s="43" t="s">
        <v>2028</v>
      </c>
      <c r="F453" s="43" t="s">
        <v>619</v>
      </c>
      <c r="G453" s="43" t="s">
        <v>3664</v>
      </c>
      <c r="H453" s="43" t="s">
        <v>653</v>
      </c>
      <c r="I453" s="43" t="s">
        <v>2017</v>
      </c>
      <c r="J453" s="43" t="s">
        <v>85</v>
      </c>
      <c r="K453" s="43" t="s">
        <v>623</v>
      </c>
      <c r="L453" s="43" t="s">
        <v>913</v>
      </c>
      <c r="M453" s="43" t="s">
        <v>914</v>
      </c>
      <c r="N453" s="43" t="s">
        <v>617</v>
      </c>
      <c r="O453" s="43" t="s">
        <v>626</v>
      </c>
      <c r="P453" s="43" t="s">
        <v>1626</v>
      </c>
      <c r="Q453" s="43" t="s">
        <v>3665</v>
      </c>
      <c r="R453" s="43" t="s">
        <v>3666</v>
      </c>
      <c r="S453" s="43" t="s">
        <v>1271</v>
      </c>
      <c r="T453" s="43"/>
      <c r="U453" s="43"/>
      <c r="V453" s="43"/>
      <c r="W453" s="43"/>
      <c r="X453" s="43"/>
      <c r="Y453" s="43"/>
      <c r="Z453" s="43"/>
    </row>
    <row r="454" spans="1:26" ht="15.75" customHeight="1" x14ac:dyDescent="0.25">
      <c r="A454" s="43" t="s">
        <v>536</v>
      </c>
      <c r="B454" s="43" t="s">
        <v>3667</v>
      </c>
      <c r="C454" s="43" t="s">
        <v>3668</v>
      </c>
      <c r="D454" s="43" t="s">
        <v>617</v>
      </c>
      <c r="E454" s="43" t="s">
        <v>1086</v>
      </c>
      <c r="F454" s="43" t="s">
        <v>619</v>
      </c>
      <c r="G454" s="43" t="s">
        <v>3669</v>
      </c>
      <c r="H454" s="43" t="s">
        <v>653</v>
      </c>
      <c r="I454" s="43" t="s">
        <v>1549</v>
      </c>
      <c r="J454" s="43" t="s">
        <v>87</v>
      </c>
      <c r="K454" s="43" t="s">
        <v>623</v>
      </c>
      <c r="L454" s="43" t="s">
        <v>1794</v>
      </c>
      <c r="M454" s="43" t="s">
        <v>1794</v>
      </c>
      <c r="N454" s="43" t="s">
        <v>617</v>
      </c>
      <c r="O454" s="43" t="s">
        <v>626</v>
      </c>
      <c r="P454" s="43" t="s">
        <v>2224</v>
      </c>
      <c r="Q454" s="43" t="s">
        <v>3670</v>
      </c>
      <c r="R454" s="43" t="s">
        <v>3671</v>
      </c>
      <c r="S454" s="43" t="s">
        <v>893</v>
      </c>
      <c r="T454" s="43"/>
      <c r="U454" s="43"/>
      <c r="V454" s="43"/>
      <c r="W454" s="43"/>
      <c r="X454" s="43"/>
      <c r="Y454" s="43"/>
      <c r="Z454" s="43"/>
    </row>
    <row r="455" spans="1:26" ht="15.75" customHeight="1" x14ac:dyDescent="0.25">
      <c r="A455" s="43" t="s">
        <v>537</v>
      </c>
      <c r="B455" s="43" t="s">
        <v>3672</v>
      </c>
      <c r="C455" s="43" t="s">
        <v>3673</v>
      </c>
      <c r="D455" s="43" t="s">
        <v>617</v>
      </c>
      <c r="E455" s="43" t="s">
        <v>2479</v>
      </c>
      <c r="F455" s="43" t="s">
        <v>619</v>
      </c>
      <c r="G455" s="43" t="s">
        <v>3660</v>
      </c>
      <c r="H455" s="43" t="s">
        <v>653</v>
      </c>
      <c r="I455" s="43" t="s">
        <v>3674</v>
      </c>
      <c r="J455" s="43" t="s">
        <v>928</v>
      </c>
      <c r="K455" s="43"/>
      <c r="L455" s="43" t="s">
        <v>1001</v>
      </c>
      <c r="M455" s="43" t="s">
        <v>744</v>
      </c>
      <c r="N455" s="43" t="s">
        <v>617</v>
      </c>
      <c r="O455" s="43" t="s">
        <v>626</v>
      </c>
      <c r="P455" s="43" t="s">
        <v>906</v>
      </c>
      <c r="Q455" s="43" t="s">
        <v>3675</v>
      </c>
      <c r="R455" s="43" t="s">
        <v>3676</v>
      </c>
      <c r="S455" s="43" t="s">
        <v>629</v>
      </c>
      <c r="T455" s="43"/>
      <c r="U455" s="43"/>
      <c r="V455" s="43"/>
      <c r="W455" s="43"/>
      <c r="X455" s="43"/>
      <c r="Y455" s="43"/>
      <c r="Z455" s="43"/>
    </row>
    <row r="456" spans="1:26" ht="15.75" customHeight="1" x14ac:dyDescent="0.25">
      <c r="A456" s="43" t="s">
        <v>538</v>
      </c>
      <c r="B456" s="43" t="s">
        <v>3677</v>
      </c>
      <c r="C456" s="43" t="s">
        <v>3678</v>
      </c>
      <c r="D456" s="43" t="s">
        <v>617</v>
      </c>
      <c r="E456" s="43" t="s">
        <v>3679</v>
      </c>
      <c r="F456" s="43" t="s">
        <v>619</v>
      </c>
      <c r="G456" s="43" t="s">
        <v>3680</v>
      </c>
      <c r="H456" s="43" t="s">
        <v>1292</v>
      </c>
      <c r="I456" s="43" t="s">
        <v>3681</v>
      </c>
      <c r="J456" s="43" t="s">
        <v>1111</v>
      </c>
      <c r="K456" s="43"/>
      <c r="L456" s="43" t="s">
        <v>981</v>
      </c>
      <c r="M456" s="43" t="s">
        <v>794</v>
      </c>
      <c r="N456" s="43" t="s">
        <v>617</v>
      </c>
      <c r="O456" s="43" t="s">
        <v>626</v>
      </c>
      <c r="P456" s="43" t="s">
        <v>982</v>
      </c>
      <c r="Q456" s="43" t="s">
        <v>3682</v>
      </c>
      <c r="R456" s="43" t="s">
        <v>3682</v>
      </c>
      <c r="S456" s="43" t="s">
        <v>648</v>
      </c>
      <c r="T456" s="43"/>
      <c r="U456" s="43"/>
      <c r="V456" s="43"/>
      <c r="W456" s="43"/>
      <c r="X456" s="43"/>
      <c r="Y456" s="43"/>
      <c r="Z456" s="43"/>
    </row>
    <row r="457" spans="1:26" ht="15.75" customHeight="1" x14ac:dyDescent="0.25">
      <c r="A457" s="43" t="s">
        <v>539</v>
      </c>
      <c r="B457" s="43" t="s">
        <v>3683</v>
      </c>
      <c r="C457" s="43" t="s">
        <v>3684</v>
      </c>
      <c r="D457" s="43" t="s">
        <v>617</v>
      </c>
      <c r="E457" s="43" t="s">
        <v>1678</v>
      </c>
      <c r="F457" s="43" t="s">
        <v>619</v>
      </c>
      <c r="G457" s="43" t="s">
        <v>3685</v>
      </c>
      <c r="H457" s="43" t="s">
        <v>1318</v>
      </c>
      <c r="I457" s="43" t="s">
        <v>3686</v>
      </c>
      <c r="J457" s="43" t="s">
        <v>85</v>
      </c>
      <c r="K457" s="43" t="s">
        <v>623</v>
      </c>
      <c r="L457" s="43" t="s">
        <v>3468</v>
      </c>
      <c r="M457" s="43" t="s">
        <v>1794</v>
      </c>
      <c r="N457" s="43" t="s">
        <v>617</v>
      </c>
      <c r="O457" s="43" t="s">
        <v>626</v>
      </c>
      <c r="P457" s="43" t="s">
        <v>1818</v>
      </c>
      <c r="Q457" s="43" t="s">
        <v>3687</v>
      </c>
      <c r="R457" s="43" t="s">
        <v>3688</v>
      </c>
      <c r="S457" s="43" t="s">
        <v>648</v>
      </c>
      <c r="T457" s="43"/>
      <c r="U457" s="43"/>
      <c r="V457" s="43"/>
      <c r="W457" s="43"/>
      <c r="X457" s="43"/>
      <c r="Y457" s="43"/>
      <c r="Z457" s="43"/>
    </row>
    <row r="458" spans="1:26" ht="15.75" customHeight="1" x14ac:dyDescent="0.25">
      <c r="A458" s="43" t="s">
        <v>540</v>
      </c>
      <c r="B458" s="43" t="s">
        <v>3689</v>
      </c>
      <c r="C458" s="43" t="s">
        <v>3690</v>
      </c>
      <c r="D458" s="43" t="s">
        <v>2621</v>
      </c>
      <c r="E458" s="43" t="s">
        <v>3691</v>
      </c>
      <c r="F458" s="43" t="s">
        <v>619</v>
      </c>
      <c r="G458" s="43" t="s">
        <v>3692</v>
      </c>
      <c r="H458" s="43" t="s">
        <v>735</v>
      </c>
      <c r="I458" s="43" t="s">
        <v>957</v>
      </c>
      <c r="J458" s="43" t="s">
        <v>1111</v>
      </c>
      <c r="K458" s="43" t="s">
        <v>109</v>
      </c>
      <c r="L458" s="43" t="s">
        <v>680</v>
      </c>
      <c r="M458" s="43" t="s">
        <v>617</v>
      </c>
      <c r="N458" s="43" t="s">
        <v>617</v>
      </c>
      <c r="O458" s="43" t="s">
        <v>626</v>
      </c>
      <c r="P458" s="43" t="s">
        <v>4514</v>
      </c>
      <c r="Q458" s="43" t="s">
        <v>3693</v>
      </c>
      <c r="R458" s="43" t="s">
        <v>3693</v>
      </c>
      <c r="S458" s="43" t="s">
        <v>648</v>
      </c>
      <c r="T458" s="43"/>
      <c r="U458" s="43"/>
      <c r="V458" s="43"/>
      <c r="W458" s="43"/>
      <c r="X458" s="43"/>
      <c r="Y458" s="43"/>
      <c r="Z458" s="43"/>
    </row>
    <row r="459" spans="1:26" ht="15.75" customHeight="1" x14ac:dyDescent="0.25">
      <c r="A459" s="43" t="s">
        <v>541</v>
      </c>
      <c r="B459" s="43" t="s">
        <v>3694</v>
      </c>
      <c r="C459" s="43" t="s">
        <v>3695</v>
      </c>
      <c r="D459" s="43" t="s">
        <v>617</v>
      </c>
      <c r="E459" s="43" t="s">
        <v>3696</v>
      </c>
      <c r="F459" s="43" t="s">
        <v>619</v>
      </c>
      <c r="G459" s="43" t="s">
        <v>3697</v>
      </c>
      <c r="H459" s="43" t="s">
        <v>653</v>
      </c>
      <c r="I459" s="43" t="s">
        <v>713</v>
      </c>
      <c r="J459" s="43" t="s">
        <v>88</v>
      </c>
      <c r="K459" s="43" t="s">
        <v>623</v>
      </c>
      <c r="L459" s="43" t="s">
        <v>680</v>
      </c>
      <c r="M459" s="43" t="s">
        <v>617</v>
      </c>
      <c r="N459" s="43" t="s">
        <v>617</v>
      </c>
      <c r="O459" s="43" t="s">
        <v>626</v>
      </c>
      <c r="P459" s="43" t="s">
        <v>1913</v>
      </c>
      <c r="Q459" s="43" t="s">
        <v>3698</v>
      </c>
      <c r="R459" s="43" t="s">
        <v>3698</v>
      </c>
      <c r="S459" s="43" t="s">
        <v>648</v>
      </c>
      <c r="T459" s="43"/>
      <c r="U459" s="43"/>
      <c r="V459" s="43"/>
      <c r="W459" s="43"/>
      <c r="X459" s="43"/>
      <c r="Y459" s="43"/>
      <c r="Z459" s="43"/>
    </row>
    <row r="460" spans="1:26" ht="15.75" customHeight="1" x14ac:dyDescent="0.25">
      <c r="A460" s="43" t="s">
        <v>542</v>
      </c>
      <c r="B460" s="43" t="s">
        <v>3699</v>
      </c>
      <c r="C460" s="43" t="s">
        <v>3700</v>
      </c>
      <c r="D460" s="43" t="s">
        <v>617</v>
      </c>
      <c r="E460" s="43" t="s">
        <v>2221</v>
      </c>
      <c r="F460" s="43" t="s">
        <v>619</v>
      </c>
      <c r="G460" s="43" t="s">
        <v>3701</v>
      </c>
      <c r="H460" s="43" t="s">
        <v>653</v>
      </c>
      <c r="I460" s="43" t="s">
        <v>3369</v>
      </c>
      <c r="J460" s="43" t="s">
        <v>928</v>
      </c>
      <c r="K460" s="43"/>
      <c r="L460" s="43" t="s">
        <v>2216</v>
      </c>
      <c r="M460" s="43" t="s">
        <v>625</v>
      </c>
      <c r="N460" s="43" t="s">
        <v>617</v>
      </c>
      <c r="O460" s="43" t="s">
        <v>626</v>
      </c>
      <c r="P460" s="43" t="s">
        <v>637</v>
      </c>
      <c r="Q460" s="43" t="s">
        <v>3702</v>
      </c>
      <c r="R460" s="43" t="s">
        <v>3703</v>
      </c>
      <c r="S460" s="43" t="s">
        <v>648</v>
      </c>
      <c r="T460" s="43"/>
      <c r="U460" s="43"/>
      <c r="V460" s="43"/>
      <c r="W460" s="43"/>
      <c r="X460" s="43"/>
      <c r="Y460" s="43"/>
      <c r="Z460" s="43"/>
    </row>
    <row r="461" spans="1:26" ht="15.75" customHeight="1" x14ac:dyDescent="0.25">
      <c r="A461" s="43" t="s">
        <v>543</v>
      </c>
      <c r="B461" s="43" t="s">
        <v>3704</v>
      </c>
      <c r="C461" s="43" t="s">
        <v>3705</v>
      </c>
      <c r="D461" s="43" t="s">
        <v>617</v>
      </c>
      <c r="E461" s="43" t="s">
        <v>2304</v>
      </c>
      <c r="F461" s="43" t="s">
        <v>619</v>
      </c>
      <c r="G461" s="43" t="s">
        <v>3706</v>
      </c>
      <c r="H461" s="43" t="s">
        <v>653</v>
      </c>
      <c r="I461" s="43" t="s">
        <v>3707</v>
      </c>
      <c r="J461" s="43" t="s">
        <v>1122</v>
      </c>
      <c r="K461" s="43"/>
      <c r="L461" s="43" t="s">
        <v>3708</v>
      </c>
      <c r="M461" s="43" t="s">
        <v>2127</v>
      </c>
      <c r="N461" s="43" t="s">
        <v>617</v>
      </c>
      <c r="O461" s="43" t="s">
        <v>626</v>
      </c>
      <c r="P461" s="43" t="s">
        <v>2374</v>
      </c>
      <c r="Q461" s="43" t="s">
        <v>3709</v>
      </c>
      <c r="R461" s="43" t="s">
        <v>3709</v>
      </c>
      <c r="S461" s="43" t="s">
        <v>648</v>
      </c>
      <c r="T461" s="43"/>
      <c r="U461" s="43"/>
      <c r="V461" s="43"/>
      <c r="W461" s="43"/>
      <c r="X461" s="43"/>
      <c r="Y461" s="43"/>
      <c r="Z461" s="43"/>
    </row>
    <row r="462" spans="1:26" ht="15.75" customHeight="1" x14ac:dyDescent="0.25">
      <c r="A462" s="43" t="s">
        <v>544</v>
      </c>
      <c r="B462" s="43" t="s">
        <v>3710</v>
      </c>
      <c r="C462" s="43" t="s">
        <v>3711</v>
      </c>
      <c r="D462" s="43" t="s">
        <v>617</v>
      </c>
      <c r="E462" s="43" t="s">
        <v>3478</v>
      </c>
      <c r="F462" s="43" t="s">
        <v>619</v>
      </c>
      <c r="G462" s="43" t="s">
        <v>3712</v>
      </c>
      <c r="H462" s="43" t="s">
        <v>621</v>
      </c>
      <c r="I462" s="43" t="s">
        <v>2191</v>
      </c>
      <c r="J462" s="43" t="s">
        <v>1101</v>
      </c>
      <c r="K462" s="43"/>
      <c r="L462" s="43" t="s">
        <v>1380</v>
      </c>
      <c r="M462" s="43" t="s">
        <v>645</v>
      </c>
      <c r="N462" s="43" t="s">
        <v>617</v>
      </c>
      <c r="O462" s="43" t="s">
        <v>626</v>
      </c>
      <c r="P462" s="43" t="s">
        <v>1381</v>
      </c>
      <c r="Q462" s="43" t="s">
        <v>3713</v>
      </c>
      <c r="R462" s="43" t="s">
        <v>3714</v>
      </c>
      <c r="S462" s="43" t="s">
        <v>1271</v>
      </c>
      <c r="T462" s="43"/>
      <c r="U462" s="43"/>
      <c r="V462" s="43"/>
      <c r="W462" s="43"/>
      <c r="X462" s="43"/>
      <c r="Y462" s="43"/>
      <c r="Z462" s="43"/>
    </row>
    <row r="463" spans="1:26" ht="15.75" customHeight="1" x14ac:dyDescent="0.25">
      <c r="A463" s="43" t="s">
        <v>545</v>
      </c>
      <c r="B463" s="43" t="s">
        <v>3715</v>
      </c>
      <c r="C463" s="43" t="s">
        <v>3716</v>
      </c>
      <c r="D463" s="43" t="s">
        <v>617</v>
      </c>
      <c r="E463" s="43" t="s">
        <v>3496</v>
      </c>
      <c r="F463" s="43" t="s">
        <v>740</v>
      </c>
      <c r="G463" s="43" t="s">
        <v>3717</v>
      </c>
      <c r="H463" s="43" t="s">
        <v>653</v>
      </c>
      <c r="I463" s="43" t="s">
        <v>3718</v>
      </c>
      <c r="J463" s="43" t="s">
        <v>928</v>
      </c>
      <c r="K463" s="43"/>
      <c r="L463" s="43" t="s">
        <v>3019</v>
      </c>
      <c r="M463" s="43" t="s">
        <v>840</v>
      </c>
      <c r="N463" s="43" t="s">
        <v>617</v>
      </c>
      <c r="O463" s="43" t="s">
        <v>626</v>
      </c>
      <c r="P463" s="43" t="s">
        <v>899</v>
      </c>
      <c r="Q463" s="43" t="s">
        <v>3719</v>
      </c>
      <c r="R463" s="43" t="s">
        <v>3719</v>
      </c>
      <c r="S463" s="43" t="s">
        <v>893</v>
      </c>
      <c r="T463" s="43"/>
      <c r="U463" s="43"/>
      <c r="V463" s="43"/>
      <c r="W463" s="43"/>
      <c r="X463" s="43"/>
      <c r="Y463" s="43"/>
      <c r="Z463" s="43"/>
    </row>
    <row r="464" spans="1:26" ht="15.75" customHeight="1" x14ac:dyDescent="0.25">
      <c r="A464" s="43" t="s">
        <v>546</v>
      </c>
      <c r="B464" s="43" t="s">
        <v>3720</v>
      </c>
      <c r="C464" s="43" t="s">
        <v>3721</v>
      </c>
      <c r="D464" s="43" t="s">
        <v>617</v>
      </c>
      <c r="E464" s="43" t="s">
        <v>3722</v>
      </c>
      <c r="F464" s="43" t="s">
        <v>619</v>
      </c>
      <c r="G464" s="43" t="s">
        <v>3723</v>
      </c>
      <c r="H464" s="43" t="s">
        <v>735</v>
      </c>
      <c r="I464" s="43" t="s">
        <v>881</v>
      </c>
      <c r="J464" s="43" t="s">
        <v>1101</v>
      </c>
      <c r="K464" s="43"/>
      <c r="L464" s="43" t="s">
        <v>663</v>
      </c>
      <c r="M464" s="43" t="s">
        <v>664</v>
      </c>
      <c r="N464" s="43" t="s">
        <v>617</v>
      </c>
      <c r="O464" s="43" t="s">
        <v>626</v>
      </c>
      <c r="P464" s="43" t="s">
        <v>1228</v>
      </c>
      <c r="Q464" s="43" t="s">
        <v>3724</v>
      </c>
      <c r="R464" s="43" t="s">
        <v>3725</v>
      </c>
      <c r="S464" s="43" t="s">
        <v>893</v>
      </c>
      <c r="T464" s="43"/>
      <c r="U464" s="43"/>
      <c r="V464" s="43"/>
      <c r="W464" s="43"/>
      <c r="X464" s="43"/>
      <c r="Y464" s="43"/>
      <c r="Z464" s="43"/>
    </row>
    <row r="465" spans="1:26" ht="15.75" customHeight="1" x14ac:dyDescent="0.25">
      <c r="A465" s="43" t="s">
        <v>547</v>
      </c>
      <c r="B465" s="43" t="s">
        <v>3726</v>
      </c>
      <c r="C465" s="43" t="s">
        <v>3727</v>
      </c>
      <c r="D465" s="43" t="s">
        <v>617</v>
      </c>
      <c r="E465" s="43" t="s">
        <v>2015</v>
      </c>
      <c r="F465" s="43" t="s">
        <v>740</v>
      </c>
      <c r="G465" s="43" t="s">
        <v>3728</v>
      </c>
      <c r="H465" s="43" t="s">
        <v>1292</v>
      </c>
      <c r="I465" s="43" t="s">
        <v>3357</v>
      </c>
      <c r="J465" s="43" t="s">
        <v>1304</v>
      </c>
      <c r="K465" s="43"/>
      <c r="L465" s="43" t="s">
        <v>854</v>
      </c>
      <c r="M465" s="43" t="s">
        <v>855</v>
      </c>
      <c r="N465" s="43" t="s">
        <v>617</v>
      </c>
      <c r="O465" s="43" t="s">
        <v>626</v>
      </c>
      <c r="P465" s="43" t="s">
        <v>1388</v>
      </c>
      <c r="Q465" s="43" t="s">
        <v>3729</v>
      </c>
      <c r="R465" s="43" t="s">
        <v>3730</v>
      </c>
      <c r="S465" s="43" t="s">
        <v>893</v>
      </c>
      <c r="T465" s="43"/>
      <c r="U465" s="43"/>
      <c r="V465" s="43"/>
      <c r="W465" s="43"/>
      <c r="X465" s="43"/>
      <c r="Y465" s="43"/>
      <c r="Z465" s="43"/>
    </row>
    <row r="466" spans="1:26" ht="15.75" customHeight="1" x14ac:dyDescent="0.25">
      <c r="A466" s="43" t="s">
        <v>548</v>
      </c>
      <c r="B466" s="43" t="s">
        <v>3731</v>
      </c>
      <c r="C466" s="43" t="s">
        <v>3732</v>
      </c>
      <c r="D466" s="43" t="s">
        <v>617</v>
      </c>
      <c r="E466" s="43" t="s">
        <v>3733</v>
      </c>
      <c r="F466" s="43" t="s">
        <v>619</v>
      </c>
      <c r="G466" s="43" t="s">
        <v>3734</v>
      </c>
      <c r="H466" s="43" t="s">
        <v>735</v>
      </c>
      <c r="I466" s="43" t="s">
        <v>2291</v>
      </c>
      <c r="J466" s="43" t="s">
        <v>1304</v>
      </c>
      <c r="K466" s="43"/>
      <c r="L466" s="43" t="s">
        <v>644</v>
      </c>
      <c r="M466" s="43" t="s">
        <v>645</v>
      </c>
      <c r="N466" s="43" t="s">
        <v>617</v>
      </c>
      <c r="O466" s="43" t="s">
        <v>626</v>
      </c>
      <c r="P466" s="43" t="s">
        <v>1760</v>
      </c>
      <c r="Q466" s="43" t="s">
        <v>3735</v>
      </c>
      <c r="R466" s="43" t="s">
        <v>3735</v>
      </c>
      <c r="S466" s="43" t="s">
        <v>629</v>
      </c>
      <c r="T466" s="43"/>
      <c r="U466" s="43"/>
      <c r="V466" s="43"/>
      <c r="W466" s="43"/>
      <c r="X466" s="43"/>
      <c r="Y466" s="43"/>
      <c r="Z466" s="43"/>
    </row>
    <row r="467" spans="1:26" ht="15.75" customHeight="1" x14ac:dyDescent="0.25">
      <c r="A467" s="43" t="s">
        <v>549</v>
      </c>
      <c r="B467" s="43" t="s">
        <v>3736</v>
      </c>
      <c r="C467" s="43" t="s">
        <v>3737</v>
      </c>
      <c r="D467" s="43" t="s">
        <v>3138</v>
      </c>
      <c r="E467" s="43" t="s">
        <v>903</v>
      </c>
      <c r="F467" s="43" t="s">
        <v>740</v>
      </c>
      <c r="G467" s="43" t="s">
        <v>3738</v>
      </c>
      <c r="H467" s="43" t="s">
        <v>735</v>
      </c>
      <c r="I467" s="43" t="s">
        <v>2017</v>
      </c>
      <c r="J467" s="43" t="s">
        <v>86</v>
      </c>
      <c r="K467" s="43" t="s">
        <v>623</v>
      </c>
      <c r="L467" s="43" t="s">
        <v>672</v>
      </c>
      <c r="M467" s="43" t="s">
        <v>617</v>
      </c>
      <c r="N467" s="43" t="s">
        <v>617</v>
      </c>
      <c r="O467" s="43" t="s">
        <v>626</v>
      </c>
      <c r="P467" s="43" t="s">
        <v>3739</v>
      </c>
      <c r="Q467" s="43" t="s">
        <v>3740</v>
      </c>
      <c r="R467" s="43" t="s">
        <v>3740</v>
      </c>
      <c r="S467" s="43" t="s">
        <v>893</v>
      </c>
      <c r="T467" s="43"/>
      <c r="U467" s="43"/>
      <c r="V467" s="43"/>
      <c r="W467" s="43"/>
      <c r="X467" s="43"/>
      <c r="Y467" s="43"/>
      <c r="Z467" s="43"/>
    </row>
    <row r="468" spans="1:26" ht="15.75" customHeight="1" x14ac:dyDescent="0.25">
      <c r="A468" s="43" t="s">
        <v>550</v>
      </c>
      <c r="B468" s="43" t="s">
        <v>3741</v>
      </c>
      <c r="C468" s="43" t="s">
        <v>3742</v>
      </c>
      <c r="D468" s="43" t="s">
        <v>617</v>
      </c>
      <c r="E468" s="43" t="s">
        <v>3521</v>
      </c>
      <c r="F468" s="43" t="s">
        <v>740</v>
      </c>
      <c r="G468" s="43" t="s">
        <v>3743</v>
      </c>
      <c r="H468" s="43" t="s">
        <v>1292</v>
      </c>
      <c r="I468" s="43" t="s">
        <v>3744</v>
      </c>
      <c r="J468" s="43" t="s">
        <v>1304</v>
      </c>
      <c r="K468" s="43"/>
      <c r="L468" s="43" t="s">
        <v>1358</v>
      </c>
      <c r="M468" s="43" t="s">
        <v>855</v>
      </c>
      <c r="N468" s="43" t="s">
        <v>617</v>
      </c>
      <c r="O468" s="43" t="s">
        <v>626</v>
      </c>
      <c r="P468" s="43" t="s">
        <v>1388</v>
      </c>
      <c r="Q468" s="43" t="s">
        <v>3745</v>
      </c>
      <c r="R468" s="43" t="s">
        <v>3746</v>
      </c>
      <c r="S468" s="43" t="s">
        <v>893</v>
      </c>
      <c r="T468" s="43"/>
      <c r="U468" s="43"/>
      <c r="V468" s="43"/>
      <c r="W468" s="43"/>
      <c r="X468" s="43"/>
      <c r="Y468" s="43"/>
      <c r="Z468" s="43"/>
    </row>
    <row r="469" spans="1:26" ht="15.75" customHeight="1" x14ac:dyDescent="0.25">
      <c r="A469" s="43" t="s">
        <v>551</v>
      </c>
      <c r="B469" s="43" t="s">
        <v>3747</v>
      </c>
      <c r="C469" s="43" t="s">
        <v>3748</v>
      </c>
      <c r="D469" s="43" t="s">
        <v>617</v>
      </c>
      <c r="E469" s="43" t="s">
        <v>3749</v>
      </c>
      <c r="F469" s="43" t="s">
        <v>619</v>
      </c>
      <c r="G469" s="43" t="s">
        <v>3750</v>
      </c>
      <c r="H469" s="43" t="s">
        <v>1292</v>
      </c>
      <c r="I469" s="43" t="s">
        <v>3751</v>
      </c>
      <c r="J469" s="43" t="s">
        <v>1101</v>
      </c>
      <c r="K469" s="43"/>
      <c r="L469" s="43" t="s">
        <v>854</v>
      </c>
      <c r="M469" s="43" t="s">
        <v>855</v>
      </c>
      <c r="N469" s="43" t="s">
        <v>617</v>
      </c>
      <c r="O469" s="43" t="s">
        <v>626</v>
      </c>
      <c r="P469" s="43" t="s">
        <v>2429</v>
      </c>
      <c r="Q469" s="43" t="s">
        <v>3752</v>
      </c>
      <c r="R469" s="43" t="s">
        <v>3753</v>
      </c>
      <c r="S469" s="43" t="s">
        <v>648</v>
      </c>
      <c r="T469" s="43"/>
      <c r="U469" s="43"/>
      <c r="V469" s="43"/>
      <c r="W469" s="43"/>
      <c r="X469" s="43"/>
      <c r="Y469" s="43"/>
      <c r="Z469" s="43"/>
    </row>
    <row r="470" spans="1:26" ht="15.75" customHeight="1" x14ac:dyDescent="0.25">
      <c r="A470" s="43" t="s">
        <v>552</v>
      </c>
      <c r="B470" s="43" t="s">
        <v>3754</v>
      </c>
      <c r="C470" s="43" t="s">
        <v>3755</v>
      </c>
      <c r="D470" s="43" t="s">
        <v>617</v>
      </c>
      <c r="E470" s="43" t="s">
        <v>1281</v>
      </c>
      <c r="F470" s="43" t="s">
        <v>619</v>
      </c>
      <c r="G470" s="43" t="s">
        <v>3756</v>
      </c>
      <c r="H470" s="43" t="s">
        <v>653</v>
      </c>
      <c r="I470" s="43" t="s">
        <v>2869</v>
      </c>
      <c r="J470" s="43" t="s">
        <v>928</v>
      </c>
      <c r="K470" s="43"/>
      <c r="L470" s="43" t="s">
        <v>809</v>
      </c>
      <c r="M470" s="43" t="s">
        <v>744</v>
      </c>
      <c r="N470" s="43" t="s">
        <v>617</v>
      </c>
      <c r="O470" s="43" t="s">
        <v>626</v>
      </c>
      <c r="P470" s="43" t="s">
        <v>702</v>
      </c>
      <c r="Q470" s="43" t="s">
        <v>3757</v>
      </c>
      <c r="R470" s="43" t="s">
        <v>3758</v>
      </c>
      <c r="S470" s="43" t="s">
        <v>648</v>
      </c>
      <c r="T470" s="43"/>
      <c r="U470" s="43"/>
      <c r="V470" s="43"/>
      <c r="W470" s="43"/>
      <c r="X470" s="43"/>
      <c r="Y470" s="43"/>
      <c r="Z470" s="43"/>
    </row>
    <row r="471" spans="1:26" ht="15.75" customHeight="1" x14ac:dyDescent="0.25">
      <c r="A471" s="43" t="s">
        <v>553</v>
      </c>
      <c r="B471" s="43" t="s">
        <v>3759</v>
      </c>
      <c r="C471" s="43" t="s">
        <v>3760</v>
      </c>
      <c r="D471" s="43" t="s">
        <v>617</v>
      </c>
      <c r="E471" s="43" t="s">
        <v>3761</v>
      </c>
      <c r="F471" s="43" t="s">
        <v>619</v>
      </c>
      <c r="G471" s="43" t="s">
        <v>3762</v>
      </c>
      <c r="H471" s="43" t="s">
        <v>653</v>
      </c>
      <c r="I471" s="43" t="s">
        <v>3763</v>
      </c>
      <c r="J471" s="43" t="s">
        <v>1227</v>
      </c>
      <c r="K471" s="43"/>
      <c r="L471" s="43" t="s">
        <v>1794</v>
      </c>
      <c r="M471" s="43" t="s">
        <v>1794</v>
      </c>
      <c r="N471" s="43" t="s">
        <v>617</v>
      </c>
      <c r="O471" s="43" t="s">
        <v>626</v>
      </c>
      <c r="P471" s="43" t="s">
        <v>2010</v>
      </c>
      <c r="Q471" s="43" t="s">
        <v>3764</v>
      </c>
      <c r="R471" s="43" t="s">
        <v>3764</v>
      </c>
      <c r="S471" s="43" t="s">
        <v>730</v>
      </c>
      <c r="T471" s="43"/>
      <c r="U471" s="43"/>
      <c r="V471" s="43"/>
      <c r="W471" s="43"/>
      <c r="X471" s="43"/>
      <c r="Y471" s="43"/>
      <c r="Z471" s="43"/>
    </row>
    <row r="472" spans="1:26" ht="15.75" customHeight="1" x14ac:dyDescent="0.25">
      <c r="A472" s="43" t="s">
        <v>554</v>
      </c>
      <c r="B472" s="43" t="s">
        <v>3765</v>
      </c>
      <c r="C472" s="43" t="s">
        <v>3766</v>
      </c>
      <c r="D472" s="43" t="s">
        <v>617</v>
      </c>
      <c r="E472" s="43" t="s">
        <v>3767</v>
      </c>
      <c r="F472" s="43" t="s">
        <v>619</v>
      </c>
      <c r="G472" s="43" t="s">
        <v>3768</v>
      </c>
      <c r="H472" s="43" t="s">
        <v>653</v>
      </c>
      <c r="I472" s="43" t="s">
        <v>1110</v>
      </c>
      <c r="J472" s="43" t="s">
        <v>1101</v>
      </c>
      <c r="K472" s="43"/>
      <c r="L472" s="43" t="s">
        <v>743</v>
      </c>
      <c r="M472" s="43" t="s">
        <v>744</v>
      </c>
      <c r="N472" s="43" t="s">
        <v>617</v>
      </c>
      <c r="O472" s="43" t="s">
        <v>626</v>
      </c>
      <c r="P472" s="43" t="s">
        <v>1136</v>
      </c>
      <c r="Q472" s="43" t="s">
        <v>3769</v>
      </c>
      <c r="R472" s="43" t="s">
        <v>3770</v>
      </c>
      <c r="S472" s="43" t="s">
        <v>893</v>
      </c>
      <c r="T472" s="43"/>
      <c r="U472" s="43"/>
      <c r="V472" s="43"/>
      <c r="W472" s="43"/>
      <c r="X472" s="43"/>
      <c r="Y472" s="43"/>
      <c r="Z472" s="43"/>
    </row>
    <row r="473" spans="1:26" ht="15.75" customHeight="1" x14ac:dyDescent="0.25">
      <c r="A473" s="43" t="s">
        <v>555</v>
      </c>
      <c r="B473" s="43" t="s">
        <v>3771</v>
      </c>
      <c r="C473" s="43" t="s">
        <v>3772</v>
      </c>
      <c r="D473" s="43" t="s">
        <v>617</v>
      </c>
      <c r="E473" s="43" t="s">
        <v>3773</v>
      </c>
      <c r="F473" s="43" t="s">
        <v>619</v>
      </c>
      <c r="G473" s="43" t="s">
        <v>3774</v>
      </c>
      <c r="H473" s="43" t="s">
        <v>2738</v>
      </c>
      <c r="I473" s="43" t="s">
        <v>3775</v>
      </c>
      <c r="J473" s="43" t="s">
        <v>2989</v>
      </c>
      <c r="K473" s="43"/>
      <c r="L473" s="43" t="s">
        <v>680</v>
      </c>
      <c r="M473" s="43" t="s">
        <v>617</v>
      </c>
      <c r="N473" s="43" t="s">
        <v>617</v>
      </c>
      <c r="O473" s="43" t="s">
        <v>626</v>
      </c>
      <c r="P473" s="43" t="s">
        <v>3412</v>
      </c>
      <c r="Q473" s="43" t="s">
        <v>3776</v>
      </c>
      <c r="R473" s="43" t="s">
        <v>3777</v>
      </c>
      <c r="S473" s="43" t="s">
        <v>648</v>
      </c>
      <c r="T473" s="43"/>
      <c r="U473" s="43"/>
      <c r="V473" s="43"/>
      <c r="W473" s="43"/>
      <c r="X473" s="43"/>
      <c r="Y473" s="43"/>
      <c r="Z473" s="43"/>
    </row>
    <row r="474" spans="1:26" ht="15.75" customHeight="1" x14ac:dyDescent="0.25">
      <c r="A474" s="43" t="s">
        <v>556</v>
      </c>
      <c r="B474" s="43" t="s">
        <v>3778</v>
      </c>
      <c r="C474" s="43" t="s">
        <v>3779</v>
      </c>
      <c r="D474" s="43" t="s">
        <v>617</v>
      </c>
      <c r="E474" s="43" t="s">
        <v>3780</v>
      </c>
      <c r="F474" s="43" t="s">
        <v>619</v>
      </c>
      <c r="G474" s="43" t="s">
        <v>3781</v>
      </c>
      <c r="H474" s="43" t="s">
        <v>653</v>
      </c>
      <c r="I474" s="43" t="s">
        <v>3782</v>
      </c>
      <c r="J474" s="43" t="s">
        <v>2084</v>
      </c>
      <c r="K474" s="43"/>
      <c r="L474" s="43" t="s">
        <v>1220</v>
      </c>
      <c r="M474" s="43" t="s">
        <v>840</v>
      </c>
      <c r="N474" s="43" t="s">
        <v>617</v>
      </c>
      <c r="O474" s="43" t="s">
        <v>626</v>
      </c>
      <c r="P474" s="43" t="s">
        <v>1537</v>
      </c>
      <c r="Q474" s="43" t="s">
        <v>3783</v>
      </c>
      <c r="R474" s="43" t="s">
        <v>3784</v>
      </c>
      <c r="S474" s="43" t="s">
        <v>893</v>
      </c>
      <c r="T474" s="43"/>
      <c r="U474" s="43"/>
      <c r="V474" s="43"/>
      <c r="W474" s="43"/>
      <c r="X474" s="43"/>
      <c r="Y474" s="43"/>
      <c r="Z474" s="43"/>
    </row>
    <row r="475" spans="1:26" ht="15.75" customHeight="1" x14ac:dyDescent="0.25">
      <c r="A475" s="43" t="s">
        <v>557</v>
      </c>
      <c r="B475" s="43" t="s">
        <v>3785</v>
      </c>
      <c r="C475" s="43" t="s">
        <v>3786</v>
      </c>
      <c r="D475" s="43" t="s">
        <v>617</v>
      </c>
      <c r="E475" s="43" t="s">
        <v>3787</v>
      </c>
      <c r="F475" s="43" t="s">
        <v>619</v>
      </c>
      <c r="G475" s="43" t="s">
        <v>3788</v>
      </c>
      <c r="H475" s="43" t="s">
        <v>1292</v>
      </c>
      <c r="I475" s="43" t="s">
        <v>3789</v>
      </c>
      <c r="J475" s="43" t="s">
        <v>1227</v>
      </c>
      <c r="K475" s="43"/>
      <c r="L475" s="43" t="s">
        <v>2254</v>
      </c>
      <c r="M475" s="43" t="s">
        <v>1113</v>
      </c>
      <c r="N475" s="43" t="s">
        <v>617</v>
      </c>
      <c r="O475" s="43" t="s">
        <v>626</v>
      </c>
      <c r="P475" s="43" t="s">
        <v>906</v>
      </c>
      <c r="Q475" s="43" t="s">
        <v>3790</v>
      </c>
      <c r="R475" s="43" t="s">
        <v>3791</v>
      </c>
      <c r="S475" s="43" t="s">
        <v>893</v>
      </c>
      <c r="T475" s="43"/>
      <c r="U475" s="43"/>
      <c r="V475" s="43"/>
      <c r="W475" s="43"/>
      <c r="X475" s="43"/>
      <c r="Y475" s="43"/>
      <c r="Z475" s="43"/>
    </row>
    <row r="476" spans="1:26" ht="15.75" customHeight="1" x14ac:dyDescent="0.25">
      <c r="A476" s="43" t="s">
        <v>558</v>
      </c>
      <c r="B476" s="43" t="s">
        <v>3792</v>
      </c>
      <c r="C476" s="43" t="s">
        <v>3793</v>
      </c>
      <c r="D476" s="43" t="s">
        <v>617</v>
      </c>
      <c r="E476" s="43" t="s">
        <v>1590</v>
      </c>
      <c r="F476" s="43" t="s">
        <v>619</v>
      </c>
      <c r="G476" s="43" t="s">
        <v>3794</v>
      </c>
      <c r="H476" s="43" t="s">
        <v>1292</v>
      </c>
      <c r="I476" s="43" t="s">
        <v>3562</v>
      </c>
      <c r="J476" s="43" t="s">
        <v>1122</v>
      </c>
      <c r="K476" s="43"/>
      <c r="L476" s="43" t="s">
        <v>3562</v>
      </c>
      <c r="M476" s="43" t="s">
        <v>2127</v>
      </c>
      <c r="N476" s="43" t="s">
        <v>617</v>
      </c>
      <c r="O476" s="43" t="s">
        <v>626</v>
      </c>
      <c r="P476" s="43" t="s">
        <v>2374</v>
      </c>
      <c r="Q476" s="43" t="s">
        <v>3795</v>
      </c>
      <c r="R476" s="43" t="s">
        <v>3795</v>
      </c>
      <c r="S476" s="43" t="s">
        <v>629</v>
      </c>
      <c r="T476" s="43"/>
      <c r="U476" s="43"/>
      <c r="V476" s="43"/>
      <c r="W476" s="43"/>
      <c r="X476" s="43"/>
      <c r="Y476" s="43"/>
      <c r="Z476" s="43"/>
    </row>
    <row r="477" spans="1:26" ht="15.75" customHeight="1" x14ac:dyDescent="0.25">
      <c r="A477" s="43" t="s">
        <v>559</v>
      </c>
      <c r="B477" s="43" t="s">
        <v>3796</v>
      </c>
      <c r="C477" s="43" t="s">
        <v>3797</v>
      </c>
      <c r="D477" s="43" t="s">
        <v>617</v>
      </c>
      <c r="E477" s="43" t="s">
        <v>757</v>
      </c>
      <c r="F477" s="43" t="s">
        <v>619</v>
      </c>
      <c r="G477" s="43" t="s">
        <v>3798</v>
      </c>
      <c r="H477" s="43" t="s">
        <v>2513</v>
      </c>
      <c r="I477" s="43" t="s">
        <v>2869</v>
      </c>
      <c r="J477" s="43" t="s">
        <v>1122</v>
      </c>
      <c r="K477" s="43"/>
      <c r="L477" s="43" t="s">
        <v>809</v>
      </c>
      <c r="M477" s="43" t="s">
        <v>744</v>
      </c>
      <c r="N477" s="43" t="s">
        <v>617</v>
      </c>
      <c r="O477" s="43" t="s">
        <v>626</v>
      </c>
      <c r="P477" s="43" t="s">
        <v>3799</v>
      </c>
      <c r="Q477" s="43" t="s">
        <v>3800</v>
      </c>
      <c r="R477" s="43" t="s">
        <v>3800</v>
      </c>
      <c r="S477" s="43" t="s">
        <v>893</v>
      </c>
      <c r="T477" s="43"/>
      <c r="U477" s="43"/>
      <c r="V477" s="43"/>
      <c r="W477" s="43"/>
      <c r="X477" s="43"/>
      <c r="Y477" s="43"/>
      <c r="Z477" s="43"/>
    </row>
    <row r="478" spans="1:26" ht="15.75" customHeight="1" x14ac:dyDescent="0.25">
      <c r="A478" s="43" t="s">
        <v>560</v>
      </c>
      <c r="B478" s="43" t="s">
        <v>3801</v>
      </c>
      <c r="C478" s="43" t="s">
        <v>3802</v>
      </c>
      <c r="D478" s="43" t="s">
        <v>617</v>
      </c>
      <c r="E478" s="43" t="s">
        <v>3803</v>
      </c>
      <c r="F478" s="43" t="s">
        <v>619</v>
      </c>
      <c r="G478" s="43" t="s">
        <v>3804</v>
      </c>
      <c r="H478" s="43" t="s">
        <v>634</v>
      </c>
      <c r="I478" s="43" t="s">
        <v>3805</v>
      </c>
      <c r="J478" s="43" t="s">
        <v>1227</v>
      </c>
      <c r="K478" s="43"/>
      <c r="L478" s="43" t="s">
        <v>1186</v>
      </c>
      <c r="M478" s="43" t="s">
        <v>818</v>
      </c>
      <c r="N478" s="43" t="s">
        <v>617</v>
      </c>
      <c r="O478" s="43" t="s">
        <v>626</v>
      </c>
      <c r="P478" s="43" t="s">
        <v>819</v>
      </c>
      <c r="Q478" s="43" t="s">
        <v>3806</v>
      </c>
      <c r="R478" s="43" t="s">
        <v>3807</v>
      </c>
      <c r="S478" s="43" t="s">
        <v>648</v>
      </c>
      <c r="T478" s="43"/>
      <c r="U478" s="43"/>
      <c r="V478" s="43"/>
      <c r="W478" s="43"/>
      <c r="X478" s="43"/>
      <c r="Y478" s="43"/>
      <c r="Z478" s="43"/>
    </row>
    <row r="479" spans="1:26" ht="15.75" customHeight="1" x14ac:dyDescent="0.25">
      <c r="A479" s="43" t="s">
        <v>561</v>
      </c>
      <c r="B479" s="43" t="s">
        <v>3808</v>
      </c>
      <c r="C479" s="43" t="s">
        <v>3809</v>
      </c>
      <c r="D479" s="43" t="s">
        <v>617</v>
      </c>
      <c r="E479" s="43" t="s">
        <v>3810</v>
      </c>
      <c r="F479" s="43" t="s">
        <v>619</v>
      </c>
      <c r="G479" s="43" t="s">
        <v>3811</v>
      </c>
      <c r="H479" s="43" t="s">
        <v>653</v>
      </c>
      <c r="I479" s="43" t="s">
        <v>1759</v>
      </c>
      <c r="J479" s="43" t="s">
        <v>928</v>
      </c>
      <c r="K479" s="43"/>
      <c r="L479" s="43" t="s">
        <v>695</v>
      </c>
      <c r="M479" s="43" t="s">
        <v>664</v>
      </c>
      <c r="N479" s="43" t="s">
        <v>617</v>
      </c>
      <c r="O479" s="43" t="s">
        <v>626</v>
      </c>
      <c r="P479" s="43" t="s">
        <v>627</v>
      </c>
      <c r="Q479" s="43" t="s">
        <v>3812</v>
      </c>
      <c r="R479" s="43" t="s">
        <v>3812</v>
      </c>
      <c r="S479" s="43" t="s">
        <v>648</v>
      </c>
      <c r="T479" s="43"/>
      <c r="U479" s="43"/>
      <c r="V479" s="43"/>
      <c r="W479" s="43"/>
      <c r="X479" s="43"/>
      <c r="Y479" s="43"/>
      <c r="Z479" s="43"/>
    </row>
    <row r="480" spans="1:26" ht="15.75" customHeight="1" x14ac:dyDescent="0.25">
      <c r="A480" s="43" t="s">
        <v>562</v>
      </c>
      <c r="B480" s="43" t="s">
        <v>3813</v>
      </c>
      <c r="C480" s="43" t="s">
        <v>3814</v>
      </c>
      <c r="D480" s="43" t="s">
        <v>617</v>
      </c>
      <c r="E480" s="43" t="s">
        <v>692</v>
      </c>
      <c r="F480" s="43" t="s">
        <v>740</v>
      </c>
      <c r="G480" s="43" t="s">
        <v>3815</v>
      </c>
      <c r="H480" s="43" t="s">
        <v>735</v>
      </c>
      <c r="I480" s="43" t="s">
        <v>2065</v>
      </c>
      <c r="J480" s="43" t="s">
        <v>1122</v>
      </c>
      <c r="K480" s="43"/>
      <c r="L480" s="43" t="s">
        <v>644</v>
      </c>
      <c r="M480" s="43" t="s">
        <v>645</v>
      </c>
      <c r="N480" s="43" t="s">
        <v>617</v>
      </c>
      <c r="O480" s="43" t="s">
        <v>626</v>
      </c>
      <c r="P480" s="43" t="s">
        <v>688</v>
      </c>
      <c r="Q480" s="43" t="s">
        <v>3816</v>
      </c>
      <c r="R480" s="43" t="s">
        <v>3817</v>
      </c>
      <c r="S480" s="43" t="s">
        <v>893</v>
      </c>
      <c r="T480" s="43"/>
      <c r="U480" s="43"/>
      <c r="V480" s="43"/>
      <c r="W480" s="43"/>
      <c r="X480" s="43"/>
      <c r="Y480" s="43"/>
      <c r="Z480" s="43"/>
    </row>
    <row r="481" spans="1:26" ht="15.75" customHeight="1" x14ac:dyDescent="0.25">
      <c r="A481" s="43" t="s">
        <v>563</v>
      </c>
      <c r="B481" s="43" t="s">
        <v>3818</v>
      </c>
      <c r="C481" s="43" t="s">
        <v>3819</v>
      </c>
      <c r="D481" s="43" t="s">
        <v>617</v>
      </c>
      <c r="E481" s="43" t="s">
        <v>3820</v>
      </c>
      <c r="F481" s="43" t="s">
        <v>619</v>
      </c>
      <c r="G481" s="43" t="s">
        <v>3821</v>
      </c>
      <c r="H481" s="43" t="s">
        <v>653</v>
      </c>
      <c r="I481" s="43" t="s">
        <v>3822</v>
      </c>
      <c r="J481" s="43" t="s">
        <v>103</v>
      </c>
      <c r="K481" s="43"/>
      <c r="L481" s="43" t="s">
        <v>1412</v>
      </c>
      <c r="M481" s="43" t="s">
        <v>645</v>
      </c>
      <c r="N481" s="43" t="s">
        <v>617</v>
      </c>
      <c r="O481" s="43" t="s">
        <v>626</v>
      </c>
      <c r="P481" s="43" t="s">
        <v>646</v>
      </c>
      <c r="Q481" s="43" t="s">
        <v>3823</v>
      </c>
      <c r="R481" s="43" t="s">
        <v>3823</v>
      </c>
      <c r="S481" s="43" t="s">
        <v>629</v>
      </c>
      <c r="T481" s="43"/>
      <c r="U481" s="43"/>
      <c r="V481" s="43"/>
      <c r="W481" s="43"/>
      <c r="X481" s="43"/>
      <c r="Y481" s="43"/>
      <c r="Z481" s="43"/>
    </row>
    <row r="482" spans="1:26" ht="15.75" customHeight="1" x14ac:dyDescent="0.25">
      <c r="A482" s="43" t="s">
        <v>564</v>
      </c>
      <c r="B482" s="43" t="s">
        <v>3824</v>
      </c>
      <c r="C482" s="43" t="s">
        <v>3825</v>
      </c>
      <c r="D482" s="43" t="s">
        <v>617</v>
      </c>
      <c r="E482" s="43" t="s">
        <v>3826</v>
      </c>
      <c r="F482" s="43" t="s">
        <v>619</v>
      </c>
      <c r="G482" s="43" t="s">
        <v>3827</v>
      </c>
      <c r="H482" s="43" t="s">
        <v>1156</v>
      </c>
      <c r="I482" s="43" t="s">
        <v>3828</v>
      </c>
      <c r="J482" s="43" t="s">
        <v>1304</v>
      </c>
      <c r="K482" s="43" t="s">
        <v>135</v>
      </c>
      <c r="L482" s="43" t="s">
        <v>3829</v>
      </c>
      <c r="M482" s="43" t="s">
        <v>914</v>
      </c>
      <c r="N482" s="43" t="s">
        <v>617</v>
      </c>
      <c r="O482" s="43" t="s">
        <v>626</v>
      </c>
      <c r="P482" s="43" t="s">
        <v>3830</v>
      </c>
      <c r="Q482" s="43" t="s">
        <v>3831</v>
      </c>
      <c r="R482" s="43" t="s">
        <v>3831</v>
      </c>
      <c r="S482" s="43" t="s">
        <v>730</v>
      </c>
      <c r="T482" s="43"/>
      <c r="U482" s="43"/>
      <c r="V482" s="43"/>
      <c r="W482" s="43"/>
      <c r="X482" s="43"/>
      <c r="Y482" s="43"/>
      <c r="Z482" s="43"/>
    </row>
    <row r="483" spans="1:26" ht="15.75" customHeight="1" x14ac:dyDescent="0.25">
      <c r="A483" s="43" t="s">
        <v>565</v>
      </c>
      <c r="B483" s="43" t="s">
        <v>3832</v>
      </c>
      <c r="C483" s="43" t="s">
        <v>3833</v>
      </c>
      <c r="D483" s="43" t="s">
        <v>617</v>
      </c>
      <c r="E483" s="43" t="s">
        <v>3834</v>
      </c>
      <c r="F483" s="43" t="s">
        <v>619</v>
      </c>
      <c r="G483" s="43" t="s">
        <v>3835</v>
      </c>
      <c r="H483" s="43" t="s">
        <v>653</v>
      </c>
      <c r="I483" s="43" t="s">
        <v>868</v>
      </c>
      <c r="J483" s="43" t="s">
        <v>928</v>
      </c>
      <c r="K483" s="43" t="s">
        <v>1102</v>
      </c>
      <c r="L483" s="43" t="s">
        <v>743</v>
      </c>
      <c r="M483" s="43" t="s">
        <v>744</v>
      </c>
      <c r="N483" s="43" t="s">
        <v>617</v>
      </c>
      <c r="O483" s="43" t="s">
        <v>626</v>
      </c>
      <c r="P483" s="43" t="s">
        <v>1136</v>
      </c>
      <c r="Q483" s="43" t="s">
        <v>3836</v>
      </c>
      <c r="R483" s="43" t="s">
        <v>3837</v>
      </c>
      <c r="S483" s="43" t="s">
        <v>648</v>
      </c>
      <c r="T483" s="43"/>
      <c r="U483" s="43"/>
      <c r="V483" s="43"/>
      <c r="W483" s="43"/>
      <c r="X483" s="43"/>
      <c r="Y483" s="43"/>
      <c r="Z483" s="43"/>
    </row>
    <row r="484" spans="1:26" ht="15.75" customHeight="1" x14ac:dyDescent="0.25">
      <c r="A484" s="43" t="s">
        <v>566</v>
      </c>
      <c r="B484" s="43" t="s">
        <v>3838</v>
      </c>
      <c r="C484" s="43" t="s">
        <v>3839</v>
      </c>
      <c r="D484" s="43" t="s">
        <v>617</v>
      </c>
      <c r="E484" s="43" t="s">
        <v>3078</v>
      </c>
      <c r="F484" s="43" t="s">
        <v>619</v>
      </c>
      <c r="G484" s="43" t="s">
        <v>3840</v>
      </c>
      <c r="H484" s="43" t="s">
        <v>653</v>
      </c>
      <c r="I484" s="43" t="s">
        <v>3841</v>
      </c>
      <c r="J484" s="43" t="s">
        <v>84</v>
      </c>
      <c r="K484" s="43"/>
      <c r="L484" s="43" t="s">
        <v>793</v>
      </c>
      <c r="M484" s="43" t="s">
        <v>794</v>
      </c>
      <c r="N484" s="43" t="s">
        <v>617</v>
      </c>
      <c r="O484" s="43" t="s">
        <v>626</v>
      </c>
      <c r="P484" s="43" t="s">
        <v>982</v>
      </c>
      <c r="Q484" s="43" t="s">
        <v>3842</v>
      </c>
      <c r="R484" s="43" t="s">
        <v>3843</v>
      </c>
      <c r="S484" s="43" t="s">
        <v>629</v>
      </c>
      <c r="T484" s="43"/>
      <c r="U484" s="43"/>
      <c r="V484" s="43"/>
      <c r="W484" s="43"/>
      <c r="X484" s="43"/>
      <c r="Y484" s="43"/>
      <c r="Z484" s="43"/>
    </row>
    <row r="485" spans="1:26" ht="15.75" customHeight="1" x14ac:dyDescent="0.25">
      <c r="A485" s="43" t="s">
        <v>567</v>
      </c>
      <c r="B485" s="43" t="s">
        <v>3844</v>
      </c>
      <c r="C485" s="43" t="s">
        <v>4518</v>
      </c>
      <c r="D485" s="43" t="s">
        <v>617</v>
      </c>
      <c r="E485" s="43" t="s">
        <v>1348</v>
      </c>
      <c r="F485" s="43" t="s">
        <v>619</v>
      </c>
      <c r="G485" s="43" t="s">
        <v>3660</v>
      </c>
      <c r="H485" s="43" t="s">
        <v>653</v>
      </c>
      <c r="I485" s="43" t="s">
        <v>3828</v>
      </c>
      <c r="J485" s="43" t="s">
        <v>85</v>
      </c>
      <c r="K485" s="43"/>
      <c r="L485" s="43" t="s">
        <v>3829</v>
      </c>
      <c r="M485" s="43" t="s">
        <v>914</v>
      </c>
      <c r="N485" s="43" t="s">
        <v>617</v>
      </c>
      <c r="O485" s="43" t="s">
        <v>626</v>
      </c>
      <c r="P485" s="43" t="s">
        <v>891</v>
      </c>
      <c r="Q485" s="43" t="s">
        <v>3845</v>
      </c>
      <c r="R485" s="43" t="s">
        <v>3846</v>
      </c>
      <c r="S485" s="43" t="s">
        <v>730</v>
      </c>
      <c r="T485" s="43"/>
      <c r="U485" s="43"/>
      <c r="V485" s="43"/>
      <c r="W485" s="43"/>
      <c r="X485" s="43"/>
      <c r="Y485" s="43"/>
      <c r="Z485" s="43"/>
    </row>
    <row r="486" spans="1:26" ht="15.75" customHeight="1" x14ac:dyDescent="0.25">
      <c r="A486" s="43" t="s">
        <v>568</v>
      </c>
      <c r="B486" s="43" t="s">
        <v>3847</v>
      </c>
      <c r="C486" s="43" t="s">
        <v>3848</v>
      </c>
      <c r="D486" s="43" t="s">
        <v>617</v>
      </c>
      <c r="E486" s="43" t="s">
        <v>1409</v>
      </c>
      <c r="F486" s="43" t="s">
        <v>619</v>
      </c>
      <c r="G486" s="43" t="s">
        <v>3849</v>
      </c>
      <c r="H486" s="43" t="s">
        <v>653</v>
      </c>
      <c r="I486" s="43" t="s">
        <v>3850</v>
      </c>
      <c r="J486" s="43" t="s">
        <v>84</v>
      </c>
      <c r="K486" s="43"/>
      <c r="L486" s="43" t="s">
        <v>3851</v>
      </c>
      <c r="M486" s="43" t="s">
        <v>914</v>
      </c>
      <c r="N486" s="43" t="s">
        <v>617</v>
      </c>
      <c r="O486" s="43" t="s">
        <v>626</v>
      </c>
      <c r="P486" s="43" t="s">
        <v>891</v>
      </c>
      <c r="Q486" s="43" t="s">
        <v>3852</v>
      </c>
      <c r="R486" s="43" t="s">
        <v>3853</v>
      </c>
      <c r="S486" s="43" t="s">
        <v>730</v>
      </c>
      <c r="T486" s="43"/>
      <c r="U486" s="43"/>
      <c r="V486" s="43"/>
      <c r="W486" s="43"/>
      <c r="X486" s="43"/>
      <c r="Y486" s="43"/>
      <c r="Z486" s="43"/>
    </row>
    <row r="487" spans="1:26" ht="15.75" customHeight="1" x14ac:dyDescent="0.25">
      <c r="A487" s="43" t="s">
        <v>569</v>
      </c>
      <c r="B487" s="43" t="s">
        <v>3854</v>
      </c>
      <c r="C487" s="43" t="s">
        <v>3855</v>
      </c>
      <c r="D487" s="43" t="s">
        <v>617</v>
      </c>
      <c r="E487" s="43" t="s">
        <v>3856</v>
      </c>
      <c r="F487" s="43" t="s">
        <v>740</v>
      </c>
      <c r="G487" s="43" t="s">
        <v>3857</v>
      </c>
      <c r="H487" s="43" t="s">
        <v>653</v>
      </c>
      <c r="I487" s="43" t="s">
        <v>3858</v>
      </c>
      <c r="J487" s="43" t="s">
        <v>1625</v>
      </c>
      <c r="K487" s="43" t="s">
        <v>1397</v>
      </c>
      <c r="L487" s="43" t="s">
        <v>760</v>
      </c>
      <c r="M487" s="43" t="s">
        <v>664</v>
      </c>
      <c r="N487" s="43" t="s">
        <v>617</v>
      </c>
      <c r="O487" s="43" t="s">
        <v>626</v>
      </c>
      <c r="P487" s="43" t="s">
        <v>1228</v>
      </c>
      <c r="Q487" s="43" t="s">
        <v>3859</v>
      </c>
      <c r="R487" s="43" t="s">
        <v>3860</v>
      </c>
      <c r="S487" s="43" t="s">
        <v>893</v>
      </c>
      <c r="T487" s="43"/>
      <c r="U487" s="43"/>
      <c r="V487" s="43"/>
      <c r="W487" s="43"/>
      <c r="X487" s="43"/>
      <c r="Y487" s="43"/>
      <c r="Z487" s="43"/>
    </row>
    <row r="488" spans="1:26" ht="15.75" customHeight="1" x14ac:dyDescent="0.25">
      <c r="A488" s="43" t="s">
        <v>570</v>
      </c>
      <c r="B488" s="43" t="s">
        <v>3861</v>
      </c>
      <c r="C488" s="43" t="s">
        <v>3862</v>
      </c>
      <c r="D488" s="43" t="s">
        <v>617</v>
      </c>
      <c r="E488" s="43" t="s">
        <v>1670</v>
      </c>
      <c r="F488" s="43" t="s">
        <v>740</v>
      </c>
      <c r="G488" s="43" t="s">
        <v>3863</v>
      </c>
      <c r="H488" s="43" t="s">
        <v>3864</v>
      </c>
      <c r="I488" s="43" t="s">
        <v>3865</v>
      </c>
      <c r="J488" s="43" t="s">
        <v>1101</v>
      </c>
      <c r="K488" s="43"/>
      <c r="L488" s="43" t="s">
        <v>1380</v>
      </c>
      <c r="M488" s="43" t="s">
        <v>645</v>
      </c>
      <c r="N488" s="43" t="s">
        <v>617</v>
      </c>
      <c r="O488" s="43" t="s">
        <v>626</v>
      </c>
      <c r="P488" s="43" t="s">
        <v>899</v>
      </c>
      <c r="Q488" s="43" t="s">
        <v>3866</v>
      </c>
      <c r="R488" s="43" t="s">
        <v>3867</v>
      </c>
      <c r="S488" s="43" t="s">
        <v>893</v>
      </c>
      <c r="T488" s="43"/>
      <c r="U488" s="43"/>
      <c r="V488" s="43"/>
      <c r="W488" s="43"/>
      <c r="X488" s="43"/>
      <c r="Y488" s="43"/>
      <c r="Z488" s="43"/>
    </row>
    <row r="489" spans="1:26" ht="15.75" customHeight="1" x14ac:dyDescent="0.25">
      <c r="A489" s="43" t="s">
        <v>571</v>
      </c>
      <c r="B489" s="43" t="s">
        <v>3868</v>
      </c>
      <c r="C489" s="43" t="s">
        <v>3869</v>
      </c>
      <c r="D489" s="43" t="s">
        <v>3870</v>
      </c>
      <c r="E489" s="43" t="s">
        <v>3871</v>
      </c>
      <c r="F489" s="43" t="s">
        <v>619</v>
      </c>
      <c r="G489" s="43" t="s">
        <v>3872</v>
      </c>
      <c r="H489" s="43" t="s">
        <v>1292</v>
      </c>
      <c r="I489" s="43" t="s">
        <v>3147</v>
      </c>
      <c r="J489" s="43" t="s">
        <v>87</v>
      </c>
      <c r="K489" s="43"/>
      <c r="L489" s="43" t="s">
        <v>728</v>
      </c>
      <c r="M489" s="43" t="s">
        <v>617</v>
      </c>
      <c r="N489" s="43" t="s">
        <v>617</v>
      </c>
      <c r="O489" s="43" t="s">
        <v>626</v>
      </c>
      <c r="P489" s="43" t="s">
        <v>656</v>
      </c>
      <c r="Q489" s="43" t="s">
        <v>3873</v>
      </c>
      <c r="R489" s="43" t="s">
        <v>3874</v>
      </c>
      <c r="S489" s="43" t="s">
        <v>648</v>
      </c>
      <c r="T489" s="43"/>
      <c r="U489" s="43"/>
      <c r="V489" s="43"/>
      <c r="W489" s="43"/>
      <c r="X489" s="43"/>
      <c r="Y489" s="43"/>
      <c r="Z489" s="43"/>
    </row>
    <row r="490" spans="1:26" ht="15.75" customHeight="1" x14ac:dyDescent="0.25">
      <c r="A490" s="43" t="s">
        <v>572</v>
      </c>
      <c r="B490" s="43" t="s">
        <v>3875</v>
      </c>
      <c r="C490" s="43" t="s">
        <v>3876</v>
      </c>
      <c r="D490" s="43" t="s">
        <v>617</v>
      </c>
      <c r="E490" s="43" t="s">
        <v>3856</v>
      </c>
      <c r="F490" s="43" t="s">
        <v>619</v>
      </c>
      <c r="G490" s="43" t="s">
        <v>3877</v>
      </c>
      <c r="H490" s="43" t="s">
        <v>2683</v>
      </c>
      <c r="I490" s="43" t="s">
        <v>1792</v>
      </c>
      <c r="J490" s="43" t="s">
        <v>1111</v>
      </c>
      <c r="K490" s="43" t="s">
        <v>1102</v>
      </c>
      <c r="L490" s="43" t="s">
        <v>1793</v>
      </c>
      <c r="M490" s="43" t="s">
        <v>1794</v>
      </c>
      <c r="N490" s="43" t="s">
        <v>617</v>
      </c>
      <c r="O490" s="43" t="s">
        <v>626</v>
      </c>
      <c r="P490" s="43" t="s">
        <v>1818</v>
      </c>
      <c r="Q490" s="43" t="s">
        <v>3878</v>
      </c>
      <c r="R490" s="43" t="s">
        <v>3878</v>
      </c>
      <c r="S490" s="43" t="s">
        <v>1271</v>
      </c>
      <c r="T490" s="43"/>
      <c r="U490" s="43"/>
      <c r="V490" s="43"/>
      <c r="W490" s="43"/>
      <c r="X490" s="43"/>
      <c r="Y490" s="43"/>
      <c r="Z490" s="43"/>
    </row>
    <row r="491" spans="1:26" ht="15.75" customHeight="1" x14ac:dyDescent="0.25">
      <c r="A491" s="43" t="s">
        <v>573</v>
      </c>
      <c r="B491" s="43" t="s">
        <v>3879</v>
      </c>
      <c r="C491" s="43" t="s">
        <v>3880</v>
      </c>
      <c r="D491" s="43" t="s">
        <v>617</v>
      </c>
      <c r="E491" s="43" t="s">
        <v>1970</v>
      </c>
      <c r="F491" s="43" t="s">
        <v>619</v>
      </c>
      <c r="G491" s="43" t="s">
        <v>3881</v>
      </c>
      <c r="H491" s="43" t="s">
        <v>653</v>
      </c>
      <c r="I491" s="43" t="s">
        <v>3882</v>
      </c>
      <c r="J491" s="43" t="s">
        <v>2066</v>
      </c>
      <c r="K491" s="43"/>
      <c r="L491" s="43" t="s">
        <v>617</v>
      </c>
      <c r="M491" s="43" t="s">
        <v>617</v>
      </c>
      <c r="N491" s="43" t="s">
        <v>617</v>
      </c>
      <c r="O491" s="43" t="s">
        <v>626</v>
      </c>
      <c r="P491" s="43" t="s">
        <v>1268</v>
      </c>
      <c r="Q491" s="43" t="s">
        <v>3883</v>
      </c>
      <c r="R491" s="43" t="s">
        <v>3884</v>
      </c>
      <c r="S491" s="43" t="s">
        <v>629</v>
      </c>
      <c r="T491" s="43"/>
      <c r="U491" s="43"/>
      <c r="V491" s="43"/>
      <c r="W491" s="43"/>
      <c r="X491" s="43"/>
      <c r="Y491" s="43"/>
      <c r="Z491" s="43"/>
    </row>
    <row r="492" spans="1:26" ht="15.75" customHeight="1" x14ac:dyDescent="0.25">
      <c r="A492" s="43" t="s">
        <v>574</v>
      </c>
      <c r="B492" s="43" t="s">
        <v>3885</v>
      </c>
      <c r="C492" s="43" t="s">
        <v>3886</v>
      </c>
      <c r="D492" s="43" t="s">
        <v>962</v>
      </c>
      <c r="E492" s="43" t="s">
        <v>1038</v>
      </c>
      <c r="F492" s="43" t="s">
        <v>619</v>
      </c>
      <c r="G492" s="43" t="s">
        <v>3887</v>
      </c>
      <c r="H492" s="43" t="s">
        <v>888</v>
      </c>
      <c r="I492" s="43" t="s">
        <v>2298</v>
      </c>
      <c r="J492" s="43" t="s">
        <v>1605</v>
      </c>
      <c r="K492" s="43"/>
      <c r="L492" s="43" t="s">
        <v>854</v>
      </c>
      <c r="M492" s="43" t="s">
        <v>855</v>
      </c>
      <c r="N492" s="43" t="s">
        <v>617</v>
      </c>
      <c r="O492" s="43" t="s">
        <v>626</v>
      </c>
      <c r="P492" s="43" t="s">
        <v>1268</v>
      </c>
      <c r="Q492" s="43" t="s">
        <v>3888</v>
      </c>
      <c r="R492" s="43" t="s">
        <v>3889</v>
      </c>
      <c r="S492" s="43" t="s">
        <v>730</v>
      </c>
      <c r="T492" s="43"/>
      <c r="U492" s="43"/>
      <c r="V492" s="43"/>
      <c r="W492" s="43"/>
      <c r="X492" s="43"/>
      <c r="Y492" s="43"/>
      <c r="Z492" s="43"/>
    </row>
    <row r="493" spans="1:26" ht="15.75" customHeight="1" x14ac:dyDescent="0.25">
      <c r="A493" s="43" t="s">
        <v>575</v>
      </c>
      <c r="B493" s="43" t="s">
        <v>3890</v>
      </c>
      <c r="C493" s="43" t="s">
        <v>3891</v>
      </c>
      <c r="D493" s="43" t="s">
        <v>962</v>
      </c>
      <c r="E493" s="43" t="s">
        <v>2461</v>
      </c>
      <c r="F493" s="43" t="s">
        <v>619</v>
      </c>
      <c r="G493" s="43" t="s">
        <v>3892</v>
      </c>
      <c r="H493" s="43" t="s">
        <v>888</v>
      </c>
      <c r="I493" s="43" t="s">
        <v>3893</v>
      </c>
      <c r="J493" s="43" t="s">
        <v>89</v>
      </c>
      <c r="K493" s="43" t="s">
        <v>623</v>
      </c>
      <c r="L493" s="43" t="s">
        <v>1380</v>
      </c>
      <c r="M493" s="43" t="s">
        <v>645</v>
      </c>
      <c r="N493" s="43" t="s">
        <v>617</v>
      </c>
      <c r="O493" s="43" t="s">
        <v>626</v>
      </c>
      <c r="P493" s="43" t="s">
        <v>2224</v>
      </c>
      <c r="Q493" s="43" t="s">
        <v>3894</v>
      </c>
      <c r="R493" s="43" t="s">
        <v>3895</v>
      </c>
      <c r="S493" s="43" t="s">
        <v>629</v>
      </c>
      <c r="T493" s="43"/>
      <c r="U493" s="43"/>
      <c r="V493" s="43"/>
      <c r="W493" s="43"/>
      <c r="X493" s="43"/>
      <c r="Y493" s="43"/>
      <c r="Z493" s="43"/>
    </row>
    <row r="494" spans="1:26" ht="15.75" customHeight="1" x14ac:dyDescent="0.25">
      <c r="A494" s="43" t="s">
        <v>576</v>
      </c>
      <c r="B494" s="43" t="s">
        <v>3896</v>
      </c>
      <c r="C494" s="43" t="s">
        <v>3897</v>
      </c>
      <c r="D494" s="43" t="s">
        <v>617</v>
      </c>
      <c r="E494" s="43" t="s">
        <v>3803</v>
      </c>
      <c r="F494" s="43" t="s">
        <v>619</v>
      </c>
      <c r="G494" s="43" t="s">
        <v>3898</v>
      </c>
      <c r="H494" s="43" t="s">
        <v>653</v>
      </c>
      <c r="I494" s="43" t="s">
        <v>3899</v>
      </c>
      <c r="J494" s="43" t="s">
        <v>1605</v>
      </c>
      <c r="K494" s="43"/>
      <c r="L494" s="43" t="s">
        <v>3829</v>
      </c>
      <c r="M494" s="43" t="s">
        <v>914</v>
      </c>
      <c r="N494" s="43" t="s">
        <v>617</v>
      </c>
      <c r="O494" s="43" t="s">
        <v>626</v>
      </c>
      <c r="P494" s="43" t="s">
        <v>891</v>
      </c>
      <c r="Q494" s="43" t="s">
        <v>3900</v>
      </c>
      <c r="R494" s="43" t="s">
        <v>3901</v>
      </c>
      <c r="S494" s="43" t="s">
        <v>629</v>
      </c>
      <c r="T494" s="43"/>
      <c r="U494" s="43"/>
      <c r="V494" s="43"/>
      <c r="W494" s="43"/>
      <c r="X494" s="43"/>
      <c r="Y494" s="43"/>
      <c r="Z494" s="43"/>
    </row>
    <row r="495" spans="1:26" ht="15.75" customHeight="1" x14ac:dyDescent="0.25">
      <c r="A495" s="43" t="s">
        <v>577</v>
      </c>
      <c r="B495" s="43" t="s">
        <v>3902</v>
      </c>
      <c r="C495" s="43" t="s">
        <v>3903</v>
      </c>
      <c r="D495" s="43" t="s">
        <v>828</v>
      </c>
      <c r="E495" s="43" t="s">
        <v>1440</v>
      </c>
      <c r="F495" s="43" t="s">
        <v>619</v>
      </c>
      <c r="G495" s="43" t="s">
        <v>3904</v>
      </c>
      <c r="H495" s="43" t="s">
        <v>2683</v>
      </c>
      <c r="I495" s="43" t="s">
        <v>3905</v>
      </c>
      <c r="J495" s="43" t="s">
        <v>84</v>
      </c>
      <c r="K495" s="43"/>
      <c r="L495" s="43" t="s">
        <v>2317</v>
      </c>
      <c r="M495" s="43" t="s">
        <v>2318</v>
      </c>
      <c r="N495" s="43" t="s">
        <v>828</v>
      </c>
      <c r="O495" s="43" t="s">
        <v>626</v>
      </c>
      <c r="P495" s="43" t="s">
        <v>3906</v>
      </c>
      <c r="Q495" s="43" t="s">
        <v>3907</v>
      </c>
      <c r="R495" s="43" t="s">
        <v>3908</v>
      </c>
      <c r="S495" s="43" t="s">
        <v>648</v>
      </c>
      <c r="T495" s="43"/>
      <c r="U495" s="43"/>
      <c r="V495" s="43"/>
      <c r="W495" s="43"/>
      <c r="X495" s="43"/>
      <c r="Y495" s="43"/>
      <c r="Z495" s="43"/>
    </row>
    <row r="496" spans="1:26" ht="15.75" customHeight="1" x14ac:dyDescent="0.25">
      <c r="A496" s="43" t="s">
        <v>578</v>
      </c>
      <c r="B496" s="43" t="s">
        <v>3909</v>
      </c>
      <c r="C496" s="43" t="s">
        <v>3910</v>
      </c>
      <c r="D496" s="43" t="s">
        <v>617</v>
      </c>
      <c r="E496" s="43" t="s">
        <v>3911</v>
      </c>
      <c r="F496" s="43" t="s">
        <v>619</v>
      </c>
      <c r="G496" s="43" t="s">
        <v>3912</v>
      </c>
      <c r="H496" s="43" t="s">
        <v>621</v>
      </c>
      <c r="I496" s="43" t="s">
        <v>2749</v>
      </c>
      <c r="J496" s="43" t="s">
        <v>928</v>
      </c>
      <c r="K496" s="43" t="s">
        <v>1123</v>
      </c>
      <c r="L496" s="43" t="s">
        <v>1220</v>
      </c>
      <c r="M496" s="43" t="s">
        <v>840</v>
      </c>
      <c r="N496" s="43" t="s">
        <v>617</v>
      </c>
      <c r="O496" s="43" t="s">
        <v>626</v>
      </c>
      <c r="P496" s="43" t="s">
        <v>1537</v>
      </c>
      <c r="Q496" s="43" t="s">
        <v>3913</v>
      </c>
      <c r="R496" s="43" t="s">
        <v>3914</v>
      </c>
      <c r="S496" s="43" t="s">
        <v>648</v>
      </c>
      <c r="T496" s="43"/>
      <c r="U496" s="43"/>
      <c r="V496" s="43"/>
      <c r="W496" s="43"/>
      <c r="X496" s="43"/>
      <c r="Y496" s="43"/>
      <c r="Z496" s="43"/>
    </row>
    <row r="497" spans="1:26" ht="15.75" customHeight="1" x14ac:dyDescent="0.25">
      <c r="A497" s="43" t="s">
        <v>579</v>
      </c>
      <c r="B497" s="43" t="s">
        <v>3915</v>
      </c>
      <c r="C497" s="43" t="s">
        <v>3916</v>
      </c>
      <c r="D497" s="43" t="s">
        <v>617</v>
      </c>
      <c r="E497" s="43" t="s">
        <v>3917</v>
      </c>
      <c r="F497" s="43" t="s">
        <v>619</v>
      </c>
      <c r="G497" s="43" t="s">
        <v>3918</v>
      </c>
      <c r="H497" s="43" t="s">
        <v>653</v>
      </c>
      <c r="I497" s="43" t="s">
        <v>3919</v>
      </c>
      <c r="J497" s="43" t="s">
        <v>86</v>
      </c>
      <c r="K497" s="43" t="s">
        <v>623</v>
      </c>
      <c r="L497" s="43" t="s">
        <v>663</v>
      </c>
      <c r="M497" s="43" t="s">
        <v>664</v>
      </c>
      <c r="N497" s="43" t="s">
        <v>617</v>
      </c>
      <c r="O497" s="43" t="s">
        <v>626</v>
      </c>
      <c r="P497" s="43" t="s">
        <v>1878</v>
      </c>
      <c r="Q497" s="43" t="s">
        <v>3920</v>
      </c>
      <c r="R497" s="43" t="s">
        <v>3921</v>
      </c>
      <c r="S497" s="43" t="s">
        <v>730</v>
      </c>
      <c r="T497" s="43"/>
      <c r="U497" s="43"/>
      <c r="V497" s="43"/>
      <c r="W497" s="43"/>
      <c r="X497" s="43"/>
      <c r="Y497" s="43"/>
      <c r="Z497" s="43"/>
    </row>
    <row r="498" spans="1:26" ht="15.75" customHeight="1" x14ac:dyDescent="0.25">
      <c r="A498" s="43" t="s">
        <v>580</v>
      </c>
      <c r="B498" s="43" t="s">
        <v>3922</v>
      </c>
      <c r="C498" s="43" t="s">
        <v>3923</v>
      </c>
      <c r="D498" s="43" t="s">
        <v>617</v>
      </c>
      <c r="E498" s="43" t="s">
        <v>3924</v>
      </c>
      <c r="F498" s="43" t="s">
        <v>619</v>
      </c>
      <c r="G498" s="43" t="s">
        <v>3925</v>
      </c>
      <c r="H498" s="43" t="s">
        <v>653</v>
      </c>
      <c r="I498" s="43" t="s">
        <v>3344</v>
      </c>
      <c r="J498" s="43" t="s">
        <v>84</v>
      </c>
      <c r="K498" s="43" t="s">
        <v>623</v>
      </c>
      <c r="L498" s="43" t="s">
        <v>966</v>
      </c>
      <c r="M498" s="43" t="s">
        <v>645</v>
      </c>
      <c r="N498" s="43" t="s">
        <v>617</v>
      </c>
      <c r="O498" s="43" t="s">
        <v>626</v>
      </c>
      <c r="P498" s="43" t="s">
        <v>1938</v>
      </c>
      <c r="Q498" s="43" t="s">
        <v>3926</v>
      </c>
      <c r="R498" s="43" t="s">
        <v>3926</v>
      </c>
      <c r="S498" s="43" t="s">
        <v>629</v>
      </c>
      <c r="T498" s="43"/>
      <c r="U498" s="43"/>
      <c r="V498" s="43"/>
      <c r="W498" s="43"/>
      <c r="X498" s="43"/>
      <c r="Y498" s="43"/>
      <c r="Z498" s="43"/>
    </row>
    <row r="499" spans="1:26" ht="15.75" customHeight="1" x14ac:dyDescent="0.25">
      <c r="A499" s="43" t="s">
        <v>581</v>
      </c>
      <c r="B499" s="43" t="s">
        <v>3927</v>
      </c>
      <c r="C499" s="43" t="s">
        <v>3928</v>
      </c>
      <c r="D499" s="43" t="s">
        <v>617</v>
      </c>
      <c r="E499" s="43" t="s">
        <v>3269</v>
      </c>
      <c r="F499" s="43" t="s">
        <v>619</v>
      </c>
      <c r="G499" s="43" t="s">
        <v>3929</v>
      </c>
      <c r="H499" s="43" t="s">
        <v>653</v>
      </c>
      <c r="I499" s="43" t="s">
        <v>935</v>
      </c>
      <c r="J499" s="43" t="s">
        <v>85</v>
      </c>
      <c r="K499" s="43" t="s">
        <v>623</v>
      </c>
      <c r="L499" s="43" t="s">
        <v>680</v>
      </c>
      <c r="M499" s="43" t="s">
        <v>617</v>
      </c>
      <c r="N499" s="43" t="s">
        <v>617</v>
      </c>
      <c r="O499" s="43" t="s">
        <v>626</v>
      </c>
      <c r="P499" s="43" t="s">
        <v>656</v>
      </c>
      <c r="Q499" s="43" t="s">
        <v>3930</v>
      </c>
      <c r="R499" s="43" t="s">
        <v>3931</v>
      </c>
      <c r="S499" s="43" t="s">
        <v>893</v>
      </c>
      <c r="T499" s="43"/>
      <c r="U499" s="43"/>
      <c r="V499" s="43"/>
      <c r="W499" s="43"/>
      <c r="X499" s="43"/>
      <c r="Y499" s="43"/>
      <c r="Z499" s="43"/>
    </row>
    <row r="500" spans="1:26" ht="15.75" customHeight="1" x14ac:dyDescent="0.25">
      <c r="A500" s="43" t="s">
        <v>582</v>
      </c>
      <c r="B500" s="43" t="s">
        <v>3932</v>
      </c>
      <c r="C500" s="43" t="s">
        <v>3933</v>
      </c>
      <c r="D500" s="43" t="s">
        <v>617</v>
      </c>
      <c r="E500" s="43" t="s">
        <v>3934</v>
      </c>
      <c r="F500" s="43" t="s">
        <v>619</v>
      </c>
      <c r="G500" s="43" t="s">
        <v>3935</v>
      </c>
      <c r="H500" s="43" t="s">
        <v>653</v>
      </c>
      <c r="I500" s="43" t="s">
        <v>3171</v>
      </c>
      <c r="J500" s="43" t="s">
        <v>89</v>
      </c>
      <c r="K500" s="43" t="s">
        <v>623</v>
      </c>
      <c r="L500" s="43" t="s">
        <v>2373</v>
      </c>
      <c r="M500" s="43" t="s">
        <v>1794</v>
      </c>
      <c r="N500" s="43" t="s">
        <v>617</v>
      </c>
      <c r="O500" s="43" t="s">
        <v>626</v>
      </c>
      <c r="P500" s="43" t="s">
        <v>1818</v>
      </c>
      <c r="Q500" s="43" t="s">
        <v>3936</v>
      </c>
      <c r="R500" s="43" t="s">
        <v>3937</v>
      </c>
      <c r="S500" s="43" t="s">
        <v>648</v>
      </c>
      <c r="T500" s="43"/>
      <c r="U500" s="43"/>
      <c r="V500" s="43"/>
      <c r="W500" s="43"/>
      <c r="X500" s="43"/>
      <c r="Y500" s="43"/>
      <c r="Z500" s="43"/>
    </row>
    <row r="501" spans="1:26" ht="15.75" customHeight="1" x14ac:dyDescent="0.25">
      <c r="A501" s="43" t="s">
        <v>583</v>
      </c>
      <c r="B501" s="43" t="s">
        <v>3938</v>
      </c>
      <c r="C501" s="43" t="s">
        <v>3939</v>
      </c>
      <c r="D501" s="43" t="s">
        <v>617</v>
      </c>
      <c r="E501" s="43" t="s">
        <v>1857</v>
      </c>
      <c r="F501" s="43" t="s">
        <v>619</v>
      </c>
      <c r="G501" s="43" t="s">
        <v>3940</v>
      </c>
      <c r="H501" s="43" t="s">
        <v>888</v>
      </c>
      <c r="I501" s="43" t="s">
        <v>3941</v>
      </c>
      <c r="J501" s="43" t="s">
        <v>178</v>
      </c>
      <c r="K501" s="43" t="s">
        <v>623</v>
      </c>
      <c r="L501" s="43" t="s">
        <v>3942</v>
      </c>
      <c r="M501" s="43" t="s">
        <v>3943</v>
      </c>
      <c r="N501" s="43" t="s">
        <v>617</v>
      </c>
      <c r="O501" s="43" t="s">
        <v>626</v>
      </c>
      <c r="P501" s="43" t="s">
        <v>3944</v>
      </c>
      <c r="Q501" s="43" t="s">
        <v>3945</v>
      </c>
      <c r="R501" s="43" t="s">
        <v>3946</v>
      </c>
      <c r="S501" s="43" t="s">
        <v>648</v>
      </c>
      <c r="T501" s="43"/>
      <c r="U501" s="43"/>
      <c r="V501" s="43"/>
      <c r="W501" s="43"/>
      <c r="X501" s="43"/>
      <c r="Y501" s="43"/>
      <c r="Z501" s="43"/>
    </row>
    <row r="502" spans="1:26" ht="15.75" customHeight="1" x14ac:dyDescent="0.25">
      <c r="A502" s="43" t="s">
        <v>584</v>
      </c>
      <c r="B502" s="43" t="s">
        <v>3947</v>
      </c>
      <c r="C502" s="43" t="s">
        <v>3948</v>
      </c>
      <c r="D502" s="43" t="s">
        <v>617</v>
      </c>
      <c r="E502" s="43" t="s">
        <v>3057</v>
      </c>
      <c r="F502" s="43" t="s">
        <v>619</v>
      </c>
      <c r="G502" s="43" t="s">
        <v>3949</v>
      </c>
      <c r="H502" s="43" t="s">
        <v>735</v>
      </c>
      <c r="I502" s="43" t="s">
        <v>3950</v>
      </c>
      <c r="J502" s="43" t="s">
        <v>89</v>
      </c>
      <c r="K502" s="43" t="s">
        <v>86</v>
      </c>
      <c r="L502" s="43" t="s">
        <v>3951</v>
      </c>
      <c r="M502" s="43" t="s">
        <v>2308</v>
      </c>
      <c r="N502" s="43" t="s">
        <v>885</v>
      </c>
      <c r="O502" s="43" t="s">
        <v>626</v>
      </c>
      <c r="P502" s="43" t="s">
        <v>3952</v>
      </c>
      <c r="Q502" s="43" t="s">
        <v>3953</v>
      </c>
      <c r="R502" s="43" t="s">
        <v>3953</v>
      </c>
      <c r="S502" s="43" t="s">
        <v>648</v>
      </c>
      <c r="T502" s="43"/>
      <c r="U502" s="43"/>
      <c r="V502" s="43"/>
      <c r="W502" s="43"/>
      <c r="X502" s="43"/>
      <c r="Y502" s="43"/>
      <c r="Z502" s="43"/>
    </row>
    <row r="503" spans="1:26" ht="15.75" customHeight="1" x14ac:dyDescent="0.25">
      <c r="A503" s="43" t="s">
        <v>585</v>
      </c>
      <c r="B503" s="43" t="s">
        <v>3954</v>
      </c>
      <c r="C503" s="43" t="s">
        <v>3955</v>
      </c>
      <c r="D503" s="43" t="s">
        <v>885</v>
      </c>
      <c r="E503" s="43" t="s">
        <v>3956</v>
      </c>
      <c r="F503" s="43" t="s">
        <v>619</v>
      </c>
      <c r="G503" s="43" t="s">
        <v>3957</v>
      </c>
      <c r="H503" s="43" t="s">
        <v>634</v>
      </c>
      <c r="I503" s="43" t="s">
        <v>3958</v>
      </c>
      <c r="J503" s="43" t="s">
        <v>90</v>
      </c>
      <c r="K503" s="43" t="s">
        <v>88</v>
      </c>
      <c r="L503" s="43" t="s">
        <v>3959</v>
      </c>
      <c r="M503" s="43" t="s">
        <v>2308</v>
      </c>
      <c r="N503" s="43" t="s">
        <v>885</v>
      </c>
      <c r="O503" s="43" t="s">
        <v>626</v>
      </c>
      <c r="P503" s="43" t="s">
        <v>3952</v>
      </c>
      <c r="Q503" s="43" t="s">
        <v>3960</v>
      </c>
      <c r="R503" s="43" t="s">
        <v>3960</v>
      </c>
      <c r="S503" s="43" t="s">
        <v>648</v>
      </c>
      <c r="T503" s="43"/>
      <c r="U503" s="43"/>
      <c r="V503" s="43"/>
      <c r="W503" s="43"/>
      <c r="X503" s="43"/>
      <c r="Y503" s="43"/>
      <c r="Z503" s="43"/>
    </row>
    <row r="504" spans="1:26" ht="15.75" customHeight="1" x14ac:dyDescent="0.25">
      <c r="A504" s="43" t="s">
        <v>586</v>
      </c>
      <c r="B504" s="43" t="s">
        <v>3961</v>
      </c>
      <c r="C504" s="43" t="s">
        <v>3962</v>
      </c>
      <c r="D504" s="43" t="s">
        <v>805</v>
      </c>
      <c r="E504" s="43" t="s">
        <v>3963</v>
      </c>
      <c r="F504" s="43" t="s">
        <v>619</v>
      </c>
      <c r="G504" s="43" t="s">
        <v>3964</v>
      </c>
      <c r="H504" s="43" t="s">
        <v>621</v>
      </c>
      <c r="I504" s="43" t="s">
        <v>1357</v>
      </c>
      <c r="J504" s="43" t="s">
        <v>1304</v>
      </c>
      <c r="K504" s="43"/>
      <c r="L504" s="43" t="s">
        <v>1358</v>
      </c>
      <c r="M504" s="43" t="s">
        <v>855</v>
      </c>
      <c r="N504" s="43" t="s">
        <v>617</v>
      </c>
      <c r="O504" s="43" t="s">
        <v>626</v>
      </c>
      <c r="P504" s="43" t="s">
        <v>714</v>
      </c>
      <c r="Q504" s="43" t="s">
        <v>3965</v>
      </c>
      <c r="R504" s="43" t="s">
        <v>3965</v>
      </c>
      <c r="S504" s="43" t="s">
        <v>648</v>
      </c>
      <c r="T504" s="43"/>
      <c r="U504" s="43"/>
      <c r="V504" s="43"/>
      <c r="W504" s="43"/>
      <c r="X504" s="43"/>
      <c r="Y504" s="43"/>
      <c r="Z504" s="43"/>
    </row>
    <row r="505" spans="1:26" ht="15.75" customHeight="1" x14ac:dyDescent="0.25">
      <c r="A505" s="43" t="s">
        <v>587</v>
      </c>
      <c r="B505" s="43" t="s">
        <v>3966</v>
      </c>
      <c r="C505" s="43" t="s">
        <v>3967</v>
      </c>
      <c r="D505" s="43" t="s">
        <v>617</v>
      </c>
      <c r="E505" s="43" t="s">
        <v>3968</v>
      </c>
      <c r="F505" s="43" t="s">
        <v>740</v>
      </c>
      <c r="G505" s="43" t="s">
        <v>3969</v>
      </c>
      <c r="H505" s="43" t="s">
        <v>888</v>
      </c>
      <c r="I505" s="43" t="s">
        <v>3970</v>
      </c>
      <c r="J505" s="43" t="s">
        <v>1111</v>
      </c>
      <c r="K505" s="43"/>
      <c r="L505" s="43" t="s">
        <v>617</v>
      </c>
      <c r="M505" s="43" t="s">
        <v>617</v>
      </c>
      <c r="N505" s="43" t="s">
        <v>617</v>
      </c>
      <c r="O505" s="43" t="s">
        <v>626</v>
      </c>
      <c r="P505" s="43" t="s">
        <v>714</v>
      </c>
      <c r="Q505" s="43" t="s">
        <v>3971</v>
      </c>
      <c r="R505" s="43" t="s">
        <v>3972</v>
      </c>
      <c r="S505" s="43" t="s">
        <v>893</v>
      </c>
      <c r="T505" s="43"/>
      <c r="U505" s="43"/>
      <c r="V505" s="43"/>
      <c r="W505" s="43"/>
      <c r="X505" s="43"/>
      <c r="Y505" s="43"/>
      <c r="Z505" s="43"/>
    </row>
    <row r="506" spans="1:26" ht="15.75" customHeight="1" x14ac:dyDescent="0.25">
      <c r="A506" s="43" t="s">
        <v>588</v>
      </c>
      <c r="B506" s="43" t="s">
        <v>3973</v>
      </c>
      <c r="C506" s="43" t="s">
        <v>3974</v>
      </c>
      <c r="D506" s="43" t="s">
        <v>617</v>
      </c>
      <c r="E506" s="43" t="s">
        <v>3975</v>
      </c>
      <c r="F506" s="43" t="s">
        <v>619</v>
      </c>
      <c r="G506" s="43" t="s">
        <v>3976</v>
      </c>
      <c r="H506" s="43" t="s">
        <v>653</v>
      </c>
      <c r="I506" s="43" t="s">
        <v>3977</v>
      </c>
      <c r="J506" s="43" t="s">
        <v>116</v>
      </c>
      <c r="K506" s="43" t="s">
        <v>623</v>
      </c>
      <c r="L506" s="43" t="s">
        <v>1320</v>
      </c>
      <c r="M506" s="43" t="s">
        <v>818</v>
      </c>
      <c r="N506" s="43" t="s">
        <v>617</v>
      </c>
      <c r="O506" s="43" t="s">
        <v>626</v>
      </c>
      <c r="P506" s="43" t="s">
        <v>1130</v>
      </c>
      <c r="Q506" s="43" t="s">
        <v>3978</v>
      </c>
      <c r="R506" s="43" t="s">
        <v>3979</v>
      </c>
      <c r="S506" s="43" t="s">
        <v>1271</v>
      </c>
      <c r="T506" s="43"/>
      <c r="U506" s="43"/>
      <c r="V506" s="43"/>
      <c r="W506" s="43"/>
      <c r="X506" s="43"/>
      <c r="Y506" s="43"/>
      <c r="Z506" s="43"/>
    </row>
    <row r="507" spans="1:26" ht="15.75" customHeight="1" x14ac:dyDescent="0.25">
      <c r="A507" s="43" t="s">
        <v>4059</v>
      </c>
      <c r="B507" s="43" t="s">
        <v>4023</v>
      </c>
      <c r="C507" s="43" t="s">
        <v>4024</v>
      </c>
      <c r="D507" s="43" t="s">
        <v>4025</v>
      </c>
      <c r="E507" s="43" t="s">
        <v>4026</v>
      </c>
      <c r="F507" s="43" t="s">
        <v>619</v>
      </c>
      <c r="G507" s="43" t="s">
        <v>4027</v>
      </c>
      <c r="H507" s="43" t="s">
        <v>621</v>
      </c>
      <c r="I507" s="43" t="s">
        <v>2191</v>
      </c>
      <c r="J507" s="43" t="s">
        <v>90</v>
      </c>
      <c r="K507" s="43" t="s">
        <v>623</v>
      </c>
      <c r="L507" s="43" t="s">
        <v>1380</v>
      </c>
      <c r="M507" s="43" t="s">
        <v>645</v>
      </c>
      <c r="N507" s="43" t="s">
        <v>617</v>
      </c>
      <c r="O507" s="43" t="s">
        <v>626</v>
      </c>
      <c r="P507" s="43" t="s">
        <v>1056</v>
      </c>
      <c r="Q507" s="43" t="s">
        <v>4028</v>
      </c>
      <c r="R507" s="43" t="s">
        <v>4029</v>
      </c>
      <c r="S507" s="43" t="s">
        <v>1271</v>
      </c>
      <c r="T507" s="43"/>
      <c r="U507" s="43"/>
      <c r="V507" s="43"/>
      <c r="W507" s="43"/>
      <c r="X507" s="43"/>
      <c r="Y507" s="43"/>
      <c r="Z507" s="43"/>
    </row>
    <row r="508" spans="1:26" ht="15.75" customHeight="1" x14ac:dyDescent="0.25">
      <c r="A508" s="43" t="s">
        <v>4022</v>
      </c>
      <c r="B508" s="43" t="s">
        <v>4031</v>
      </c>
      <c r="C508" s="43" t="s">
        <v>4032</v>
      </c>
      <c r="D508" s="43" t="s">
        <v>828</v>
      </c>
      <c r="E508" s="43" t="s">
        <v>4033</v>
      </c>
      <c r="F508" s="43" t="s">
        <v>619</v>
      </c>
      <c r="G508" s="43" t="s">
        <v>1632</v>
      </c>
      <c r="H508" s="43" t="s">
        <v>653</v>
      </c>
      <c r="I508" s="43" t="s">
        <v>4034</v>
      </c>
      <c r="J508" s="43" t="s">
        <v>84</v>
      </c>
      <c r="K508" s="43" t="s">
        <v>119</v>
      </c>
      <c r="L508" s="43" t="s">
        <v>2317</v>
      </c>
      <c r="M508" s="43" t="s">
        <v>2318</v>
      </c>
      <c r="N508" s="43" t="s">
        <v>828</v>
      </c>
      <c r="O508" s="43" t="s">
        <v>626</v>
      </c>
      <c r="P508" s="43" t="s">
        <v>3906</v>
      </c>
      <c r="Q508" s="43" t="s">
        <v>4035</v>
      </c>
      <c r="R508" s="43" t="s">
        <v>4036</v>
      </c>
      <c r="S508" s="43" t="s">
        <v>1271</v>
      </c>
      <c r="T508" s="43"/>
      <c r="U508" s="43"/>
      <c r="V508" s="43"/>
      <c r="W508" s="43"/>
      <c r="X508" s="43"/>
      <c r="Y508" s="43"/>
      <c r="Z508" s="43"/>
    </row>
    <row r="509" spans="1:26" ht="15.75" customHeight="1" x14ac:dyDescent="0.25">
      <c r="A509" s="43" t="s">
        <v>4030</v>
      </c>
      <c r="B509" s="43" t="s">
        <v>4038</v>
      </c>
      <c r="C509" s="43" t="s">
        <v>4039</v>
      </c>
      <c r="D509" s="43" t="s">
        <v>617</v>
      </c>
      <c r="E509" s="43" t="s">
        <v>3630</v>
      </c>
      <c r="F509" s="43" t="s">
        <v>619</v>
      </c>
      <c r="G509" s="43" t="s">
        <v>4040</v>
      </c>
      <c r="H509" s="43" t="s">
        <v>1123</v>
      </c>
      <c r="I509" s="43" t="s">
        <v>2975</v>
      </c>
      <c r="J509" s="43" t="s">
        <v>87</v>
      </c>
      <c r="K509" s="43" t="s">
        <v>623</v>
      </c>
      <c r="L509" s="43" t="s">
        <v>809</v>
      </c>
      <c r="M509" s="43" t="s">
        <v>744</v>
      </c>
      <c r="N509" s="43" t="s">
        <v>617</v>
      </c>
      <c r="O509" s="43" t="s">
        <v>626</v>
      </c>
      <c r="P509" s="43" t="s">
        <v>4041</v>
      </c>
      <c r="Q509" s="43" t="s">
        <v>4042</v>
      </c>
      <c r="R509" s="43" t="s">
        <v>4043</v>
      </c>
      <c r="S509" s="43" t="s">
        <v>648</v>
      </c>
      <c r="T509" s="43"/>
      <c r="U509" s="43"/>
      <c r="V509" s="43"/>
      <c r="W509" s="43"/>
      <c r="X509" s="43"/>
      <c r="Y509" s="43"/>
      <c r="Z509" s="43"/>
    </row>
    <row r="510" spans="1:26" ht="15.75" customHeight="1" x14ac:dyDescent="0.25">
      <c r="A510" s="43" t="s">
        <v>4037</v>
      </c>
      <c r="B510" s="43" t="s">
        <v>4045</v>
      </c>
      <c r="C510" s="43" t="s">
        <v>4046</v>
      </c>
      <c r="D510" s="43" t="s">
        <v>617</v>
      </c>
      <c r="E510" s="43" t="s">
        <v>3145</v>
      </c>
      <c r="F510" s="43" t="s">
        <v>619</v>
      </c>
      <c r="G510" s="43" t="s">
        <v>4047</v>
      </c>
      <c r="H510" s="43" t="s">
        <v>653</v>
      </c>
      <c r="I510" s="43" t="s">
        <v>4048</v>
      </c>
      <c r="J510" s="43" t="s">
        <v>85</v>
      </c>
      <c r="K510" s="43" t="s">
        <v>623</v>
      </c>
      <c r="L510" s="43" t="s">
        <v>1174</v>
      </c>
      <c r="M510" s="43" t="s">
        <v>1113</v>
      </c>
      <c r="N510" s="43" t="s">
        <v>617</v>
      </c>
      <c r="O510" s="43" t="s">
        <v>626</v>
      </c>
      <c r="P510" s="43" t="s">
        <v>4049</v>
      </c>
      <c r="Q510" s="43" t="s">
        <v>4050</v>
      </c>
      <c r="R510" s="43" t="s">
        <v>4050</v>
      </c>
      <c r="S510" s="43" t="s">
        <v>893</v>
      </c>
      <c r="T510" s="43"/>
      <c r="U510" s="43"/>
      <c r="V510" s="43"/>
      <c r="W510" s="43"/>
      <c r="X510" s="43"/>
      <c r="Y510" s="43"/>
      <c r="Z510" s="43"/>
    </row>
    <row r="511" spans="1:26" ht="15.75" customHeight="1" x14ac:dyDescent="0.25">
      <c r="A511" s="43" t="s">
        <v>4044</v>
      </c>
      <c r="B511" s="43" t="s">
        <v>4051</v>
      </c>
      <c r="C511" t="s">
        <v>4052</v>
      </c>
      <c r="D511" t="s">
        <v>617</v>
      </c>
      <c r="E511" s="43" t="s">
        <v>4053</v>
      </c>
      <c r="F511" s="43" t="s">
        <v>619</v>
      </c>
      <c r="G511" s="43" t="s">
        <v>4054</v>
      </c>
      <c r="H511" s="43" t="s">
        <v>735</v>
      </c>
      <c r="I511" s="43" t="s">
        <v>4055</v>
      </c>
      <c r="J511" s="43" t="s">
        <v>88</v>
      </c>
      <c r="K511" s="43" t="s">
        <v>623</v>
      </c>
      <c r="L511" s="43" t="s">
        <v>2216</v>
      </c>
      <c r="M511" s="43" t="s">
        <v>625</v>
      </c>
      <c r="N511" s="43" t="s">
        <v>617</v>
      </c>
      <c r="O511" s="43" t="s">
        <v>626</v>
      </c>
      <c r="P511" s="43" t="s">
        <v>637</v>
      </c>
      <c r="Q511" s="43" t="s">
        <v>4056</v>
      </c>
      <c r="R511" s="43" t="s">
        <v>4057</v>
      </c>
      <c r="S511" s="43" t="s">
        <v>629</v>
      </c>
      <c r="T511" s="43"/>
      <c r="U511" s="43"/>
      <c r="V511" s="43"/>
      <c r="W511" s="43"/>
      <c r="X511" s="43"/>
      <c r="Y511" s="43"/>
      <c r="Z511" s="43"/>
    </row>
    <row r="512" spans="1:26" ht="15.75" customHeight="1" x14ac:dyDescent="0.25">
      <c r="A512" s="43" t="s">
        <v>4504</v>
      </c>
      <c r="B512" s="43" t="s">
        <v>4497</v>
      </c>
      <c r="C512" s="43" t="s">
        <v>4498</v>
      </c>
      <c r="D512" s="43" t="s">
        <v>4499</v>
      </c>
      <c r="E512" s="43" t="s">
        <v>4500</v>
      </c>
      <c r="F512" s="43" t="s">
        <v>619</v>
      </c>
      <c r="G512" s="43" t="s">
        <v>4501</v>
      </c>
      <c r="H512" s="43" t="s">
        <v>888</v>
      </c>
      <c r="I512" s="43" t="s">
        <v>3052</v>
      </c>
      <c r="J512" s="43" t="s">
        <v>85</v>
      </c>
      <c r="K512" s="43" t="s">
        <v>623</v>
      </c>
      <c r="L512" s="43" t="s">
        <v>655</v>
      </c>
      <c r="M512" s="43" t="s">
        <v>617</v>
      </c>
      <c r="N512" s="43" t="s">
        <v>617</v>
      </c>
      <c r="O512" s="43" t="s">
        <v>626</v>
      </c>
      <c r="P512" s="43" t="s">
        <v>656</v>
      </c>
      <c r="Q512" s="43" t="s">
        <v>4502</v>
      </c>
      <c r="R512" s="43" t="s">
        <v>4503</v>
      </c>
      <c r="S512" s="43" t="s">
        <v>730</v>
      </c>
      <c r="T512" s="43"/>
      <c r="U512" s="43"/>
      <c r="V512" s="43"/>
      <c r="W512" s="43"/>
      <c r="X512" s="43"/>
      <c r="Y512" s="43"/>
      <c r="Z512" s="43"/>
    </row>
    <row r="513" spans="1:26" ht="15.75" customHeight="1" x14ac:dyDescent="0.25">
      <c r="A513" s="43" t="s">
        <v>4511</v>
      </c>
      <c r="B513" s="43" t="s">
        <v>4505</v>
      </c>
      <c r="C513" s="43" t="s">
        <v>4506</v>
      </c>
      <c r="D513" s="43" t="s">
        <v>1296</v>
      </c>
      <c r="E513" s="43" t="s">
        <v>971</v>
      </c>
      <c r="F513" s="43" t="s">
        <v>619</v>
      </c>
      <c r="G513" s="43" t="s">
        <v>4507</v>
      </c>
      <c r="H513" s="43" t="s">
        <v>735</v>
      </c>
      <c r="I513" s="43" t="s">
        <v>4508</v>
      </c>
      <c r="J513" s="43" t="s">
        <v>95</v>
      </c>
      <c r="K513" s="43" t="s">
        <v>89</v>
      </c>
      <c r="L513" s="43" t="s">
        <v>3043</v>
      </c>
      <c r="M513" s="43" t="s">
        <v>3044</v>
      </c>
      <c r="N513" s="43" t="s">
        <v>1296</v>
      </c>
      <c r="O513" s="43" t="s">
        <v>626</v>
      </c>
      <c r="P513" s="43" t="s">
        <v>3045</v>
      </c>
      <c r="Q513" s="43" t="s">
        <v>4509</v>
      </c>
      <c r="R513" s="43" t="s">
        <v>4510</v>
      </c>
      <c r="S513" s="43" t="s">
        <v>893</v>
      </c>
      <c r="T513" s="43"/>
      <c r="U513" s="43"/>
      <c r="V513" s="43"/>
      <c r="W513" s="43"/>
      <c r="X513" s="43"/>
      <c r="Y513" s="43"/>
      <c r="Z513" s="43"/>
    </row>
    <row r="514" spans="1:26" ht="15.75" customHeight="1" x14ac:dyDescent="0.25">
      <c r="A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5.75" customHeight="1" x14ac:dyDescent="0.2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5.75" customHeight="1" x14ac:dyDescent="0.2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5.75" customHeight="1" x14ac:dyDescent="0.2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5.75" customHeight="1" x14ac:dyDescent="0.2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5.75" customHeight="1" x14ac:dyDescent="0.2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5.75" customHeight="1" x14ac:dyDescent="0.2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5.75" customHeight="1" x14ac:dyDescent="0.2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5.75" customHeight="1" x14ac:dyDescent="0.2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5.75" customHeight="1" x14ac:dyDescent="0.2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5.75" customHeight="1" x14ac:dyDescent="0.2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5.75" customHeight="1" x14ac:dyDescent="0.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5.75" customHeight="1" x14ac:dyDescent="0.2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5.75" customHeight="1" x14ac:dyDescent="0.2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5.75" customHeight="1" x14ac:dyDescent="0.2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5.75" customHeight="1" x14ac:dyDescent="0.2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5.75" customHeight="1" x14ac:dyDescent="0.2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5.75" customHeight="1" x14ac:dyDescent="0.2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5.75" customHeight="1" x14ac:dyDescent="0.2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5.75" customHeight="1" x14ac:dyDescent="0.2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5.75" customHeight="1" x14ac:dyDescent="0.2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5.75" customHeight="1" x14ac:dyDescent="0.2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5.75" customHeight="1" x14ac:dyDescent="0.2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5.75" customHeight="1" x14ac:dyDescent="0.2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5.75" customHeight="1" x14ac:dyDescent="0.2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5.75" customHeight="1" x14ac:dyDescent="0.2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5.75" customHeight="1" x14ac:dyDescent="0.2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5.75" customHeight="1" x14ac:dyDescent="0.2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5.75" customHeight="1" x14ac:dyDescent="0.2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5.75" customHeight="1" x14ac:dyDescent="0.2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5.75" customHeight="1" x14ac:dyDescent="0.2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5.75" customHeight="1" x14ac:dyDescent="0.2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5.75" customHeight="1" x14ac:dyDescent="0.2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5.75" customHeight="1" x14ac:dyDescent="0.2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5.75" customHeight="1" x14ac:dyDescent="0.2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5.75" customHeight="1" x14ac:dyDescent="0.2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5.75" customHeight="1" x14ac:dyDescent="0.2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5.75" customHeight="1" x14ac:dyDescent="0.2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5.75" customHeight="1" x14ac:dyDescent="0.2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5.75" customHeight="1" x14ac:dyDescent="0.2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5.75" customHeight="1" x14ac:dyDescent="0.2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5.75" customHeight="1" x14ac:dyDescent="0.2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5.75" customHeight="1" x14ac:dyDescent="0.2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5.75" customHeight="1" x14ac:dyDescent="0.2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5.75" customHeight="1" x14ac:dyDescent="0.2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5.75" customHeight="1" x14ac:dyDescent="0.2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5.75" customHeight="1" x14ac:dyDescent="0.2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5.75" customHeight="1" x14ac:dyDescent="0.2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5.75" customHeight="1" x14ac:dyDescent="0.2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5.75" customHeight="1" x14ac:dyDescent="0.2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5.75" customHeight="1" x14ac:dyDescent="0.2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5.75" customHeight="1" x14ac:dyDescent="0.2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5.75" customHeight="1" x14ac:dyDescent="0.2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5.75" customHeight="1" x14ac:dyDescent="0.2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5.75" customHeight="1" x14ac:dyDescent="0.2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5.75" customHeight="1" x14ac:dyDescent="0.2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5.75" customHeight="1" x14ac:dyDescent="0.2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5.75" customHeight="1" x14ac:dyDescent="0.2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5.75" customHeight="1" x14ac:dyDescent="0.2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5.75" customHeight="1" x14ac:dyDescent="0.2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5.75" customHeight="1" x14ac:dyDescent="0.2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5.75" customHeight="1" x14ac:dyDescent="0.2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5.75" customHeight="1" x14ac:dyDescent="0.2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5.75" customHeight="1" x14ac:dyDescent="0.2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5.75" customHeight="1" x14ac:dyDescent="0.2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5.75" customHeight="1" x14ac:dyDescent="0.2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5.75" customHeight="1" x14ac:dyDescent="0.2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5.75" customHeight="1" x14ac:dyDescent="0.2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5.75" customHeight="1" x14ac:dyDescent="0.2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5.75" customHeight="1" x14ac:dyDescent="0.2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5.75" customHeight="1" x14ac:dyDescent="0.2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5.75" customHeight="1" x14ac:dyDescent="0.2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5.75" customHeight="1" x14ac:dyDescent="0.2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5.75" customHeight="1" x14ac:dyDescent="0.2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5.75" customHeight="1" x14ac:dyDescent="0.2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5.75" customHeight="1" x14ac:dyDescent="0.2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5.75" customHeight="1" x14ac:dyDescent="0.2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5.75" customHeight="1" x14ac:dyDescent="0.2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5.75" customHeight="1" x14ac:dyDescent="0.2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5.75" customHeight="1" x14ac:dyDescent="0.2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5.75" customHeight="1" x14ac:dyDescent="0.2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5.75" customHeight="1" x14ac:dyDescent="0.2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5.75" customHeight="1" x14ac:dyDescent="0.2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5.75" customHeight="1" x14ac:dyDescent="0.2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5.75" customHeight="1" x14ac:dyDescent="0.2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5.75" customHeight="1" x14ac:dyDescent="0.2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5.75" customHeight="1" x14ac:dyDescent="0.2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5.75" customHeight="1" x14ac:dyDescent="0.2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5.75" customHeight="1" x14ac:dyDescent="0.2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5.75" customHeight="1" x14ac:dyDescent="0.2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5.75" customHeight="1" x14ac:dyDescent="0.2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5.75" customHeight="1" x14ac:dyDescent="0.2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5.75" customHeight="1" x14ac:dyDescent="0.2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5.75" customHeight="1" x14ac:dyDescent="0.2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5.75" customHeight="1" x14ac:dyDescent="0.2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5.75" customHeight="1" x14ac:dyDescent="0.2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5.75" customHeight="1" x14ac:dyDescent="0.2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5.75" customHeight="1" x14ac:dyDescent="0.2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5.75" customHeight="1" x14ac:dyDescent="0.2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5.75" customHeight="1" x14ac:dyDescent="0.2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5.75" customHeight="1" x14ac:dyDescent="0.2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5.75" customHeight="1" x14ac:dyDescent="0.2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5.75" customHeight="1" x14ac:dyDescent="0.2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5.75" customHeight="1" x14ac:dyDescent="0.2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5.75" customHeight="1" x14ac:dyDescent="0.2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5.75" customHeight="1" x14ac:dyDescent="0.2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5.75" customHeight="1" x14ac:dyDescent="0.2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5.75" customHeight="1" x14ac:dyDescent="0.2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5.75" customHeight="1" x14ac:dyDescent="0.2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5.75" customHeight="1" x14ac:dyDescent="0.2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5.75" customHeight="1" x14ac:dyDescent="0.2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5.75" customHeight="1" x14ac:dyDescent="0.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5.75" customHeight="1" x14ac:dyDescent="0.2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5.75" customHeight="1" x14ac:dyDescent="0.2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5.75" customHeight="1" x14ac:dyDescent="0.2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5.75" customHeight="1" x14ac:dyDescent="0.2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5.75" customHeight="1" x14ac:dyDescent="0.2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5.75" customHeight="1" x14ac:dyDescent="0.2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5.75" customHeight="1" x14ac:dyDescent="0.2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5.75" customHeight="1" x14ac:dyDescent="0.2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5.75" customHeight="1" x14ac:dyDescent="0.2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5.75" customHeight="1" x14ac:dyDescent="0.2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5.75" customHeight="1" x14ac:dyDescent="0.2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5.75" customHeight="1" x14ac:dyDescent="0.2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5.75" customHeight="1" x14ac:dyDescent="0.2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5.75" customHeight="1" x14ac:dyDescent="0.2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5.75" customHeight="1" x14ac:dyDescent="0.2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5.75" customHeight="1" x14ac:dyDescent="0.2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5.75" customHeight="1" x14ac:dyDescent="0.2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5.75" customHeight="1" x14ac:dyDescent="0.2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5.75" customHeight="1" x14ac:dyDescent="0.2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5.75" customHeight="1" x14ac:dyDescent="0.2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5.75" customHeight="1" x14ac:dyDescent="0.2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5.75" customHeight="1" x14ac:dyDescent="0.2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5.75" customHeight="1" x14ac:dyDescent="0.2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5.75" customHeight="1" x14ac:dyDescent="0.2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5.75" customHeight="1" x14ac:dyDescent="0.2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5.75" customHeight="1" x14ac:dyDescent="0.2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5.75" customHeight="1" x14ac:dyDescent="0.2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5.75" customHeight="1" x14ac:dyDescent="0.2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5.75" customHeight="1" x14ac:dyDescent="0.2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5.75" customHeight="1" x14ac:dyDescent="0.2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5.75" customHeight="1" x14ac:dyDescent="0.2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5.75" customHeight="1" x14ac:dyDescent="0.2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5.75" customHeight="1" x14ac:dyDescent="0.2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5.75" customHeight="1" x14ac:dyDescent="0.2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5.75" customHeight="1" x14ac:dyDescent="0.2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5.75" customHeight="1" x14ac:dyDescent="0.2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5.75" customHeight="1" x14ac:dyDescent="0.2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5.75" customHeight="1" x14ac:dyDescent="0.2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5.75" customHeight="1" x14ac:dyDescent="0.2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5.75" customHeight="1" x14ac:dyDescent="0.2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5.75" customHeight="1" x14ac:dyDescent="0.2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5.75" customHeight="1" x14ac:dyDescent="0.2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5.75" customHeight="1" x14ac:dyDescent="0.2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5.75" customHeight="1" x14ac:dyDescent="0.2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5.75" customHeight="1" x14ac:dyDescent="0.2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5.75" customHeight="1" x14ac:dyDescent="0.2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5.75" customHeight="1" x14ac:dyDescent="0.2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5.75" customHeight="1" x14ac:dyDescent="0.2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5.75" customHeight="1" x14ac:dyDescent="0.2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5.75" customHeight="1" x14ac:dyDescent="0.2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5.75" customHeight="1" x14ac:dyDescent="0.2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5.75" customHeight="1" x14ac:dyDescent="0.2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5.75" customHeight="1" x14ac:dyDescent="0.2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5.75" customHeight="1" x14ac:dyDescent="0.2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5.75" customHeight="1" x14ac:dyDescent="0.2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5.75" customHeight="1" x14ac:dyDescent="0.2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5.75" customHeight="1" x14ac:dyDescent="0.2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5.75" customHeight="1" x14ac:dyDescent="0.2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5.75" customHeight="1" x14ac:dyDescent="0.2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5.75" customHeight="1" x14ac:dyDescent="0.2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5.75" customHeight="1" x14ac:dyDescent="0.2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5.75" customHeight="1" x14ac:dyDescent="0.2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5.75" customHeight="1" x14ac:dyDescent="0.2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5.75" customHeight="1" x14ac:dyDescent="0.2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5.75" customHeight="1" x14ac:dyDescent="0.2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5.75" customHeight="1" x14ac:dyDescent="0.2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5.75" customHeight="1" x14ac:dyDescent="0.2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5.75" customHeight="1" x14ac:dyDescent="0.2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5.75" customHeight="1" x14ac:dyDescent="0.2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5.75" customHeight="1" x14ac:dyDescent="0.2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5.75" customHeight="1" x14ac:dyDescent="0.2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5.75" customHeight="1" x14ac:dyDescent="0.2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5.75" customHeight="1" x14ac:dyDescent="0.2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5.75" customHeight="1" x14ac:dyDescent="0.2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5.75" customHeight="1" x14ac:dyDescent="0.2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5.75" customHeight="1" x14ac:dyDescent="0.2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5.75" customHeight="1" x14ac:dyDescent="0.2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5.75" customHeight="1" x14ac:dyDescent="0.2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5.75" customHeight="1" x14ac:dyDescent="0.2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5.75" customHeight="1" x14ac:dyDescent="0.2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5.75" customHeight="1" x14ac:dyDescent="0.2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5.75" customHeight="1" x14ac:dyDescent="0.2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5.75" customHeight="1" x14ac:dyDescent="0.2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5.75" customHeight="1" x14ac:dyDescent="0.2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5.75" customHeight="1" x14ac:dyDescent="0.2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5.75" customHeight="1" x14ac:dyDescent="0.2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5.75" customHeight="1" x14ac:dyDescent="0.2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5.75" customHeight="1" x14ac:dyDescent="0.2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5.75" customHeight="1" x14ac:dyDescent="0.2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5.75" customHeight="1" x14ac:dyDescent="0.2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5.75" customHeight="1" x14ac:dyDescent="0.2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5.75" customHeight="1" x14ac:dyDescent="0.2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5.75" customHeight="1" x14ac:dyDescent="0.2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5.75" customHeight="1" x14ac:dyDescent="0.2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5.75" customHeight="1" x14ac:dyDescent="0.2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5.75" customHeight="1" x14ac:dyDescent="0.2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5.75" customHeight="1" x14ac:dyDescent="0.2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5.75" customHeight="1" x14ac:dyDescent="0.2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5.75" customHeight="1" x14ac:dyDescent="0.2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5.75" customHeight="1" x14ac:dyDescent="0.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5.75" customHeight="1" x14ac:dyDescent="0.2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5.75" customHeight="1" x14ac:dyDescent="0.2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5.75" customHeight="1" x14ac:dyDescent="0.2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5.75" customHeight="1" x14ac:dyDescent="0.2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5.75" customHeight="1" x14ac:dyDescent="0.2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5.75" customHeight="1" x14ac:dyDescent="0.2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5.75" customHeight="1" x14ac:dyDescent="0.2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5.75" customHeight="1" x14ac:dyDescent="0.2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5.75" customHeight="1" x14ac:dyDescent="0.2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5.75" customHeight="1" x14ac:dyDescent="0.2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5.75" customHeight="1" x14ac:dyDescent="0.2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5.75" customHeight="1" x14ac:dyDescent="0.2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5.75" customHeight="1" x14ac:dyDescent="0.2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5.75" customHeight="1" x14ac:dyDescent="0.2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5.75" customHeight="1" x14ac:dyDescent="0.2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5.75" customHeight="1" x14ac:dyDescent="0.2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5.75" customHeight="1" x14ac:dyDescent="0.2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5.75" customHeight="1" x14ac:dyDescent="0.2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5.75" customHeight="1" x14ac:dyDescent="0.2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5.75" customHeight="1" x14ac:dyDescent="0.2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5.75" customHeight="1" x14ac:dyDescent="0.2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5.75" customHeight="1" x14ac:dyDescent="0.2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5.75" customHeight="1" x14ac:dyDescent="0.2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5.75" customHeight="1" x14ac:dyDescent="0.2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5.75" customHeight="1" x14ac:dyDescent="0.2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5.75" customHeight="1" x14ac:dyDescent="0.2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5.75" customHeight="1" x14ac:dyDescent="0.2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5.75" customHeight="1" x14ac:dyDescent="0.2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5.75" customHeight="1" x14ac:dyDescent="0.2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5.75" customHeight="1" x14ac:dyDescent="0.2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5.75" customHeight="1" x14ac:dyDescent="0.2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5.75" customHeight="1" x14ac:dyDescent="0.2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5.75" customHeight="1" x14ac:dyDescent="0.2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5.75" customHeight="1" x14ac:dyDescent="0.2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5.75" customHeight="1" x14ac:dyDescent="0.2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5.75" customHeight="1" x14ac:dyDescent="0.2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5.75" customHeight="1" x14ac:dyDescent="0.2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5.75" customHeight="1" x14ac:dyDescent="0.2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5.75" customHeight="1" x14ac:dyDescent="0.2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5.75" customHeight="1" x14ac:dyDescent="0.2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5.75" customHeight="1" x14ac:dyDescent="0.2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5.75" customHeight="1" x14ac:dyDescent="0.2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5.75" customHeight="1" x14ac:dyDescent="0.2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5.75" customHeight="1" x14ac:dyDescent="0.2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5.75" customHeight="1" x14ac:dyDescent="0.2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5.75" customHeight="1" x14ac:dyDescent="0.2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5.75" customHeight="1" x14ac:dyDescent="0.2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5.75" customHeight="1" x14ac:dyDescent="0.2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5.75" customHeight="1" x14ac:dyDescent="0.2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5.75" customHeight="1" x14ac:dyDescent="0.2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5.75" customHeight="1" x14ac:dyDescent="0.2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5.75" customHeight="1" x14ac:dyDescent="0.2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5.75" customHeight="1" x14ac:dyDescent="0.2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5.75" customHeight="1" x14ac:dyDescent="0.2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5.75" customHeight="1" x14ac:dyDescent="0.2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5.75" customHeight="1" x14ac:dyDescent="0.2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5.75" customHeight="1" x14ac:dyDescent="0.2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5.75" customHeight="1" x14ac:dyDescent="0.2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5.75" customHeight="1" x14ac:dyDescent="0.2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5.75" customHeight="1" x14ac:dyDescent="0.2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5.75" customHeight="1" x14ac:dyDescent="0.2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5.75" customHeight="1" x14ac:dyDescent="0.2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5.75" customHeight="1" x14ac:dyDescent="0.2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5.75" customHeight="1" x14ac:dyDescent="0.2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5.75" customHeight="1" x14ac:dyDescent="0.2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5.75" customHeight="1" x14ac:dyDescent="0.2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5.75" customHeight="1" x14ac:dyDescent="0.2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5.75" customHeight="1" x14ac:dyDescent="0.2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5.75" customHeight="1" x14ac:dyDescent="0.2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5.75" customHeight="1" x14ac:dyDescent="0.2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5.75" customHeight="1" x14ac:dyDescent="0.2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5.75" customHeight="1" x14ac:dyDescent="0.2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5.75" customHeight="1" x14ac:dyDescent="0.2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5.75" customHeight="1" x14ac:dyDescent="0.2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5.75" customHeight="1" x14ac:dyDescent="0.2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5.75" customHeight="1" x14ac:dyDescent="0.2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5.75" customHeight="1" x14ac:dyDescent="0.2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5.75" customHeight="1" x14ac:dyDescent="0.2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5.75" customHeight="1" x14ac:dyDescent="0.2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5.75" customHeight="1" x14ac:dyDescent="0.2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5.75" customHeight="1" x14ac:dyDescent="0.2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5.75" customHeight="1" x14ac:dyDescent="0.2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5.75" customHeight="1" x14ac:dyDescent="0.2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5.75" customHeight="1" x14ac:dyDescent="0.2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5.75" customHeight="1" x14ac:dyDescent="0.2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5.75" customHeight="1" x14ac:dyDescent="0.2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5.75" customHeight="1" x14ac:dyDescent="0.2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5.75" customHeight="1" x14ac:dyDescent="0.2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5.75" customHeight="1" x14ac:dyDescent="0.2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5.75" customHeight="1" x14ac:dyDescent="0.2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5.75" customHeight="1" x14ac:dyDescent="0.2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5.75" customHeight="1" x14ac:dyDescent="0.2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5.75" customHeight="1" x14ac:dyDescent="0.2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5.75" customHeight="1" x14ac:dyDescent="0.2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5.75" customHeight="1" x14ac:dyDescent="0.2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5.75" customHeight="1" x14ac:dyDescent="0.2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5.75" customHeight="1" x14ac:dyDescent="0.2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5.75" customHeight="1" x14ac:dyDescent="0.2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5.75" customHeight="1" x14ac:dyDescent="0.2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5.75" customHeight="1" x14ac:dyDescent="0.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5.75" customHeight="1" x14ac:dyDescent="0.2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5.75" customHeight="1" x14ac:dyDescent="0.2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5.75" customHeight="1" x14ac:dyDescent="0.2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5.75" customHeight="1" x14ac:dyDescent="0.2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5.75" customHeight="1" x14ac:dyDescent="0.2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5.75" customHeight="1" x14ac:dyDescent="0.2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5.75" customHeight="1" x14ac:dyDescent="0.2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5.75" customHeight="1" x14ac:dyDescent="0.2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5.75" customHeight="1" x14ac:dyDescent="0.2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5.75" customHeight="1" x14ac:dyDescent="0.2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5.75" customHeight="1" x14ac:dyDescent="0.2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5.75" customHeight="1" x14ac:dyDescent="0.2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5.75" customHeight="1" x14ac:dyDescent="0.2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5.75" customHeight="1" x14ac:dyDescent="0.2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5.75" customHeight="1" x14ac:dyDescent="0.2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5.75" customHeight="1" x14ac:dyDescent="0.2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5.75" customHeight="1" x14ac:dyDescent="0.2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5.75" customHeight="1" x14ac:dyDescent="0.2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5.75" customHeight="1" x14ac:dyDescent="0.2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5.75" customHeight="1" x14ac:dyDescent="0.2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5.75" customHeight="1" x14ac:dyDescent="0.2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5.75" customHeight="1" x14ac:dyDescent="0.2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5.75" customHeight="1" x14ac:dyDescent="0.2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5.75" customHeight="1" x14ac:dyDescent="0.2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5.75" customHeight="1" x14ac:dyDescent="0.2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5.75" customHeight="1" x14ac:dyDescent="0.2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5.75" customHeight="1" x14ac:dyDescent="0.2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5.75" customHeight="1" x14ac:dyDescent="0.2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5.75" customHeight="1" x14ac:dyDescent="0.2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5.75" customHeight="1" x14ac:dyDescent="0.2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5.75" customHeight="1" x14ac:dyDescent="0.2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5.75" customHeight="1" x14ac:dyDescent="0.2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5.75" customHeight="1" x14ac:dyDescent="0.2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5.75" customHeight="1" x14ac:dyDescent="0.2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5.75" customHeight="1" x14ac:dyDescent="0.2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5.75" customHeight="1" x14ac:dyDescent="0.2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5.75" customHeight="1" x14ac:dyDescent="0.2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5.75" customHeight="1" x14ac:dyDescent="0.2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5.75" customHeight="1" x14ac:dyDescent="0.2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5.75" customHeight="1" x14ac:dyDescent="0.2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5.75" customHeight="1" x14ac:dyDescent="0.2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5.75" customHeight="1" x14ac:dyDescent="0.2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5.75" customHeight="1" x14ac:dyDescent="0.2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5.75" customHeight="1" x14ac:dyDescent="0.2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5.75" customHeight="1" x14ac:dyDescent="0.2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5.75" customHeight="1" x14ac:dyDescent="0.2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5.75" customHeight="1" x14ac:dyDescent="0.2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5.75" customHeight="1" x14ac:dyDescent="0.2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5.75" customHeight="1" x14ac:dyDescent="0.2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5.75" customHeight="1" x14ac:dyDescent="0.2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5.75" customHeight="1" x14ac:dyDescent="0.2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5.75" customHeight="1" x14ac:dyDescent="0.2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5.75" customHeight="1" x14ac:dyDescent="0.2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5.75" customHeight="1" x14ac:dyDescent="0.2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5.75" customHeight="1" x14ac:dyDescent="0.2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5.75" customHeight="1" x14ac:dyDescent="0.2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5.75" customHeight="1" x14ac:dyDescent="0.2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5.75" customHeight="1" x14ac:dyDescent="0.2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5.75" customHeight="1" x14ac:dyDescent="0.2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5.75" customHeight="1" x14ac:dyDescent="0.2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5.75" customHeight="1" x14ac:dyDescent="0.2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5.75" customHeight="1" x14ac:dyDescent="0.2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5.75" customHeight="1" x14ac:dyDescent="0.2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5.75" customHeight="1" x14ac:dyDescent="0.2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5.75" customHeight="1" x14ac:dyDescent="0.2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5.75" customHeight="1" x14ac:dyDescent="0.2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5.75" customHeight="1" x14ac:dyDescent="0.2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5.75" customHeight="1" x14ac:dyDescent="0.2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5.75" customHeight="1" x14ac:dyDescent="0.2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5.75" customHeight="1" x14ac:dyDescent="0.2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5.75" customHeight="1" x14ac:dyDescent="0.2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5.75" customHeight="1" x14ac:dyDescent="0.2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5.75" customHeight="1" x14ac:dyDescent="0.2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5.75" customHeight="1" x14ac:dyDescent="0.2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5.75" customHeight="1" x14ac:dyDescent="0.2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5.75" customHeight="1" x14ac:dyDescent="0.2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5.75" customHeight="1" x14ac:dyDescent="0.2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5.75" customHeight="1" x14ac:dyDescent="0.2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5.75" customHeight="1" x14ac:dyDescent="0.2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5.75" customHeight="1" x14ac:dyDescent="0.2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5.75" customHeight="1" x14ac:dyDescent="0.2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5.75" customHeight="1" x14ac:dyDescent="0.2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5.75" customHeight="1" x14ac:dyDescent="0.2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5.75" customHeight="1" x14ac:dyDescent="0.2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5.75" customHeight="1" x14ac:dyDescent="0.2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5.75" customHeight="1" x14ac:dyDescent="0.2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5.75" customHeight="1" x14ac:dyDescent="0.2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5.75" customHeight="1" x14ac:dyDescent="0.2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5.75" customHeight="1" x14ac:dyDescent="0.2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5.75" customHeight="1" x14ac:dyDescent="0.2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5.75" customHeight="1" x14ac:dyDescent="0.2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5.75" customHeight="1" x14ac:dyDescent="0.2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5.75" customHeight="1" x14ac:dyDescent="0.2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5.75" customHeight="1" x14ac:dyDescent="0.2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5.75" customHeight="1" x14ac:dyDescent="0.2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5.75" customHeight="1" x14ac:dyDescent="0.2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5.75" customHeight="1" x14ac:dyDescent="0.2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5.75" customHeight="1" x14ac:dyDescent="0.2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5.75" customHeight="1" x14ac:dyDescent="0.2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5.75" customHeight="1" x14ac:dyDescent="0.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5.75" customHeight="1" x14ac:dyDescent="0.2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5.75" customHeight="1" x14ac:dyDescent="0.2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5.75" customHeight="1" x14ac:dyDescent="0.2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5.75" customHeight="1" x14ac:dyDescent="0.2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5.75" customHeight="1" x14ac:dyDescent="0.2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5.75" customHeight="1" x14ac:dyDescent="0.2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5.75" customHeight="1" x14ac:dyDescent="0.2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5.75" customHeight="1" x14ac:dyDescent="0.2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5.75" customHeight="1" x14ac:dyDescent="0.2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5.75" customHeight="1" x14ac:dyDescent="0.2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5.75" customHeight="1" x14ac:dyDescent="0.2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5.75" customHeight="1" x14ac:dyDescent="0.2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5.75" customHeight="1" x14ac:dyDescent="0.2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5.75" customHeight="1" x14ac:dyDescent="0.2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5.75" customHeight="1" x14ac:dyDescent="0.2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5.75" customHeight="1" x14ac:dyDescent="0.2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5.75" customHeight="1" x14ac:dyDescent="0.2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5.75" customHeight="1" x14ac:dyDescent="0.2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5.75" customHeight="1" x14ac:dyDescent="0.2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5.75" customHeight="1" x14ac:dyDescent="0.2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5.75" customHeight="1" x14ac:dyDescent="0.2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5.75" customHeight="1" x14ac:dyDescent="0.2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5.75" customHeight="1" x14ac:dyDescent="0.2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5.75" customHeight="1" x14ac:dyDescent="0.2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5.75" customHeight="1" x14ac:dyDescent="0.2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5.75" customHeight="1" x14ac:dyDescent="0.2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5.75" customHeight="1" x14ac:dyDescent="0.2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5.75" customHeight="1" x14ac:dyDescent="0.2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5.75" customHeight="1" x14ac:dyDescent="0.2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5.75" customHeight="1" x14ac:dyDescent="0.2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5.75" customHeight="1" x14ac:dyDescent="0.2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5.75" customHeight="1" x14ac:dyDescent="0.2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5.75" customHeight="1" x14ac:dyDescent="0.2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5.75" customHeight="1" x14ac:dyDescent="0.2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5.75" customHeight="1" x14ac:dyDescent="0.2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5.75" customHeight="1" x14ac:dyDescent="0.2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5.75" customHeight="1" x14ac:dyDescent="0.2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5.75" customHeight="1" x14ac:dyDescent="0.2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5.75" customHeight="1" x14ac:dyDescent="0.2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5.75" customHeight="1" x14ac:dyDescent="0.2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5.75" customHeight="1" x14ac:dyDescent="0.2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5.75" customHeight="1" x14ac:dyDescent="0.2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5.75" customHeight="1" x14ac:dyDescent="0.2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5.75" customHeight="1" x14ac:dyDescent="0.2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5.75" customHeight="1" x14ac:dyDescent="0.2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5.75" customHeight="1" x14ac:dyDescent="0.2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5.75" customHeight="1" x14ac:dyDescent="0.2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5.75" customHeight="1" x14ac:dyDescent="0.2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5.75" customHeight="1" x14ac:dyDescent="0.2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5.75" customHeight="1" x14ac:dyDescent="0.2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5.75" customHeight="1" x14ac:dyDescent="0.2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5.75" customHeight="1" x14ac:dyDescent="0.2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5.75" customHeight="1" x14ac:dyDescent="0.2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</sheetData>
  <phoneticPr fontId="19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TAV 1</vt:lpstr>
      <vt:lpstr>TPM 1</vt:lpstr>
      <vt:lpstr>TPM 2</vt:lpstr>
      <vt:lpstr>TKR 1</vt:lpstr>
      <vt:lpstr>TKR 2</vt:lpstr>
      <vt:lpstr>TKR 3</vt:lpstr>
      <vt:lpstr>TKR 4</vt:lpstr>
      <vt:lpstr>TKR 5</vt:lpstr>
      <vt:lpstr>TSM 1</vt:lpstr>
      <vt:lpstr>TSM 2</vt:lpstr>
      <vt:lpstr>TSM 3</vt:lpstr>
      <vt:lpstr>TSM 4</vt:lpstr>
      <vt:lpstr>RPL 1</vt:lpstr>
      <vt:lpstr>RPL 2</vt:lpstr>
      <vt:lpstr>stat</vt:lpstr>
      <vt:lpstr>Total</vt:lpstr>
      <vt:lpstr>alamat</vt:lpstr>
      <vt:lpstr>master</vt:lpstr>
      <vt:lpstr>alamat!Print_Area</vt:lpstr>
      <vt:lpstr>alamat!Print_Titles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</dc:creator>
  <cp:lastModifiedBy>MSB-TU</cp:lastModifiedBy>
  <cp:lastPrinted>2024-10-11T03:41:46Z</cp:lastPrinted>
  <dcterms:created xsi:type="dcterms:W3CDTF">2019-07-25T05:41:31Z</dcterms:created>
  <dcterms:modified xsi:type="dcterms:W3CDTF">2025-09-23T02:39:00Z</dcterms:modified>
</cp:coreProperties>
</file>