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DAFTAR SISWA 2025-2026\"/>
    </mc:Choice>
  </mc:AlternateContent>
  <xr:revisionPtr revIDLastSave="0" documentId="13_ncr:1_{7E019BE1-491C-42A3-8A68-9AC2B235E319}" xr6:coauthVersionLast="47" xr6:coauthVersionMax="47" xr10:uidLastSave="{00000000-0000-0000-0000-000000000000}"/>
  <bookViews>
    <workbookView xWindow="-120" yWindow="-120" windowWidth="24240" windowHeight="13020" tabRatio="896" activeTab="12" xr2:uid="{00000000-000D-0000-FFFF-FFFF00000000}"/>
  </bookViews>
  <sheets>
    <sheet name="TAV 1" sheetId="1" r:id="rId1"/>
    <sheet name="TPM 1" sheetId="2" r:id="rId2"/>
    <sheet name="TPM 2" sheetId="3" r:id="rId3"/>
    <sheet name="TKRO 1" sheetId="4" r:id="rId4"/>
    <sheet name="TKRO 2" sheetId="5" r:id="rId5"/>
    <sheet name="TKRO 3" sheetId="6" r:id="rId6"/>
    <sheet name="TKRO 4" sheetId="7" r:id="rId7"/>
    <sheet name="TKRO 5" sheetId="8" r:id="rId8"/>
    <sheet name="TBSM 1" sheetId="9" r:id="rId9"/>
    <sheet name="TBSM 2" sheetId="10" r:id="rId10"/>
    <sheet name="TBSM 3" sheetId="11" r:id="rId11"/>
    <sheet name="TBSM 4" sheetId="12" r:id="rId12"/>
    <sheet name="RPL 1" sheetId="13" r:id="rId13"/>
    <sheet name="RPL 2" sheetId="14" r:id="rId14"/>
    <sheet name="RPL 3" sheetId="15" r:id="rId15"/>
    <sheet name="stat" sheetId="16" r:id="rId16"/>
    <sheet name="Total" sheetId="17" r:id="rId17"/>
    <sheet name="alamat" sheetId="18" r:id="rId18"/>
    <sheet name="master" sheetId="19" r:id="rId19"/>
  </sheets>
  <definedNames>
    <definedName name="_xlnm._FilterDatabase" localSheetId="17" hidden="1">alamat!$B$1:$O$504</definedName>
    <definedName name="_xlnm.Print_Area" localSheetId="17">alamat!$D$436:$M$507</definedName>
    <definedName name="_xlnm.Print_Titles" localSheetId="17">alamat!$1:$1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3" roundtripDataChecksum="Z0D+asYu/Z+/9mkQxJHNv+8o//XYLLDvLNGmpOh7cm0="/>
    </ext>
  </extLst>
</workbook>
</file>

<file path=xl/calcChain.xml><?xml version="1.0" encoding="utf-8"?>
<calcChain xmlns="http://schemas.openxmlformats.org/spreadsheetml/2006/main">
  <c r="C10" i="16" l="1"/>
  <c r="C11" i="16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4" i="17"/>
  <c r="L4" i="17"/>
  <c r="M3" i="17"/>
  <c r="L3" i="17"/>
  <c r="M2" i="17"/>
  <c r="L2" i="17"/>
  <c r="F3" i="18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F101" i="18"/>
  <c r="F102" i="18"/>
  <c r="F103" i="18"/>
  <c r="F104" i="18"/>
  <c r="F105" i="18"/>
  <c r="F106" i="18"/>
  <c r="F107" i="18"/>
  <c r="F108" i="18"/>
  <c r="F109" i="18"/>
  <c r="F110" i="18"/>
  <c r="F111" i="18"/>
  <c r="F112" i="18"/>
  <c r="F113" i="18"/>
  <c r="F114" i="18"/>
  <c r="F115" i="18"/>
  <c r="F116" i="18"/>
  <c r="F117" i="18"/>
  <c r="F118" i="18"/>
  <c r="F119" i="18"/>
  <c r="F120" i="18"/>
  <c r="F121" i="18"/>
  <c r="F122" i="18"/>
  <c r="F123" i="18"/>
  <c r="F124" i="18"/>
  <c r="F125" i="18"/>
  <c r="F126" i="18"/>
  <c r="F127" i="18"/>
  <c r="F128" i="18"/>
  <c r="F129" i="18"/>
  <c r="F130" i="18"/>
  <c r="F131" i="18"/>
  <c r="F132" i="18"/>
  <c r="F133" i="18"/>
  <c r="F134" i="18"/>
  <c r="F135" i="18"/>
  <c r="F136" i="18"/>
  <c r="F137" i="18"/>
  <c r="F138" i="18"/>
  <c r="F139" i="18"/>
  <c r="F140" i="18"/>
  <c r="F141" i="18"/>
  <c r="F142" i="18"/>
  <c r="F143" i="18"/>
  <c r="F144" i="18"/>
  <c r="F145" i="18"/>
  <c r="F146" i="18"/>
  <c r="F147" i="18"/>
  <c r="F148" i="18"/>
  <c r="F149" i="18"/>
  <c r="F150" i="18"/>
  <c r="F151" i="18"/>
  <c r="F152" i="18"/>
  <c r="F153" i="18"/>
  <c r="F154" i="18"/>
  <c r="F155" i="18"/>
  <c r="F156" i="18"/>
  <c r="F157" i="18"/>
  <c r="F158" i="18"/>
  <c r="F159" i="18"/>
  <c r="F160" i="18"/>
  <c r="F161" i="18"/>
  <c r="F162" i="18"/>
  <c r="F163" i="18"/>
  <c r="F164" i="18"/>
  <c r="F165" i="18"/>
  <c r="F166" i="18"/>
  <c r="F167" i="18"/>
  <c r="F168" i="18"/>
  <c r="F169" i="18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90" i="18"/>
  <c r="F191" i="18"/>
  <c r="F192" i="18"/>
  <c r="F193" i="18"/>
  <c r="F194" i="18"/>
  <c r="F195" i="18"/>
  <c r="F196" i="18"/>
  <c r="F197" i="18"/>
  <c r="F198" i="18"/>
  <c r="F199" i="18"/>
  <c r="F200" i="18"/>
  <c r="F201" i="18"/>
  <c r="F202" i="18"/>
  <c r="F203" i="18"/>
  <c r="F204" i="18"/>
  <c r="F205" i="18"/>
  <c r="F206" i="18"/>
  <c r="F207" i="18"/>
  <c r="F208" i="18"/>
  <c r="F209" i="18"/>
  <c r="F210" i="18"/>
  <c r="F211" i="18"/>
  <c r="F212" i="18"/>
  <c r="F213" i="18"/>
  <c r="F214" i="18"/>
  <c r="F215" i="18"/>
  <c r="F216" i="18"/>
  <c r="F217" i="18"/>
  <c r="F218" i="18"/>
  <c r="F219" i="18"/>
  <c r="F220" i="18"/>
  <c r="F221" i="18"/>
  <c r="F222" i="18"/>
  <c r="F223" i="18"/>
  <c r="F224" i="18"/>
  <c r="F225" i="18"/>
  <c r="F226" i="18"/>
  <c r="F227" i="18"/>
  <c r="F228" i="18"/>
  <c r="F229" i="18"/>
  <c r="F230" i="18"/>
  <c r="F231" i="18"/>
  <c r="F232" i="18"/>
  <c r="F233" i="18"/>
  <c r="F234" i="18"/>
  <c r="F235" i="18"/>
  <c r="F236" i="18"/>
  <c r="F237" i="18"/>
  <c r="F238" i="18"/>
  <c r="F239" i="18"/>
  <c r="F240" i="18"/>
  <c r="F241" i="18"/>
  <c r="F242" i="18"/>
  <c r="F243" i="18"/>
  <c r="F244" i="18"/>
  <c r="F245" i="18"/>
  <c r="F246" i="18"/>
  <c r="F247" i="18"/>
  <c r="F248" i="18"/>
  <c r="F249" i="18"/>
  <c r="F250" i="18"/>
  <c r="F251" i="18"/>
  <c r="F252" i="18"/>
  <c r="F253" i="18"/>
  <c r="F254" i="18"/>
  <c r="F255" i="18"/>
  <c r="F256" i="18"/>
  <c r="F257" i="18"/>
  <c r="F258" i="18"/>
  <c r="F259" i="18"/>
  <c r="F260" i="18"/>
  <c r="F261" i="18"/>
  <c r="F262" i="18"/>
  <c r="F263" i="18"/>
  <c r="F264" i="18"/>
  <c r="F265" i="18"/>
  <c r="F266" i="18"/>
  <c r="F267" i="18"/>
  <c r="F268" i="18"/>
  <c r="F269" i="18"/>
  <c r="F270" i="18"/>
  <c r="F271" i="18"/>
  <c r="F272" i="18"/>
  <c r="F273" i="18"/>
  <c r="F274" i="18"/>
  <c r="F275" i="18"/>
  <c r="F276" i="18"/>
  <c r="F277" i="18"/>
  <c r="F278" i="18"/>
  <c r="F279" i="18"/>
  <c r="F280" i="18"/>
  <c r="F281" i="18"/>
  <c r="F282" i="18"/>
  <c r="F283" i="18"/>
  <c r="F284" i="18"/>
  <c r="F285" i="18"/>
  <c r="F286" i="18"/>
  <c r="F287" i="18"/>
  <c r="F288" i="18"/>
  <c r="F289" i="18"/>
  <c r="F290" i="18"/>
  <c r="F291" i="18"/>
  <c r="F292" i="18"/>
  <c r="F293" i="18"/>
  <c r="F294" i="18"/>
  <c r="F295" i="18"/>
  <c r="F296" i="18"/>
  <c r="F297" i="18"/>
  <c r="F298" i="18"/>
  <c r="F299" i="18"/>
  <c r="F300" i="18"/>
  <c r="F301" i="18"/>
  <c r="F302" i="18"/>
  <c r="F303" i="18"/>
  <c r="F304" i="18"/>
  <c r="F305" i="18"/>
  <c r="F306" i="18"/>
  <c r="F307" i="18"/>
  <c r="F308" i="18"/>
  <c r="F309" i="18"/>
  <c r="F310" i="18"/>
  <c r="F311" i="18"/>
  <c r="F312" i="18"/>
  <c r="F313" i="18"/>
  <c r="F314" i="18"/>
  <c r="F315" i="18"/>
  <c r="F316" i="18"/>
  <c r="F317" i="18"/>
  <c r="F318" i="18"/>
  <c r="F319" i="18"/>
  <c r="F320" i="18"/>
  <c r="F321" i="18"/>
  <c r="F322" i="18"/>
  <c r="F323" i="18"/>
  <c r="F324" i="18"/>
  <c r="F325" i="18"/>
  <c r="F326" i="18"/>
  <c r="F327" i="18"/>
  <c r="F328" i="18"/>
  <c r="F329" i="18"/>
  <c r="F330" i="18"/>
  <c r="F331" i="18"/>
  <c r="F332" i="18"/>
  <c r="F333" i="18"/>
  <c r="F334" i="18"/>
  <c r="F335" i="18"/>
  <c r="F336" i="18"/>
  <c r="F337" i="18"/>
  <c r="F338" i="18"/>
  <c r="F339" i="18"/>
  <c r="F340" i="18"/>
  <c r="F341" i="18"/>
  <c r="F342" i="18"/>
  <c r="F343" i="18"/>
  <c r="F344" i="18"/>
  <c r="F345" i="18"/>
  <c r="F346" i="18"/>
  <c r="F347" i="18"/>
  <c r="F348" i="18"/>
  <c r="F349" i="18"/>
  <c r="F350" i="18"/>
  <c r="F351" i="18"/>
  <c r="F352" i="18"/>
  <c r="F353" i="18"/>
  <c r="F354" i="18"/>
  <c r="F355" i="18"/>
  <c r="F356" i="18"/>
  <c r="F357" i="18"/>
  <c r="F358" i="18"/>
  <c r="F359" i="18"/>
  <c r="F360" i="18"/>
  <c r="F361" i="18"/>
  <c r="F362" i="18"/>
  <c r="F363" i="18"/>
  <c r="F364" i="18"/>
  <c r="F365" i="18"/>
  <c r="F366" i="18"/>
  <c r="F367" i="18"/>
  <c r="F368" i="18"/>
  <c r="F369" i="18"/>
  <c r="F370" i="18"/>
  <c r="F371" i="18"/>
  <c r="F372" i="18"/>
  <c r="F373" i="18"/>
  <c r="F374" i="18"/>
  <c r="F375" i="18"/>
  <c r="F376" i="18"/>
  <c r="F377" i="18"/>
  <c r="F378" i="18"/>
  <c r="F379" i="18"/>
  <c r="F380" i="18"/>
  <c r="F381" i="18"/>
  <c r="F382" i="18"/>
  <c r="F383" i="18"/>
  <c r="F384" i="18"/>
  <c r="F385" i="18"/>
  <c r="F386" i="18"/>
  <c r="F387" i="18"/>
  <c r="F388" i="18"/>
  <c r="F389" i="18"/>
  <c r="F390" i="18"/>
  <c r="F391" i="18"/>
  <c r="F392" i="18"/>
  <c r="F393" i="18"/>
  <c r="F394" i="18"/>
  <c r="F395" i="18"/>
  <c r="F396" i="18"/>
  <c r="F397" i="18"/>
  <c r="F398" i="18"/>
  <c r="F399" i="18"/>
  <c r="F400" i="18"/>
  <c r="F401" i="18"/>
  <c r="F402" i="18"/>
  <c r="F403" i="18"/>
  <c r="F404" i="18"/>
  <c r="F405" i="18"/>
  <c r="F406" i="18"/>
  <c r="F407" i="18"/>
  <c r="F408" i="18"/>
  <c r="F409" i="18"/>
  <c r="F410" i="18"/>
  <c r="F411" i="18"/>
  <c r="F412" i="18"/>
  <c r="F413" i="18"/>
  <c r="F414" i="18"/>
  <c r="F415" i="18"/>
  <c r="F416" i="18"/>
  <c r="F417" i="18"/>
  <c r="F418" i="18"/>
  <c r="F419" i="18"/>
  <c r="F420" i="18"/>
  <c r="F421" i="18"/>
  <c r="F422" i="18"/>
  <c r="F423" i="18"/>
  <c r="F424" i="18"/>
  <c r="F425" i="18"/>
  <c r="F426" i="18"/>
  <c r="F427" i="18"/>
  <c r="F428" i="18"/>
  <c r="F429" i="18"/>
  <c r="F430" i="18"/>
  <c r="F431" i="18"/>
  <c r="F432" i="18"/>
  <c r="F433" i="18"/>
  <c r="F434" i="18"/>
  <c r="F435" i="18"/>
  <c r="F436" i="18"/>
  <c r="F437" i="18"/>
  <c r="F438" i="18"/>
  <c r="F439" i="18"/>
  <c r="F440" i="18"/>
  <c r="F441" i="18"/>
  <c r="F442" i="18"/>
  <c r="F443" i="18"/>
  <c r="F444" i="18"/>
  <c r="F445" i="18"/>
  <c r="F446" i="18"/>
  <c r="F447" i="18"/>
  <c r="F448" i="18"/>
  <c r="F449" i="18"/>
  <c r="F450" i="18"/>
  <c r="F451" i="18"/>
  <c r="F452" i="18"/>
  <c r="F453" i="18"/>
  <c r="F454" i="18"/>
  <c r="F455" i="18"/>
  <c r="F456" i="18"/>
  <c r="F457" i="18"/>
  <c r="F458" i="18"/>
  <c r="F459" i="18"/>
  <c r="F460" i="18"/>
  <c r="F461" i="18"/>
  <c r="F462" i="18"/>
  <c r="F463" i="18"/>
  <c r="F464" i="18"/>
  <c r="F465" i="18"/>
  <c r="F466" i="18"/>
  <c r="F467" i="18"/>
  <c r="F468" i="18"/>
  <c r="F469" i="18"/>
  <c r="F470" i="18"/>
  <c r="F471" i="18"/>
  <c r="F472" i="18"/>
  <c r="F473" i="18"/>
  <c r="F474" i="18"/>
  <c r="F475" i="18"/>
  <c r="F476" i="18"/>
  <c r="F477" i="18"/>
  <c r="F478" i="18"/>
  <c r="F479" i="18"/>
  <c r="F480" i="18"/>
  <c r="F481" i="18"/>
  <c r="F482" i="18"/>
  <c r="F483" i="18"/>
  <c r="F484" i="18"/>
  <c r="F485" i="18"/>
  <c r="F486" i="18"/>
  <c r="F487" i="18"/>
  <c r="F488" i="18"/>
  <c r="F489" i="18"/>
  <c r="F490" i="18"/>
  <c r="F491" i="18"/>
  <c r="F492" i="18"/>
  <c r="F493" i="18"/>
  <c r="F494" i="18"/>
  <c r="F495" i="18"/>
  <c r="F496" i="18"/>
  <c r="F497" i="18"/>
  <c r="F498" i="18"/>
  <c r="F499" i="18"/>
  <c r="F500" i="18"/>
  <c r="F501" i="18"/>
  <c r="F502" i="18"/>
  <c r="F503" i="18"/>
  <c r="F504" i="18"/>
  <c r="F505" i="18"/>
  <c r="F506" i="18"/>
  <c r="F507" i="18"/>
  <c r="F508" i="18"/>
  <c r="F509" i="18"/>
  <c r="F510" i="18"/>
  <c r="F511" i="18"/>
  <c r="F512" i="18"/>
  <c r="F513" i="18"/>
  <c r="F514" i="18"/>
  <c r="F2" i="18"/>
  <c r="O469" i="18"/>
  <c r="N469" i="18"/>
  <c r="M469" i="18"/>
  <c r="L469" i="18"/>
  <c r="K469" i="18"/>
  <c r="J469" i="18"/>
  <c r="I469" i="18"/>
  <c r="H469" i="18"/>
  <c r="G469" i="18"/>
  <c r="O501" i="18"/>
  <c r="N501" i="18"/>
  <c r="M501" i="18"/>
  <c r="L501" i="18"/>
  <c r="K501" i="18"/>
  <c r="J501" i="18"/>
  <c r="I501" i="18"/>
  <c r="H501" i="18"/>
  <c r="G501" i="18"/>
  <c r="O27" i="18"/>
  <c r="N27" i="18"/>
  <c r="M27" i="18"/>
  <c r="L27" i="18"/>
  <c r="K27" i="18"/>
  <c r="J27" i="18"/>
  <c r="I27" i="18"/>
  <c r="H27" i="18"/>
  <c r="G27" i="18"/>
  <c r="O514" i="18"/>
  <c r="N514" i="18"/>
  <c r="M514" i="18"/>
  <c r="L514" i="18"/>
  <c r="K514" i="18"/>
  <c r="J514" i="18"/>
  <c r="I514" i="18"/>
  <c r="H514" i="18"/>
  <c r="G514" i="18"/>
  <c r="O513" i="18"/>
  <c r="N513" i="18"/>
  <c r="M513" i="18"/>
  <c r="L513" i="18"/>
  <c r="K513" i="18"/>
  <c r="J513" i="18"/>
  <c r="I513" i="18"/>
  <c r="H513" i="18"/>
  <c r="G513" i="18"/>
  <c r="O512" i="18"/>
  <c r="N512" i="18"/>
  <c r="M512" i="18"/>
  <c r="L512" i="18"/>
  <c r="K512" i="18"/>
  <c r="J512" i="18"/>
  <c r="I512" i="18"/>
  <c r="H512" i="18"/>
  <c r="G512" i="18"/>
  <c r="O511" i="18"/>
  <c r="N511" i="18"/>
  <c r="M511" i="18"/>
  <c r="L511" i="18"/>
  <c r="K511" i="18"/>
  <c r="J511" i="18"/>
  <c r="I511" i="18"/>
  <c r="H511" i="18"/>
  <c r="G511" i="18"/>
  <c r="O510" i="18"/>
  <c r="N510" i="18"/>
  <c r="M510" i="18"/>
  <c r="L510" i="18"/>
  <c r="K510" i="18"/>
  <c r="J510" i="18"/>
  <c r="I510" i="18"/>
  <c r="H510" i="18"/>
  <c r="G510" i="18"/>
  <c r="O509" i="18"/>
  <c r="N509" i="18"/>
  <c r="M509" i="18"/>
  <c r="L509" i="18"/>
  <c r="K509" i="18"/>
  <c r="J509" i="18"/>
  <c r="I509" i="18"/>
  <c r="H509" i="18"/>
  <c r="G509" i="18"/>
  <c r="O508" i="18"/>
  <c r="N508" i="18"/>
  <c r="M508" i="18"/>
  <c r="L508" i="18"/>
  <c r="K508" i="18"/>
  <c r="J508" i="18"/>
  <c r="I508" i="18"/>
  <c r="H508" i="18"/>
  <c r="G508" i="18"/>
  <c r="O507" i="18"/>
  <c r="N507" i="18"/>
  <c r="M507" i="18"/>
  <c r="L507" i="18"/>
  <c r="K507" i="18"/>
  <c r="J507" i="18"/>
  <c r="I507" i="18"/>
  <c r="H507" i="18"/>
  <c r="G507" i="18"/>
  <c r="O506" i="18"/>
  <c r="N506" i="18"/>
  <c r="M506" i="18"/>
  <c r="L506" i="18"/>
  <c r="K506" i="18"/>
  <c r="J506" i="18"/>
  <c r="I506" i="18"/>
  <c r="H506" i="18"/>
  <c r="G506" i="18"/>
  <c r="O505" i="18"/>
  <c r="N505" i="18"/>
  <c r="M505" i="18"/>
  <c r="L505" i="18"/>
  <c r="K505" i="18"/>
  <c r="J505" i="18"/>
  <c r="I505" i="18"/>
  <c r="H505" i="18"/>
  <c r="G505" i="18"/>
  <c r="O504" i="18"/>
  <c r="N504" i="18"/>
  <c r="M504" i="18"/>
  <c r="L504" i="18"/>
  <c r="K504" i="18"/>
  <c r="J504" i="18"/>
  <c r="I504" i="18"/>
  <c r="H504" i="18"/>
  <c r="G504" i="18"/>
  <c r="O503" i="18"/>
  <c r="N503" i="18"/>
  <c r="M503" i="18"/>
  <c r="L503" i="18"/>
  <c r="K503" i="18"/>
  <c r="J503" i="18"/>
  <c r="I503" i="18"/>
  <c r="H503" i="18"/>
  <c r="G503" i="18"/>
  <c r="O502" i="18"/>
  <c r="N502" i="18"/>
  <c r="M502" i="18"/>
  <c r="L502" i="18"/>
  <c r="K502" i="18"/>
  <c r="J502" i="18"/>
  <c r="I502" i="18"/>
  <c r="H502" i="18"/>
  <c r="G502" i="18"/>
  <c r="O500" i="18"/>
  <c r="N500" i="18"/>
  <c r="M500" i="18"/>
  <c r="L500" i="18"/>
  <c r="K500" i="18"/>
  <c r="J500" i="18"/>
  <c r="H500" i="18"/>
  <c r="G500" i="18"/>
  <c r="O499" i="18"/>
  <c r="N499" i="18"/>
  <c r="M499" i="18"/>
  <c r="L499" i="18"/>
  <c r="K499" i="18"/>
  <c r="J499" i="18"/>
  <c r="I499" i="18"/>
  <c r="H499" i="18"/>
  <c r="G499" i="18"/>
  <c r="O498" i="18"/>
  <c r="N498" i="18"/>
  <c r="M498" i="18"/>
  <c r="L498" i="18"/>
  <c r="K498" i="18"/>
  <c r="J498" i="18"/>
  <c r="I498" i="18"/>
  <c r="H498" i="18"/>
  <c r="G498" i="18"/>
  <c r="O497" i="18"/>
  <c r="N497" i="18"/>
  <c r="M497" i="18"/>
  <c r="L497" i="18"/>
  <c r="K497" i="18"/>
  <c r="J497" i="18"/>
  <c r="I497" i="18"/>
  <c r="H497" i="18"/>
  <c r="G497" i="18"/>
  <c r="O496" i="18"/>
  <c r="N496" i="18"/>
  <c r="M496" i="18"/>
  <c r="L496" i="18"/>
  <c r="K496" i="18"/>
  <c r="J496" i="18"/>
  <c r="I496" i="18"/>
  <c r="H496" i="18"/>
  <c r="G496" i="18"/>
  <c r="O495" i="18"/>
  <c r="N495" i="18"/>
  <c r="M495" i="18"/>
  <c r="L495" i="18"/>
  <c r="K495" i="18"/>
  <c r="J495" i="18"/>
  <c r="I495" i="18"/>
  <c r="H495" i="18"/>
  <c r="G495" i="18"/>
  <c r="O494" i="18"/>
  <c r="N494" i="18"/>
  <c r="M494" i="18"/>
  <c r="L494" i="18"/>
  <c r="K494" i="18"/>
  <c r="J494" i="18"/>
  <c r="I494" i="18"/>
  <c r="H494" i="18"/>
  <c r="G494" i="18"/>
  <c r="O493" i="18"/>
  <c r="N493" i="18"/>
  <c r="M493" i="18"/>
  <c r="L493" i="18"/>
  <c r="K493" i="18"/>
  <c r="J493" i="18"/>
  <c r="I493" i="18"/>
  <c r="H493" i="18"/>
  <c r="G493" i="18"/>
  <c r="O492" i="18"/>
  <c r="N492" i="18"/>
  <c r="M492" i="18"/>
  <c r="L492" i="18"/>
  <c r="K492" i="18"/>
  <c r="J492" i="18"/>
  <c r="I492" i="18"/>
  <c r="H492" i="18"/>
  <c r="G492" i="18"/>
  <c r="O491" i="18"/>
  <c r="N491" i="18"/>
  <c r="M491" i="18"/>
  <c r="L491" i="18"/>
  <c r="K491" i="18"/>
  <c r="J491" i="18"/>
  <c r="I491" i="18"/>
  <c r="H491" i="18"/>
  <c r="G491" i="18"/>
  <c r="O490" i="18"/>
  <c r="N490" i="18"/>
  <c r="M490" i="18"/>
  <c r="L490" i="18"/>
  <c r="K490" i="18"/>
  <c r="J490" i="18"/>
  <c r="I490" i="18"/>
  <c r="H490" i="18"/>
  <c r="G490" i="18"/>
  <c r="O489" i="18"/>
  <c r="N489" i="18"/>
  <c r="M489" i="18"/>
  <c r="L489" i="18"/>
  <c r="K489" i="18"/>
  <c r="J489" i="18"/>
  <c r="I489" i="18"/>
  <c r="H489" i="18"/>
  <c r="G489" i="18"/>
  <c r="O488" i="18"/>
  <c r="N488" i="18"/>
  <c r="M488" i="18"/>
  <c r="L488" i="18"/>
  <c r="K488" i="18"/>
  <c r="J488" i="18"/>
  <c r="I488" i="18"/>
  <c r="H488" i="18"/>
  <c r="G488" i="18"/>
  <c r="O487" i="18"/>
  <c r="N487" i="18"/>
  <c r="M487" i="18"/>
  <c r="L487" i="18"/>
  <c r="K487" i="18"/>
  <c r="J487" i="18"/>
  <c r="I487" i="18"/>
  <c r="H487" i="18"/>
  <c r="G487" i="18"/>
  <c r="O486" i="18"/>
  <c r="N486" i="18"/>
  <c r="M486" i="18"/>
  <c r="L486" i="18"/>
  <c r="K486" i="18"/>
  <c r="J486" i="18"/>
  <c r="I486" i="18"/>
  <c r="H486" i="18"/>
  <c r="G486" i="18"/>
  <c r="O485" i="18"/>
  <c r="N485" i="18"/>
  <c r="M485" i="18"/>
  <c r="L485" i="18"/>
  <c r="K485" i="18"/>
  <c r="J485" i="18"/>
  <c r="I485" i="18"/>
  <c r="H485" i="18"/>
  <c r="G485" i="18"/>
  <c r="O484" i="18"/>
  <c r="N484" i="18"/>
  <c r="M484" i="18"/>
  <c r="L484" i="18"/>
  <c r="K484" i="18"/>
  <c r="J484" i="18"/>
  <c r="I484" i="18"/>
  <c r="H484" i="18"/>
  <c r="G484" i="18"/>
  <c r="O483" i="18"/>
  <c r="N483" i="18"/>
  <c r="M483" i="18"/>
  <c r="L483" i="18"/>
  <c r="K483" i="18"/>
  <c r="J483" i="18"/>
  <c r="I483" i="18"/>
  <c r="H483" i="18"/>
  <c r="G483" i="18"/>
  <c r="O482" i="18"/>
  <c r="N482" i="18"/>
  <c r="M482" i="18"/>
  <c r="L482" i="18"/>
  <c r="K482" i="18"/>
  <c r="J482" i="18"/>
  <c r="I482" i="18"/>
  <c r="H482" i="18"/>
  <c r="G482" i="18"/>
  <c r="O481" i="18"/>
  <c r="N481" i="18"/>
  <c r="M481" i="18"/>
  <c r="L481" i="18"/>
  <c r="K481" i="18"/>
  <c r="J481" i="18"/>
  <c r="I481" i="18"/>
  <c r="H481" i="18"/>
  <c r="G481" i="18"/>
  <c r="O480" i="18"/>
  <c r="N480" i="18"/>
  <c r="M480" i="18"/>
  <c r="L480" i="18"/>
  <c r="K480" i="18"/>
  <c r="J480" i="18"/>
  <c r="I480" i="18"/>
  <c r="H480" i="18"/>
  <c r="G480" i="18"/>
  <c r="O479" i="18"/>
  <c r="N479" i="18"/>
  <c r="M479" i="18"/>
  <c r="L479" i="18"/>
  <c r="K479" i="18"/>
  <c r="J479" i="18"/>
  <c r="I479" i="18"/>
  <c r="H479" i="18"/>
  <c r="G479" i="18"/>
  <c r="O478" i="18"/>
  <c r="N478" i="18"/>
  <c r="M478" i="18"/>
  <c r="L478" i="18"/>
  <c r="K478" i="18"/>
  <c r="J478" i="18"/>
  <c r="I478" i="18"/>
  <c r="H478" i="18"/>
  <c r="G478" i="18"/>
  <c r="O477" i="18"/>
  <c r="N477" i="18"/>
  <c r="M477" i="18"/>
  <c r="L477" i="18"/>
  <c r="K477" i="18"/>
  <c r="J477" i="18"/>
  <c r="I477" i="18"/>
  <c r="H477" i="18"/>
  <c r="G477" i="18"/>
  <c r="O476" i="18"/>
  <c r="N476" i="18"/>
  <c r="M476" i="18"/>
  <c r="L476" i="18"/>
  <c r="K476" i="18"/>
  <c r="J476" i="18"/>
  <c r="I476" i="18"/>
  <c r="H476" i="18"/>
  <c r="G476" i="18"/>
  <c r="O475" i="18"/>
  <c r="N475" i="18"/>
  <c r="M475" i="18"/>
  <c r="L475" i="18"/>
  <c r="K475" i="18"/>
  <c r="J475" i="18"/>
  <c r="I475" i="18"/>
  <c r="H475" i="18"/>
  <c r="G475" i="18"/>
  <c r="O474" i="18"/>
  <c r="N474" i="18"/>
  <c r="M474" i="18"/>
  <c r="L474" i="18"/>
  <c r="K474" i="18"/>
  <c r="J474" i="18"/>
  <c r="I474" i="18"/>
  <c r="H474" i="18"/>
  <c r="G474" i="18"/>
  <c r="O473" i="18"/>
  <c r="N473" i="18"/>
  <c r="M473" i="18"/>
  <c r="L473" i="18"/>
  <c r="K473" i="18"/>
  <c r="J473" i="18"/>
  <c r="I473" i="18"/>
  <c r="H473" i="18"/>
  <c r="G473" i="18"/>
  <c r="O472" i="18"/>
  <c r="N472" i="18"/>
  <c r="M472" i="18"/>
  <c r="L472" i="18"/>
  <c r="K472" i="18"/>
  <c r="J472" i="18"/>
  <c r="I472" i="18"/>
  <c r="H472" i="18"/>
  <c r="G472" i="18"/>
  <c r="O471" i="18"/>
  <c r="N471" i="18"/>
  <c r="M471" i="18"/>
  <c r="L471" i="18"/>
  <c r="K471" i="18"/>
  <c r="J471" i="18"/>
  <c r="I471" i="18"/>
  <c r="H471" i="18"/>
  <c r="G471" i="18"/>
  <c r="O470" i="18"/>
  <c r="N470" i="18"/>
  <c r="M470" i="18"/>
  <c r="L470" i="18"/>
  <c r="K470" i="18"/>
  <c r="J470" i="18"/>
  <c r="I470" i="18"/>
  <c r="H470" i="18"/>
  <c r="G470" i="18"/>
  <c r="O468" i="18"/>
  <c r="N468" i="18"/>
  <c r="M468" i="18"/>
  <c r="L468" i="18"/>
  <c r="K468" i="18"/>
  <c r="J468" i="18"/>
  <c r="I468" i="18"/>
  <c r="H468" i="18"/>
  <c r="G468" i="18"/>
  <c r="O467" i="18"/>
  <c r="N467" i="18"/>
  <c r="M467" i="18"/>
  <c r="L467" i="18"/>
  <c r="K467" i="18"/>
  <c r="J467" i="18"/>
  <c r="I467" i="18"/>
  <c r="H467" i="18"/>
  <c r="G467" i="18"/>
  <c r="O466" i="18"/>
  <c r="N466" i="18"/>
  <c r="M466" i="18"/>
  <c r="L466" i="18"/>
  <c r="K466" i="18"/>
  <c r="J466" i="18"/>
  <c r="I466" i="18"/>
  <c r="H466" i="18"/>
  <c r="G466" i="18"/>
  <c r="O465" i="18"/>
  <c r="N465" i="18"/>
  <c r="M465" i="18"/>
  <c r="L465" i="18"/>
  <c r="K465" i="18"/>
  <c r="J465" i="18"/>
  <c r="I465" i="18"/>
  <c r="H465" i="18"/>
  <c r="G465" i="18"/>
  <c r="O464" i="18"/>
  <c r="N464" i="18"/>
  <c r="M464" i="18"/>
  <c r="L464" i="18"/>
  <c r="K464" i="18"/>
  <c r="J464" i="18"/>
  <c r="I464" i="18"/>
  <c r="H464" i="18"/>
  <c r="G464" i="18"/>
  <c r="O463" i="18"/>
  <c r="N463" i="18"/>
  <c r="M463" i="18"/>
  <c r="L463" i="18"/>
  <c r="K463" i="18"/>
  <c r="J463" i="18"/>
  <c r="I463" i="18"/>
  <c r="H463" i="18"/>
  <c r="G463" i="18"/>
  <c r="O462" i="18"/>
  <c r="N462" i="18"/>
  <c r="M462" i="18"/>
  <c r="L462" i="18"/>
  <c r="K462" i="18"/>
  <c r="J462" i="18"/>
  <c r="I462" i="18"/>
  <c r="H462" i="18"/>
  <c r="G462" i="18"/>
  <c r="O461" i="18"/>
  <c r="N461" i="18"/>
  <c r="M461" i="18"/>
  <c r="L461" i="18"/>
  <c r="K461" i="18"/>
  <c r="J461" i="18"/>
  <c r="I461" i="18"/>
  <c r="H461" i="18"/>
  <c r="G461" i="18"/>
  <c r="O460" i="18"/>
  <c r="N460" i="18"/>
  <c r="M460" i="18"/>
  <c r="L460" i="18"/>
  <c r="K460" i="18"/>
  <c r="J460" i="18"/>
  <c r="I460" i="18"/>
  <c r="H460" i="18"/>
  <c r="G460" i="18"/>
  <c r="O459" i="18"/>
  <c r="N459" i="18"/>
  <c r="M459" i="18"/>
  <c r="L459" i="18"/>
  <c r="K459" i="18"/>
  <c r="J459" i="18"/>
  <c r="I459" i="18"/>
  <c r="H459" i="18"/>
  <c r="G459" i="18"/>
  <c r="O458" i="18"/>
  <c r="N458" i="18"/>
  <c r="M458" i="18"/>
  <c r="L458" i="18"/>
  <c r="K458" i="18"/>
  <c r="J458" i="18"/>
  <c r="I458" i="18"/>
  <c r="H458" i="18"/>
  <c r="G458" i="18"/>
  <c r="O457" i="18"/>
  <c r="N457" i="18"/>
  <c r="M457" i="18"/>
  <c r="L457" i="18"/>
  <c r="K457" i="18"/>
  <c r="J457" i="18"/>
  <c r="I457" i="18"/>
  <c r="H457" i="18"/>
  <c r="G457" i="18"/>
  <c r="O456" i="18"/>
  <c r="N456" i="18"/>
  <c r="M456" i="18"/>
  <c r="L456" i="18"/>
  <c r="K456" i="18"/>
  <c r="J456" i="18"/>
  <c r="I456" i="18"/>
  <c r="H456" i="18"/>
  <c r="G456" i="18"/>
  <c r="O455" i="18"/>
  <c r="N455" i="18"/>
  <c r="M455" i="18"/>
  <c r="L455" i="18"/>
  <c r="K455" i="18"/>
  <c r="J455" i="18"/>
  <c r="I455" i="18"/>
  <c r="H455" i="18"/>
  <c r="G455" i="18"/>
  <c r="O454" i="18"/>
  <c r="N454" i="18"/>
  <c r="M454" i="18"/>
  <c r="L454" i="18"/>
  <c r="K454" i="18"/>
  <c r="J454" i="18"/>
  <c r="I454" i="18"/>
  <c r="H454" i="18"/>
  <c r="G454" i="18"/>
  <c r="O453" i="18"/>
  <c r="N453" i="18"/>
  <c r="M453" i="18"/>
  <c r="L453" i="18"/>
  <c r="K453" i="18"/>
  <c r="J453" i="18"/>
  <c r="I453" i="18"/>
  <c r="H453" i="18"/>
  <c r="G453" i="18"/>
  <c r="O452" i="18"/>
  <c r="N452" i="18"/>
  <c r="M452" i="18"/>
  <c r="L452" i="18"/>
  <c r="K452" i="18"/>
  <c r="J452" i="18"/>
  <c r="I452" i="18"/>
  <c r="H452" i="18"/>
  <c r="G452" i="18"/>
  <c r="O451" i="18"/>
  <c r="N451" i="18"/>
  <c r="M451" i="18"/>
  <c r="L451" i="18"/>
  <c r="K451" i="18"/>
  <c r="J451" i="18"/>
  <c r="I451" i="18"/>
  <c r="H451" i="18"/>
  <c r="G451" i="18"/>
  <c r="O450" i="18"/>
  <c r="N450" i="18"/>
  <c r="M450" i="18"/>
  <c r="L450" i="18"/>
  <c r="K450" i="18"/>
  <c r="J450" i="18"/>
  <c r="I450" i="18"/>
  <c r="H450" i="18"/>
  <c r="G450" i="18"/>
  <c r="O449" i="18"/>
  <c r="N449" i="18"/>
  <c r="M449" i="18"/>
  <c r="L449" i="18"/>
  <c r="K449" i="18"/>
  <c r="J449" i="18"/>
  <c r="I449" i="18"/>
  <c r="H449" i="18"/>
  <c r="G449" i="18"/>
  <c r="O448" i="18"/>
  <c r="N448" i="18"/>
  <c r="M448" i="18"/>
  <c r="L448" i="18"/>
  <c r="K448" i="18"/>
  <c r="J448" i="18"/>
  <c r="I448" i="18"/>
  <c r="H448" i="18"/>
  <c r="G448" i="18"/>
  <c r="O447" i="18"/>
  <c r="N447" i="18"/>
  <c r="M447" i="18"/>
  <c r="L447" i="18"/>
  <c r="K447" i="18"/>
  <c r="J447" i="18"/>
  <c r="I447" i="18"/>
  <c r="H447" i="18"/>
  <c r="G447" i="18"/>
  <c r="O446" i="18"/>
  <c r="N446" i="18"/>
  <c r="M446" i="18"/>
  <c r="L446" i="18"/>
  <c r="K446" i="18"/>
  <c r="J446" i="18"/>
  <c r="I446" i="18"/>
  <c r="H446" i="18"/>
  <c r="G446" i="18"/>
  <c r="O445" i="18"/>
  <c r="N445" i="18"/>
  <c r="M445" i="18"/>
  <c r="L445" i="18"/>
  <c r="K445" i="18"/>
  <c r="J445" i="18"/>
  <c r="I445" i="18"/>
  <c r="H445" i="18"/>
  <c r="G445" i="18"/>
  <c r="O444" i="18"/>
  <c r="N444" i="18"/>
  <c r="M444" i="18"/>
  <c r="L444" i="18"/>
  <c r="K444" i="18"/>
  <c r="J444" i="18"/>
  <c r="I444" i="18"/>
  <c r="H444" i="18"/>
  <c r="G444" i="18"/>
  <c r="O443" i="18"/>
  <c r="N443" i="18"/>
  <c r="M443" i="18"/>
  <c r="L443" i="18"/>
  <c r="K443" i="18"/>
  <c r="J443" i="18"/>
  <c r="I443" i="18"/>
  <c r="H443" i="18"/>
  <c r="G443" i="18"/>
  <c r="O442" i="18"/>
  <c r="N442" i="18"/>
  <c r="M442" i="18"/>
  <c r="L442" i="18"/>
  <c r="K442" i="18"/>
  <c r="J442" i="18"/>
  <c r="I442" i="18"/>
  <c r="H442" i="18"/>
  <c r="G442" i="18"/>
  <c r="O441" i="18"/>
  <c r="N441" i="18"/>
  <c r="M441" i="18"/>
  <c r="L441" i="18"/>
  <c r="K441" i="18"/>
  <c r="J441" i="18"/>
  <c r="I441" i="18"/>
  <c r="H441" i="18"/>
  <c r="G441" i="18"/>
  <c r="O440" i="18"/>
  <c r="N440" i="18"/>
  <c r="M440" i="18"/>
  <c r="L440" i="18"/>
  <c r="K440" i="18"/>
  <c r="J440" i="18"/>
  <c r="I440" i="18"/>
  <c r="H440" i="18"/>
  <c r="G440" i="18"/>
  <c r="O439" i="18"/>
  <c r="N439" i="18"/>
  <c r="M439" i="18"/>
  <c r="L439" i="18"/>
  <c r="K439" i="18"/>
  <c r="J439" i="18"/>
  <c r="I439" i="18"/>
  <c r="H439" i="18"/>
  <c r="G439" i="18"/>
  <c r="O438" i="18"/>
  <c r="N438" i="18"/>
  <c r="M438" i="18"/>
  <c r="L438" i="18"/>
  <c r="K438" i="18"/>
  <c r="J438" i="18"/>
  <c r="I438" i="18"/>
  <c r="H438" i="18"/>
  <c r="G438" i="18"/>
  <c r="O437" i="18"/>
  <c r="N437" i="18"/>
  <c r="M437" i="18"/>
  <c r="L437" i="18"/>
  <c r="K437" i="18"/>
  <c r="J437" i="18"/>
  <c r="I437" i="18"/>
  <c r="H437" i="18"/>
  <c r="G437" i="18"/>
  <c r="O436" i="18"/>
  <c r="N436" i="18"/>
  <c r="M436" i="18"/>
  <c r="L436" i="18"/>
  <c r="K436" i="18"/>
  <c r="J436" i="18"/>
  <c r="I436" i="18"/>
  <c r="H436" i="18"/>
  <c r="G436" i="18"/>
  <c r="O435" i="18"/>
  <c r="N435" i="18"/>
  <c r="M435" i="18"/>
  <c r="L435" i="18"/>
  <c r="K435" i="18"/>
  <c r="J435" i="18"/>
  <c r="I435" i="18"/>
  <c r="H435" i="18"/>
  <c r="G435" i="18"/>
  <c r="O434" i="18"/>
  <c r="N434" i="18"/>
  <c r="M434" i="18"/>
  <c r="L434" i="18"/>
  <c r="K434" i="18"/>
  <c r="J434" i="18"/>
  <c r="I434" i="18"/>
  <c r="H434" i="18"/>
  <c r="G434" i="18"/>
  <c r="O433" i="18"/>
  <c r="N433" i="18"/>
  <c r="M433" i="18"/>
  <c r="L433" i="18"/>
  <c r="K433" i="18"/>
  <c r="J433" i="18"/>
  <c r="I433" i="18"/>
  <c r="H433" i="18"/>
  <c r="G433" i="18"/>
  <c r="O432" i="18"/>
  <c r="N432" i="18"/>
  <c r="M432" i="18"/>
  <c r="L432" i="18"/>
  <c r="K432" i="18"/>
  <c r="J432" i="18"/>
  <c r="I432" i="18"/>
  <c r="H432" i="18"/>
  <c r="G432" i="18"/>
  <c r="O431" i="18"/>
  <c r="N431" i="18"/>
  <c r="M431" i="18"/>
  <c r="L431" i="18"/>
  <c r="K431" i="18"/>
  <c r="J431" i="18"/>
  <c r="I431" i="18"/>
  <c r="H431" i="18"/>
  <c r="G431" i="18"/>
  <c r="O430" i="18"/>
  <c r="N430" i="18"/>
  <c r="M430" i="18"/>
  <c r="L430" i="18"/>
  <c r="K430" i="18"/>
  <c r="J430" i="18"/>
  <c r="I430" i="18"/>
  <c r="H430" i="18"/>
  <c r="G430" i="18"/>
  <c r="O429" i="18"/>
  <c r="N429" i="18"/>
  <c r="M429" i="18"/>
  <c r="L429" i="18"/>
  <c r="K429" i="18"/>
  <c r="J429" i="18"/>
  <c r="I429" i="18"/>
  <c r="H429" i="18"/>
  <c r="G429" i="18"/>
  <c r="O428" i="18"/>
  <c r="N428" i="18"/>
  <c r="M428" i="18"/>
  <c r="L428" i="18"/>
  <c r="K428" i="18"/>
  <c r="J428" i="18"/>
  <c r="I428" i="18"/>
  <c r="H428" i="18"/>
  <c r="G428" i="18"/>
  <c r="O427" i="18"/>
  <c r="N427" i="18"/>
  <c r="M427" i="18"/>
  <c r="L427" i="18"/>
  <c r="K427" i="18"/>
  <c r="J427" i="18"/>
  <c r="I427" i="18"/>
  <c r="H427" i="18"/>
  <c r="G427" i="18"/>
  <c r="O426" i="18"/>
  <c r="N426" i="18"/>
  <c r="M426" i="18"/>
  <c r="L426" i="18"/>
  <c r="K426" i="18"/>
  <c r="J426" i="18"/>
  <c r="I426" i="18"/>
  <c r="H426" i="18"/>
  <c r="G426" i="18"/>
  <c r="O425" i="18"/>
  <c r="N425" i="18"/>
  <c r="M425" i="18"/>
  <c r="L425" i="18"/>
  <c r="K425" i="18"/>
  <c r="J425" i="18"/>
  <c r="I425" i="18"/>
  <c r="H425" i="18"/>
  <c r="G425" i="18"/>
  <c r="O424" i="18"/>
  <c r="N424" i="18"/>
  <c r="M424" i="18"/>
  <c r="L424" i="18"/>
  <c r="K424" i="18"/>
  <c r="J424" i="18"/>
  <c r="I424" i="18"/>
  <c r="H424" i="18"/>
  <c r="G424" i="18"/>
  <c r="O423" i="18"/>
  <c r="N423" i="18"/>
  <c r="M423" i="18"/>
  <c r="L423" i="18"/>
  <c r="K423" i="18"/>
  <c r="J423" i="18"/>
  <c r="I423" i="18"/>
  <c r="H423" i="18"/>
  <c r="G423" i="18"/>
  <c r="O422" i="18"/>
  <c r="N422" i="18"/>
  <c r="M422" i="18"/>
  <c r="L422" i="18"/>
  <c r="K422" i="18"/>
  <c r="J422" i="18"/>
  <c r="I422" i="18"/>
  <c r="H422" i="18"/>
  <c r="G422" i="18"/>
  <c r="O421" i="18"/>
  <c r="N421" i="18"/>
  <c r="M421" i="18"/>
  <c r="L421" i="18"/>
  <c r="K421" i="18"/>
  <c r="J421" i="18"/>
  <c r="I421" i="18"/>
  <c r="H421" i="18"/>
  <c r="G421" i="18"/>
  <c r="O420" i="18"/>
  <c r="N420" i="18"/>
  <c r="M420" i="18"/>
  <c r="L420" i="18"/>
  <c r="K420" i="18"/>
  <c r="J420" i="18"/>
  <c r="I420" i="18"/>
  <c r="H420" i="18"/>
  <c r="G420" i="18"/>
  <c r="O419" i="18"/>
  <c r="N419" i="18"/>
  <c r="M419" i="18"/>
  <c r="L419" i="18"/>
  <c r="K419" i="18"/>
  <c r="J419" i="18"/>
  <c r="I419" i="18"/>
  <c r="H419" i="18"/>
  <c r="G419" i="18"/>
  <c r="O418" i="18"/>
  <c r="N418" i="18"/>
  <c r="M418" i="18"/>
  <c r="L418" i="18"/>
  <c r="K418" i="18"/>
  <c r="J418" i="18"/>
  <c r="I418" i="18"/>
  <c r="H418" i="18"/>
  <c r="G418" i="18"/>
  <c r="O417" i="18"/>
  <c r="N417" i="18"/>
  <c r="M417" i="18"/>
  <c r="L417" i="18"/>
  <c r="K417" i="18"/>
  <c r="J417" i="18"/>
  <c r="I417" i="18"/>
  <c r="H417" i="18"/>
  <c r="G417" i="18"/>
  <c r="O416" i="18"/>
  <c r="N416" i="18"/>
  <c r="M416" i="18"/>
  <c r="L416" i="18"/>
  <c r="K416" i="18"/>
  <c r="J416" i="18"/>
  <c r="I416" i="18"/>
  <c r="H416" i="18"/>
  <c r="G416" i="18"/>
  <c r="O415" i="18"/>
  <c r="N415" i="18"/>
  <c r="M415" i="18"/>
  <c r="L415" i="18"/>
  <c r="K415" i="18"/>
  <c r="J415" i="18"/>
  <c r="I415" i="18"/>
  <c r="H415" i="18"/>
  <c r="G415" i="18"/>
  <c r="O414" i="18"/>
  <c r="N414" i="18"/>
  <c r="M414" i="18"/>
  <c r="L414" i="18"/>
  <c r="K414" i="18"/>
  <c r="J414" i="18"/>
  <c r="I414" i="18"/>
  <c r="H414" i="18"/>
  <c r="G414" i="18"/>
  <c r="O413" i="18"/>
  <c r="N413" i="18"/>
  <c r="M413" i="18"/>
  <c r="L413" i="18"/>
  <c r="K413" i="18"/>
  <c r="J413" i="18"/>
  <c r="I413" i="18"/>
  <c r="H413" i="18"/>
  <c r="G413" i="18"/>
  <c r="O412" i="18"/>
  <c r="N412" i="18"/>
  <c r="M412" i="18"/>
  <c r="L412" i="18"/>
  <c r="K412" i="18"/>
  <c r="J412" i="18"/>
  <c r="I412" i="18"/>
  <c r="H412" i="18"/>
  <c r="G412" i="18"/>
  <c r="O411" i="18"/>
  <c r="N411" i="18"/>
  <c r="M411" i="18"/>
  <c r="L411" i="18"/>
  <c r="K411" i="18"/>
  <c r="J411" i="18"/>
  <c r="I411" i="18"/>
  <c r="H411" i="18"/>
  <c r="G411" i="18"/>
  <c r="O410" i="18"/>
  <c r="N410" i="18"/>
  <c r="M410" i="18"/>
  <c r="L410" i="18"/>
  <c r="K410" i="18"/>
  <c r="J410" i="18"/>
  <c r="I410" i="18"/>
  <c r="H410" i="18"/>
  <c r="G410" i="18"/>
  <c r="O409" i="18"/>
  <c r="N409" i="18"/>
  <c r="M409" i="18"/>
  <c r="L409" i="18"/>
  <c r="K409" i="18"/>
  <c r="J409" i="18"/>
  <c r="I409" i="18"/>
  <c r="H409" i="18"/>
  <c r="G409" i="18"/>
  <c r="O408" i="18"/>
  <c r="N408" i="18"/>
  <c r="M408" i="18"/>
  <c r="L408" i="18"/>
  <c r="K408" i="18"/>
  <c r="J408" i="18"/>
  <c r="I408" i="18"/>
  <c r="H408" i="18"/>
  <c r="G408" i="18"/>
  <c r="O407" i="18"/>
  <c r="N407" i="18"/>
  <c r="M407" i="18"/>
  <c r="L407" i="18"/>
  <c r="K407" i="18"/>
  <c r="J407" i="18"/>
  <c r="I407" i="18"/>
  <c r="H407" i="18"/>
  <c r="G407" i="18"/>
  <c r="O406" i="18"/>
  <c r="N406" i="18"/>
  <c r="M406" i="18"/>
  <c r="L406" i="18"/>
  <c r="K406" i="18"/>
  <c r="J406" i="18"/>
  <c r="I406" i="18"/>
  <c r="H406" i="18"/>
  <c r="G406" i="18"/>
  <c r="O405" i="18"/>
  <c r="N405" i="18"/>
  <c r="M405" i="18"/>
  <c r="L405" i="18"/>
  <c r="K405" i="18"/>
  <c r="J405" i="18"/>
  <c r="I405" i="18"/>
  <c r="H405" i="18"/>
  <c r="G405" i="18"/>
  <c r="O404" i="18"/>
  <c r="N404" i="18"/>
  <c r="M404" i="18"/>
  <c r="L404" i="18"/>
  <c r="K404" i="18"/>
  <c r="J404" i="18"/>
  <c r="I404" i="18"/>
  <c r="H404" i="18"/>
  <c r="G404" i="18"/>
  <c r="O403" i="18"/>
  <c r="N403" i="18"/>
  <c r="M403" i="18"/>
  <c r="L403" i="18"/>
  <c r="K403" i="18"/>
  <c r="J403" i="18"/>
  <c r="I403" i="18"/>
  <c r="H403" i="18"/>
  <c r="G403" i="18"/>
  <c r="O402" i="18"/>
  <c r="N402" i="18"/>
  <c r="M402" i="18"/>
  <c r="L402" i="18"/>
  <c r="K402" i="18"/>
  <c r="J402" i="18"/>
  <c r="I402" i="18"/>
  <c r="H402" i="18"/>
  <c r="G402" i="18"/>
  <c r="O401" i="18"/>
  <c r="N401" i="18"/>
  <c r="M401" i="18"/>
  <c r="L401" i="18"/>
  <c r="K401" i="18"/>
  <c r="J401" i="18"/>
  <c r="I401" i="18"/>
  <c r="H401" i="18"/>
  <c r="G401" i="18"/>
  <c r="O400" i="18"/>
  <c r="N400" i="18"/>
  <c r="M400" i="18"/>
  <c r="L400" i="18"/>
  <c r="K400" i="18"/>
  <c r="J400" i="18"/>
  <c r="I400" i="18"/>
  <c r="H400" i="18"/>
  <c r="G400" i="18"/>
  <c r="O399" i="18"/>
  <c r="N399" i="18"/>
  <c r="M399" i="18"/>
  <c r="L399" i="18"/>
  <c r="K399" i="18"/>
  <c r="J399" i="18"/>
  <c r="I399" i="18"/>
  <c r="H399" i="18"/>
  <c r="G399" i="18"/>
  <c r="O398" i="18"/>
  <c r="N398" i="18"/>
  <c r="M398" i="18"/>
  <c r="L398" i="18"/>
  <c r="K398" i="18"/>
  <c r="J398" i="18"/>
  <c r="I398" i="18"/>
  <c r="H398" i="18"/>
  <c r="G398" i="18"/>
  <c r="O397" i="18"/>
  <c r="N397" i="18"/>
  <c r="M397" i="18"/>
  <c r="L397" i="18"/>
  <c r="K397" i="18"/>
  <c r="J397" i="18"/>
  <c r="I397" i="18"/>
  <c r="H397" i="18"/>
  <c r="G397" i="18"/>
  <c r="O396" i="18"/>
  <c r="N396" i="18"/>
  <c r="M396" i="18"/>
  <c r="L396" i="18"/>
  <c r="K396" i="18"/>
  <c r="J396" i="18"/>
  <c r="I396" i="18"/>
  <c r="H396" i="18"/>
  <c r="G396" i="18"/>
  <c r="O395" i="18"/>
  <c r="N395" i="18"/>
  <c r="M395" i="18"/>
  <c r="L395" i="18"/>
  <c r="K395" i="18"/>
  <c r="J395" i="18"/>
  <c r="I395" i="18"/>
  <c r="H395" i="18"/>
  <c r="G395" i="18"/>
  <c r="O394" i="18"/>
  <c r="N394" i="18"/>
  <c r="M394" i="18"/>
  <c r="L394" i="18"/>
  <c r="K394" i="18"/>
  <c r="J394" i="18"/>
  <c r="I394" i="18"/>
  <c r="H394" i="18"/>
  <c r="G394" i="18"/>
  <c r="O393" i="18"/>
  <c r="N393" i="18"/>
  <c r="M393" i="18"/>
  <c r="L393" i="18"/>
  <c r="K393" i="18"/>
  <c r="J393" i="18"/>
  <c r="I393" i="18"/>
  <c r="H393" i="18"/>
  <c r="G393" i="18"/>
  <c r="O392" i="18"/>
  <c r="N392" i="18"/>
  <c r="M392" i="18"/>
  <c r="L392" i="18"/>
  <c r="K392" i="18"/>
  <c r="J392" i="18"/>
  <c r="I392" i="18"/>
  <c r="H392" i="18"/>
  <c r="G392" i="18"/>
  <c r="O391" i="18"/>
  <c r="N391" i="18"/>
  <c r="M391" i="18"/>
  <c r="L391" i="18"/>
  <c r="K391" i="18"/>
  <c r="J391" i="18"/>
  <c r="I391" i="18"/>
  <c r="H391" i="18"/>
  <c r="G391" i="18"/>
  <c r="O390" i="18"/>
  <c r="N390" i="18"/>
  <c r="M390" i="18"/>
  <c r="L390" i="18"/>
  <c r="K390" i="18"/>
  <c r="J390" i="18"/>
  <c r="I390" i="18"/>
  <c r="H390" i="18"/>
  <c r="G390" i="18"/>
  <c r="O389" i="18"/>
  <c r="N389" i="18"/>
  <c r="M389" i="18"/>
  <c r="L389" i="18"/>
  <c r="K389" i="18"/>
  <c r="J389" i="18"/>
  <c r="I389" i="18"/>
  <c r="H389" i="18"/>
  <c r="G389" i="18"/>
  <c r="O388" i="18"/>
  <c r="N388" i="18"/>
  <c r="M388" i="18"/>
  <c r="L388" i="18"/>
  <c r="K388" i="18"/>
  <c r="J388" i="18"/>
  <c r="I388" i="18"/>
  <c r="H388" i="18"/>
  <c r="G388" i="18"/>
  <c r="O387" i="18"/>
  <c r="N387" i="18"/>
  <c r="M387" i="18"/>
  <c r="L387" i="18"/>
  <c r="K387" i="18"/>
  <c r="J387" i="18"/>
  <c r="I387" i="18"/>
  <c r="H387" i="18"/>
  <c r="G387" i="18"/>
  <c r="O386" i="18"/>
  <c r="N386" i="18"/>
  <c r="M386" i="18"/>
  <c r="L386" i="18"/>
  <c r="K386" i="18"/>
  <c r="J386" i="18"/>
  <c r="I386" i="18"/>
  <c r="H386" i="18"/>
  <c r="G386" i="18"/>
  <c r="O385" i="18"/>
  <c r="N385" i="18"/>
  <c r="M385" i="18"/>
  <c r="L385" i="18"/>
  <c r="K385" i="18"/>
  <c r="J385" i="18"/>
  <c r="I385" i="18"/>
  <c r="H385" i="18"/>
  <c r="G385" i="18"/>
  <c r="O384" i="18"/>
  <c r="N384" i="18"/>
  <c r="M384" i="18"/>
  <c r="L384" i="18"/>
  <c r="K384" i="18"/>
  <c r="J384" i="18"/>
  <c r="I384" i="18"/>
  <c r="H384" i="18"/>
  <c r="G384" i="18"/>
  <c r="O383" i="18"/>
  <c r="N383" i="18"/>
  <c r="M383" i="18"/>
  <c r="L383" i="18"/>
  <c r="K383" i="18"/>
  <c r="J383" i="18"/>
  <c r="I383" i="18"/>
  <c r="H383" i="18"/>
  <c r="G383" i="18"/>
  <c r="O382" i="18"/>
  <c r="N382" i="18"/>
  <c r="M382" i="18"/>
  <c r="L382" i="18"/>
  <c r="K382" i="18"/>
  <c r="J382" i="18"/>
  <c r="I382" i="18"/>
  <c r="H382" i="18"/>
  <c r="G382" i="18"/>
  <c r="O381" i="18"/>
  <c r="N381" i="18"/>
  <c r="M381" i="18"/>
  <c r="L381" i="18"/>
  <c r="K381" i="18"/>
  <c r="J381" i="18"/>
  <c r="I381" i="18"/>
  <c r="H381" i="18"/>
  <c r="G381" i="18"/>
  <c r="O380" i="18"/>
  <c r="N380" i="18"/>
  <c r="M380" i="18"/>
  <c r="L380" i="18"/>
  <c r="K380" i="18"/>
  <c r="J380" i="18"/>
  <c r="I380" i="18"/>
  <c r="H380" i="18"/>
  <c r="G380" i="18"/>
  <c r="O379" i="18"/>
  <c r="N379" i="18"/>
  <c r="M379" i="18"/>
  <c r="L379" i="18"/>
  <c r="K379" i="18"/>
  <c r="J379" i="18"/>
  <c r="I379" i="18"/>
  <c r="H379" i="18"/>
  <c r="G379" i="18"/>
  <c r="O378" i="18"/>
  <c r="N378" i="18"/>
  <c r="M378" i="18"/>
  <c r="L378" i="18"/>
  <c r="K378" i="18"/>
  <c r="J378" i="18"/>
  <c r="I378" i="18"/>
  <c r="H378" i="18"/>
  <c r="G378" i="18"/>
  <c r="O377" i="18"/>
  <c r="N377" i="18"/>
  <c r="M377" i="18"/>
  <c r="L377" i="18"/>
  <c r="K377" i="18"/>
  <c r="J377" i="18"/>
  <c r="I377" i="18"/>
  <c r="H377" i="18"/>
  <c r="G377" i="18"/>
  <c r="O376" i="18"/>
  <c r="N376" i="18"/>
  <c r="M376" i="18"/>
  <c r="L376" i="18"/>
  <c r="K376" i="18"/>
  <c r="J376" i="18"/>
  <c r="I376" i="18"/>
  <c r="H376" i="18"/>
  <c r="G376" i="18"/>
  <c r="O375" i="18"/>
  <c r="N375" i="18"/>
  <c r="M375" i="18"/>
  <c r="L375" i="18"/>
  <c r="K375" i="18"/>
  <c r="J375" i="18"/>
  <c r="I375" i="18"/>
  <c r="H375" i="18"/>
  <c r="G375" i="18"/>
  <c r="O374" i="18"/>
  <c r="N374" i="18"/>
  <c r="M374" i="18"/>
  <c r="L374" i="18"/>
  <c r="K374" i="18"/>
  <c r="J374" i="18"/>
  <c r="I374" i="18"/>
  <c r="H374" i="18"/>
  <c r="G374" i="18"/>
  <c r="O373" i="18"/>
  <c r="N373" i="18"/>
  <c r="M373" i="18"/>
  <c r="L373" i="18"/>
  <c r="K373" i="18"/>
  <c r="J373" i="18"/>
  <c r="I373" i="18"/>
  <c r="H373" i="18"/>
  <c r="G373" i="18"/>
  <c r="O372" i="18"/>
  <c r="N372" i="18"/>
  <c r="M372" i="18"/>
  <c r="L372" i="18"/>
  <c r="K372" i="18"/>
  <c r="J372" i="18"/>
  <c r="I372" i="18"/>
  <c r="H372" i="18"/>
  <c r="G372" i="18"/>
  <c r="O371" i="18"/>
  <c r="N371" i="18"/>
  <c r="M371" i="18"/>
  <c r="L371" i="18"/>
  <c r="K371" i="18"/>
  <c r="J371" i="18"/>
  <c r="I371" i="18"/>
  <c r="H371" i="18"/>
  <c r="G371" i="18"/>
  <c r="O370" i="18"/>
  <c r="N370" i="18"/>
  <c r="M370" i="18"/>
  <c r="L370" i="18"/>
  <c r="K370" i="18"/>
  <c r="J370" i="18"/>
  <c r="I370" i="18"/>
  <c r="H370" i="18"/>
  <c r="G370" i="18"/>
  <c r="O369" i="18"/>
  <c r="N369" i="18"/>
  <c r="M369" i="18"/>
  <c r="L369" i="18"/>
  <c r="K369" i="18"/>
  <c r="J369" i="18"/>
  <c r="I369" i="18"/>
  <c r="H369" i="18"/>
  <c r="G369" i="18"/>
  <c r="O368" i="18"/>
  <c r="N368" i="18"/>
  <c r="M368" i="18"/>
  <c r="L368" i="18"/>
  <c r="K368" i="18"/>
  <c r="J368" i="18"/>
  <c r="I368" i="18"/>
  <c r="H368" i="18"/>
  <c r="G368" i="18"/>
  <c r="O367" i="18"/>
  <c r="N367" i="18"/>
  <c r="M367" i="18"/>
  <c r="L367" i="18"/>
  <c r="K367" i="18"/>
  <c r="J367" i="18"/>
  <c r="I367" i="18"/>
  <c r="H367" i="18"/>
  <c r="G367" i="18"/>
  <c r="O366" i="18"/>
  <c r="N366" i="18"/>
  <c r="M366" i="18"/>
  <c r="L366" i="18"/>
  <c r="K366" i="18"/>
  <c r="J366" i="18"/>
  <c r="I366" i="18"/>
  <c r="H366" i="18"/>
  <c r="G366" i="18"/>
  <c r="O365" i="18"/>
  <c r="N365" i="18"/>
  <c r="M365" i="18"/>
  <c r="L365" i="18"/>
  <c r="K365" i="18"/>
  <c r="J365" i="18"/>
  <c r="I365" i="18"/>
  <c r="H365" i="18"/>
  <c r="G365" i="18"/>
  <c r="O364" i="18"/>
  <c r="N364" i="18"/>
  <c r="M364" i="18"/>
  <c r="L364" i="18"/>
  <c r="K364" i="18"/>
  <c r="J364" i="18"/>
  <c r="I364" i="18"/>
  <c r="H364" i="18"/>
  <c r="G364" i="18"/>
  <c r="O363" i="18"/>
  <c r="N363" i="18"/>
  <c r="M363" i="18"/>
  <c r="L363" i="18"/>
  <c r="K363" i="18"/>
  <c r="J363" i="18"/>
  <c r="I363" i="18"/>
  <c r="H363" i="18"/>
  <c r="G363" i="18"/>
  <c r="O362" i="18"/>
  <c r="N362" i="18"/>
  <c r="M362" i="18"/>
  <c r="L362" i="18"/>
  <c r="K362" i="18"/>
  <c r="J362" i="18"/>
  <c r="I362" i="18"/>
  <c r="H362" i="18"/>
  <c r="G362" i="18"/>
  <c r="O361" i="18"/>
  <c r="N361" i="18"/>
  <c r="M361" i="18"/>
  <c r="L361" i="18"/>
  <c r="K361" i="18"/>
  <c r="J361" i="18"/>
  <c r="I361" i="18"/>
  <c r="H361" i="18"/>
  <c r="G361" i="18"/>
  <c r="O360" i="18"/>
  <c r="N360" i="18"/>
  <c r="M360" i="18"/>
  <c r="L360" i="18"/>
  <c r="K360" i="18"/>
  <c r="J360" i="18"/>
  <c r="I360" i="18"/>
  <c r="H360" i="18"/>
  <c r="G360" i="18"/>
  <c r="O359" i="18"/>
  <c r="N359" i="18"/>
  <c r="M359" i="18"/>
  <c r="L359" i="18"/>
  <c r="K359" i="18"/>
  <c r="J359" i="18"/>
  <c r="I359" i="18"/>
  <c r="H359" i="18"/>
  <c r="G359" i="18"/>
  <c r="O358" i="18"/>
  <c r="N358" i="18"/>
  <c r="M358" i="18"/>
  <c r="L358" i="18"/>
  <c r="K358" i="18"/>
  <c r="J358" i="18"/>
  <c r="I358" i="18"/>
  <c r="H358" i="18"/>
  <c r="G358" i="18"/>
  <c r="O357" i="18"/>
  <c r="N357" i="18"/>
  <c r="M357" i="18"/>
  <c r="L357" i="18"/>
  <c r="K357" i="18"/>
  <c r="J357" i="18"/>
  <c r="I357" i="18"/>
  <c r="H357" i="18"/>
  <c r="G357" i="18"/>
  <c r="O356" i="18"/>
  <c r="N356" i="18"/>
  <c r="M356" i="18"/>
  <c r="L356" i="18"/>
  <c r="K356" i="18"/>
  <c r="J356" i="18"/>
  <c r="I356" i="18"/>
  <c r="H356" i="18"/>
  <c r="G356" i="18"/>
  <c r="O355" i="18"/>
  <c r="N355" i="18"/>
  <c r="M355" i="18"/>
  <c r="L355" i="18"/>
  <c r="K355" i="18"/>
  <c r="J355" i="18"/>
  <c r="I355" i="18"/>
  <c r="H355" i="18"/>
  <c r="G355" i="18"/>
  <c r="O354" i="18"/>
  <c r="N354" i="18"/>
  <c r="M354" i="18"/>
  <c r="L354" i="18"/>
  <c r="K354" i="18"/>
  <c r="J354" i="18"/>
  <c r="I354" i="18"/>
  <c r="H354" i="18"/>
  <c r="G354" i="18"/>
  <c r="O353" i="18"/>
  <c r="N353" i="18"/>
  <c r="M353" i="18"/>
  <c r="L353" i="18"/>
  <c r="K353" i="18"/>
  <c r="J353" i="18"/>
  <c r="I353" i="18"/>
  <c r="H353" i="18"/>
  <c r="G353" i="18"/>
  <c r="O352" i="18"/>
  <c r="N352" i="18"/>
  <c r="M352" i="18"/>
  <c r="L352" i="18"/>
  <c r="K352" i="18"/>
  <c r="J352" i="18"/>
  <c r="I352" i="18"/>
  <c r="H352" i="18"/>
  <c r="G352" i="18"/>
  <c r="O351" i="18"/>
  <c r="N351" i="18"/>
  <c r="M351" i="18"/>
  <c r="L351" i="18"/>
  <c r="K351" i="18"/>
  <c r="J351" i="18"/>
  <c r="I351" i="18"/>
  <c r="H351" i="18"/>
  <c r="G351" i="18"/>
  <c r="O350" i="18"/>
  <c r="N350" i="18"/>
  <c r="M350" i="18"/>
  <c r="L350" i="18"/>
  <c r="K350" i="18"/>
  <c r="J350" i="18"/>
  <c r="I350" i="18"/>
  <c r="H350" i="18"/>
  <c r="G350" i="18"/>
  <c r="O349" i="18"/>
  <c r="N349" i="18"/>
  <c r="M349" i="18"/>
  <c r="L349" i="18"/>
  <c r="K349" i="18"/>
  <c r="J349" i="18"/>
  <c r="I349" i="18"/>
  <c r="H349" i="18"/>
  <c r="G349" i="18"/>
  <c r="O348" i="18"/>
  <c r="N348" i="18"/>
  <c r="M348" i="18"/>
  <c r="L348" i="18"/>
  <c r="K348" i="18"/>
  <c r="J348" i="18"/>
  <c r="I348" i="18"/>
  <c r="H348" i="18"/>
  <c r="G348" i="18"/>
  <c r="O347" i="18"/>
  <c r="N347" i="18"/>
  <c r="M347" i="18"/>
  <c r="L347" i="18"/>
  <c r="K347" i="18"/>
  <c r="J347" i="18"/>
  <c r="I347" i="18"/>
  <c r="H347" i="18"/>
  <c r="G347" i="18"/>
  <c r="O346" i="18"/>
  <c r="N346" i="18"/>
  <c r="M346" i="18"/>
  <c r="L346" i="18"/>
  <c r="K346" i="18"/>
  <c r="J346" i="18"/>
  <c r="I346" i="18"/>
  <c r="H346" i="18"/>
  <c r="G346" i="18"/>
  <c r="O345" i="18"/>
  <c r="N345" i="18"/>
  <c r="M345" i="18"/>
  <c r="L345" i="18"/>
  <c r="K345" i="18"/>
  <c r="J345" i="18"/>
  <c r="I345" i="18"/>
  <c r="H345" i="18"/>
  <c r="G345" i="18"/>
  <c r="O344" i="18"/>
  <c r="N344" i="18"/>
  <c r="M344" i="18"/>
  <c r="L344" i="18"/>
  <c r="K344" i="18"/>
  <c r="J344" i="18"/>
  <c r="I344" i="18"/>
  <c r="H344" i="18"/>
  <c r="G344" i="18"/>
  <c r="O343" i="18"/>
  <c r="N343" i="18"/>
  <c r="M343" i="18"/>
  <c r="L343" i="18"/>
  <c r="K343" i="18"/>
  <c r="J343" i="18"/>
  <c r="I343" i="18"/>
  <c r="H343" i="18"/>
  <c r="G343" i="18"/>
  <c r="O342" i="18"/>
  <c r="N342" i="18"/>
  <c r="M342" i="18"/>
  <c r="L342" i="18"/>
  <c r="K342" i="18"/>
  <c r="J342" i="18"/>
  <c r="I342" i="18"/>
  <c r="H342" i="18"/>
  <c r="G342" i="18"/>
  <c r="O341" i="18"/>
  <c r="N341" i="18"/>
  <c r="M341" i="18"/>
  <c r="L341" i="18"/>
  <c r="K341" i="18"/>
  <c r="J341" i="18"/>
  <c r="I341" i="18"/>
  <c r="H341" i="18"/>
  <c r="G341" i="18"/>
  <c r="O340" i="18"/>
  <c r="N340" i="18"/>
  <c r="M340" i="18"/>
  <c r="L340" i="18"/>
  <c r="K340" i="18"/>
  <c r="J340" i="18"/>
  <c r="I340" i="18"/>
  <c r="H340" i="18"/>
  <c r="G340" i="18"/>
  <c r="O339" i="18"/>
  <c r="N339" i="18"/>
  <c r="M339" i="18"/>
  <c r="L339" i="18"/>
  <c r="K339" i="18"/>
  <c r="J339" i="18"/>
  <c r="I339" i="18"/>
  <c r="H339" i="18"/>
  <c r="G339" i="18"/>
  <c r="O338" i="18"/>
  <c r="N338" i="18"/>
  <c r="M338" i="18"/>
  <c r="L338" i="18"/>
  <c r="K338" i="18"/>
  <c r="J338" i="18"/>
  <c r="I338" i="18"/>
  <c r="H338" i="18"/>
  <c r="G338" i="18"/>
  <c r="O337" i="18"/>
  <c r="N337" i="18"/>
  <c r="M337" i="18"/>
  <c r="L337" i="18"/>
  <c r="K337" i="18"/>
  <c r="J337" i="18"/>
  <c r="I337" i="18"/>
  <c r="H337" i="18"/>
  <c r="G337" i="18"/>
  <c r="O336" i="18"/>
  <c r="N336" i="18"/>
  <c r="M336" i="18"/>
  <c r="L336" i="18"/>
  <c r="K336" i="18"/>
  <c r="J336" i="18"/>
  <c r="I336" i="18"/>
  <c r="H336" i="18"/>
  <c r="G336" i="18"/>
  <c r="O335" i="18"/>
  <c r="N335" i="18"/>
  <c r="M335" i="18"/>
  <c r="L335" i="18"/>
  <c r="K335" i="18"/>
  <c r="J335" i="18"/>
  <c r="I335" i="18"/>
  <c r="H335" i="18"/>
  <c r="G335" i="18"/>
  <c r="O334" i="18"/>
  <c r="N334" i="18"/>
  <c r="M334" i="18"/>
  <c r="L334" i="18"/>
  <c r="K334" i="18"/>
  <c r="J334" i="18"/>
  <c r="I334" i="18"/>
  <c r="H334" i="18"/>
  <c r="G334" i="18"/>
  <c r="O333" i="18"/>
  <c r="N333" i="18"/>
  <c r="M333" i="18"/>
  <c r="L333" i="18"/>
  <c r="K333" i="18"/>
  <c r="J333" i="18"/>
  <c r="I333" i="18"/>
  <c r="H333" i="18"/>
  <c r="G333" i="18"/>
  <c r="O332" i="18"/>
  <c r="N332" i="18"/>
  <c r="M332" i="18"/>
  <c r="L332" i="18"/>
  <c r="K332" i="18"/>
  <c r="J332" i="18"/>
  <c r="I332" i="18"/>
  <c r="H332" i="18"/>
  <c r="G332" i="18"/>
  <c r="O331" i="18"/>
  <c r="N331" i="18"/>
  <c r="M331" i="18"/>
  <c r="L331" i="18"/>
  <c r="K331" i="18"/>
  <c r="J331" i="18"/>
  <c r="I331" i="18"/>
  <c r="H331" i="18"/>
  <c r="G331" i="18"/>
  <c r="O330" i="18"/>
  <c r="N330" i="18"/>
  <c r="M330" i="18"/>
  <c r="L330" i="18"/>
  <c r="K330" i="18"/>
  <c r="J330" i="18"/>
  <c r="I330" i="18"/>
  <c r="H330" i="18"/>
  <c r="G330" i="18"/>
  <c r="O329" i="18"/>
  <c r="N329" i="18"/>
  <c r="M329" i="18"/>
  <c r="L329" i="18"/>
  <c r="K329" i="18"/>
  <c r="J329" i="18"/>
  <c r="I329" i="18"/>
  <c r="H329" i="18"/>
  <c r="G329" i="18"/>
  <c r="O328" i="18"/>
  <c r="N328" i="18"/>
  <c r="M328" i="18"/>
  <c r="L328" i="18"/>
  <c r="K328" i="18"/>
  <c r="J328" i="18"/>
  <c r="I328" i="18"/>
  <c r="H328" i="18"/>
  <c r="G328" i="18"/>
  <c r="O327" i="18"/>
  <c r="N327" i="18"/>
  <c r="M327" i="18"/>
  <c r="L327" i="18"/>
  <c r="K327" i="18"/>
  <c r="J327" i="18"/>
  <c r="I327" i="18"/>
  <c r="H327" i="18"/>
  <c r="G327" i="18"/>
  <c r="O326" i="18"/>
  <c r="N326" i="18"/>
  <c r="M326" i="18"/>
  <c r="L326" i="18"/>
  <c r="K326" i="18"/>
  <c r="J326" i="18"/>
  <c r="I326" i="18"/>
  <c r="H326" i="18"/>
  <c r="G326" i="18"/>
  <c r="O325" i="18"/>
  <c r="N325" i="18"/>
  <c r="M325" i="18"/>
  <c r="L325" i="18"/>
  <c r="K325" i="18"/>
  <c r="J325" i="18"/>
  <c r="I325" i="18"/>
  <c r="H325" i="18"/>
  <c r="G325" i="18"/>
  <c r="O324" i="18"/>
  <c r="N324" i="18"/>
  <c r="M324" i="18"/>
  <c r="L324" i="18"/>
  <c r="K324" i="18"/>
  <c r="J324" i="18"/>
  <c r="I324" i="18"/>
  <c r="H324" i="18"/>
  <c r="G324" i="18"/>
  <c r="O323" i="18"/>
  <c r="N323" i="18"/>
  <c r="M323" i="18"/>
  <c r="L323" i="18"/>
  <c r="K323" i="18"/>
  <c r="J323" i="18"/>
  <c r="I323" i="18"/>
  <c r="H323" i="18"/>
  <c r="G323" i="18"/>
  <c r="O322" i="18"/>
  <c r="N322" i="18"/>
  <c r="M322" i="18"/>
  <c r="L322" i="18"/>
  <c r="K322" i="18"/>
  <c r="J322" i="18"/>
  <c r="I322" i="18"/>
  <c r="H322" i="18"/>
  <c r="G322" i="18"/>
  <c r="O321" i="18"/>
  <c r="N321" i="18"/>
  <c r="M321" i="18"/>
  <c r="L321" i="18"/>
  <c r="K321" i="18"/>
  <c r="J321" i="18"/>
  <c r="I321" i="18"/>
  <c r="H321" i="18"/>
  <c r="G321" i="18"/>
  <c r="O320" i="18"/>
  <c r="N320" i="18"/>
  <c r="M320" i="18"/>
  <c r="L320" i="18"/>
  <c r="K320" i="18"/>
  <c r="J320" i="18"/>
  <c r="I320" i="18"/>
  <c r="H320" i="18"/>
  <c r="G320" i="18"/>
  <c r="O319" i="18"/>
  <c r="N319" i="18"/>
  <c r="M319" i="18"/>
  <c r="L319" i="18"/>
  <c r="K319" i="18"/>
  <c r="J319" i="18"/>
  <c r="I319" i="18"/>
  <c r="H319" i="18"/>
  <c r="G319" i="18"/>
  <c r="O318" i="18"/>
  <c r="N318" i="18"/>
  <c r="M318" i="18"/>
  <c r="L318" i="18"/>
  <c r="K318" i="18"/>
  <c r="J318" i="18"/>
  <c r="I318" i="18"/>
  <c r="H318" i="18"/>
  <c r="G318" i="18"/>
  <c r="O317" i="18"/>
  <c r="N317" i="18"/>
  <c r="M317" i="18"/>
  <c r="L317" i="18"/>
  <c r="K317" i="18"/>
  <c r="J317" i="18"/>
  <c r="I317" i="18"/>
  <c r="H317" i="18"/>
  <c r="G317" i="18"/>
  <c r="O316" i="18"/>
  <c r="N316" i="18"/>
  <c r="M316" i="18"/>
  <c r="L316" i="18"/>
  <c r="K316" i="18"/>
  <c r="J316" i="18"/>
  <c r="I316" i="18"/>
  <c r="H316" i="18"/>
  <c r="G316" i="18"/>
  <c r="O315" i="18"/>
  <c r="N315" i="18"/>
  <c r="M315" i="18"/>
  <c r="L315" i="18"/>
  <c r="K315" i="18"/>
  <c r="J315" i="18"/>
  <c r="I315" i="18"/>
  <c r="H315" i="18"/>
  <c r="G315" i="18"/>
  <c r="O314" i="18"/>
  <c r="N314" i="18"/>
  <c r="M314" i="18"/>
  <c r="L314" i="18"/>
  <c r="K314" i="18"/>
  <c r="J314" i="18"/>
  <c r="I314" i="18"/>
  <c r="H314" i="18"/>
  <c r="G314" i="18"/>
  <c r="O313" i="18"/>
  <c r="N313" i="18"/>
  <c r="M313" i="18"/>
  <c r="L313" i="18"/>
  <c r="K313" i="18"/>
  <c r="J313" i="18"/>
  <c r="I313" i="18"/>
  <c r="H313" i="18"/>
  <c r="G313" i="18"/>
  <c r="O312" i="18"/>
  <c r="N312" i="18"/>
  <c r="M312" i="18"/>
  <c r="L312" i="18"/>
  <c r="K312" i="18"/>
  <c r="J312" i="18"/>
  <c r="I312" i="18"/>
  <c r="H312" i="18"/>
  <c r="G312" i="18"/>
  <c r="O311" i="18"/>
  <c r="N311" i="18"/>
  <c r="M311" i="18"/>
  <c r="L311" i="18"/>
  <c r="K311" i="18"/>
  <c r="J311" i="18"/>
  <c r="I311" i="18"/>
  <c r="H311" i="18"/>
  <c r="G311" i="18"/>
  <c r="O310" i="18"/>
  <c r="N310" i="18"/>
  <c r="M310" i="18"/>
  <c r="L310" i="18"/>
  <c r="K310" i="18"/>
  <c r="J310" i="18"/>
  <c r="I310" i="18"/>
  <c r="H310" i="18"/>
  <c r="G310" i="18"/>
  <c r="O309" i="18"/>
  <c r="N309" i="18"/>
  <c r="M309" i="18"/>
  <c r="L309" i="18"/>
  <c r="K309" i="18"/>
  <c r="J309" i="18"/>
  <c r="I309" i="18"/>
  <c r="H309" i="18"/>
  <c r="G309" i="18"/>
  <c r="O308" i="18"/>
  <c r="N308" i="18"/>
  <c r="M308" i="18"/>
  <c r="L308" i="18"/>
  <c r="K308" i="18"/>
  <c r="J308" i="18"/>
  <c r="I308" i="18"/>
  <c r="H308" i="18"/>
  <c r="G308" i="18"/>
  <c r="O307" i="18"/>
  <c r="N307" i="18"/>
  <c r="M307" i="18"/>
  <c r="L307" i="18"/>
  <c r="K307" i="18"/>
  <c r="J307" i="18"/>
  <c r="I307" i="18"/>
  <c r="H307" i="18"/>
  <c r="G307" i="18"/>
  <c r="O306" i="18"/>
  <c r="N306" i="18"/>
  <c r="M306" i="18"/>
  <c r="L306" i="18"/>
  <c r="K306" i="18"/>
  <c r="J306" i="18"/>
  <c r="I306" i="18"/>
  <c r="H306" i="18"/>
  <c r="G306" i="18"/>
  <c r="O305" i="18"/>
  <c r="N305" i="18"/>
  <c r="M305" i="18"/>
  <c r="L305" i="18"/>
  <c r="K305" i="18"/>
  <c r="J305" i="18"/>
  <c r="I305" i="18"/>
  <c r="H305" i="18"/>
  <c r="G305" i="18"/>
  <c r="O304" i="18"/>
  <c r="N304" i="18"/>
  <c r="M304" i="18"/>
  <c r="L304" i="18"/>
  <c r="K304" i="18"/>
  <c r="J304" i="18"/>
  <c r="I304" i="18"/>
  <c r="H304" i="18"/>
  <c r="G304" i="18"/>
  <c r="O303" i="18"/>
  <c r="N303" i="18"/>
  <c r="M303" i="18"/>
  <c r="L303" i="18"/>
  <c r="K303" i="18"/>
  <c r="J303" i="18"/>
  <c r="I303" i="18"/>
  <c r="H303" i="18"/>
  <c r="G303" i="18"/>
  <c r="O302" i="18"/>
  <c r="N302" i="18"/>
  <c r="M302" i="18"/>
  <c r="L302" i="18"/>
  <c r="K302" i="18"/>
  <c r="J302" i="18"/>
  <c r="I302" i="18"/>
  <c r="H302" i="18"/>
  <c r="G302" i="18"/>
  <c r="O301" i="18"/>
  <c r="N301" i="18"/>
  <c r="M301" i="18"/>
  <c r="L301" i="18"/>
  <c r="K301" i="18"/>
  <c r="J301" i="18"/>
  <c r="I301" i="18"/>
  <c r="H301" i="18"/>
  <c r="G301" i="18"/>
  <c r="O300" i="18"/>
  <c r="N300" i="18"/>
  <c r="M300" i="18"/>
  <c r="L300" i="18"/>
  <c r="K300" i="18"/>
  <c r="J300" i="18"/>
  <c r="I300" i="18"/>
  <c r="H300" i="18"/>
  <c r="G300" i="18"/>
  <c r="O299" i="18"/>
  <c r="N299" i="18"/>
  <c r="M299" i="18"/>
  <c r="L299" i="18"/>
  <c r="K299" i="18"/>
  <c r="J299" i="18"/>
  <c r="I299" i="18"/>
  <c r="H299" i="18"/>
  <c r="G299" i="18"/>
  <c r="O298" i="18"/>
  <c r="N298" i="18"/>
  <c r="M298" i="18"/>
  <c r="L298" i="18"/>
  <c r="K298" i="18"/>
  <c r="J298" i="18"/>
  <c r="I298" i="18"/>
  <c r="H298" i="18"/>
  <c r="G298" i="18"/>
  <c r="O297" i="18"/>
  <c r="N297" i="18"/>
  <c r="M297" i="18"/>
  <c r="L297" i="18"/>
  <c r="K297" i="18"/>
  <c r="J297" i="18"/>
  <c r="I297" i="18"/>
  <c r="H297" i="18"/>
  <c r="G297" i="18"/>
  <c r="O296" i="18"/>
  <c r="N296" i="18"/>
  <c r="M296" i="18"/>
  <c r="L296" i="18"/>
  <c r="K296" i="18"/>
  <c r="J296" i="18"/>
  <c r="I296" i="18"/>
  <c r="H296" i="18"/>
  <c r="G296" i="18"/>
  <c r="O295" i="18"/>
  <c r="N295" i="18"/>
  <c r="M295" i="18"/>
  <c r="L295" i="18"/>
  <c r="K295" i="18"/>
  <c r="J295" i="18"/>
  <c r="I295" i="18"/>
  <c r="H295" i="18"/>
  <c r="G295" i="18"/>
  <c r="O294" i="18"/>
  <c r="N294" i="18"/>
  <c r="M294" i="18"/>
  <c r="L294" i="18"/>
  <c r="K294" i="18"/>
  <c r="J294" i="18"/>
  <c r="I294" i="18"/>
  <c r="H294" i="18"/>
  <c r="G294" i="18"/>
  <c r="O293" i="18"/>
  <c r="N293" i="18"/>
  <c r="M293" i="18"/>
  <c r="L293" i="18"/>
  <c r="K293" i="18"/>
  <c r="J293" i="18"/>
  <c r="I293" i="18"/>
  <c r="H293" i="18"/>
  <c r="G293" i="18"/>
  <c r="O292" i="18"/>
  <c r="N292" i="18"/>
  <c r="M292" i="18"/>
  <c r="L292" i="18"/>
  <c r="K292" i="18"/>
  <c r="J292" i="18"/>
  <c r="I292" i="18"/>
  <c r="H292" i="18"/>
  <c r="G292" i="18"/>
  <c r="O291" i="18"/>
  <c r="N291" i="18"/>
  <c r="M291" i="18"/>
  <c r="L291" i="18"/>
  <c r="K291" i="18"/>
  <c r="J291" i="18"/>
  <c r="I291" i="18"/>
  <c r="H291" i="18"/>
  <c r="G291" i="18"/>
  <c r="O290" i="18"/>
  <c r="N290" i="18"/>
  <c r="M290" i="18"/>
  <c r="L290" i="18"/>
  <c r="K290" i="18"/>
  <c r="J290" i="18"/>
  <c r="I290" i="18"/>
  <c r="H290" i="18"/>
  <c r="G290" i="18"/>
  <c r="O289" i="18"/>
  <c r="N289" i="18"/>
  <c r="M289" i="18"/>
  <c r="L289" i="18"/>
  <c r="K289" i="18"/>
  <c r="J289" i="18"/>
  <c r="I289" i="18"/>
  <c r="H289" i="18"/>
  <c r="G289" i="18"/>
  <c r="O288" i="18"/>
  <c r="N288" i="18"/>
  <c r="M288" i="18"/>
  <c r="L288" i="18"/>
  <c r="K288" i="18"/>
  <c r="J288" i="18"/>
  <c r="I288" i="18"/>
  <c r="H288" i="18"/>
  <c r="G288" i="18"/>
  <c r="O287" i="18"/>
  <c r="N287" i="18"/>
  <c r="M287" i="18"/>
  <c r="L287" i="18"/>
  <c r="K287" i="18"/>
  <c r="J287" i="18"/>
  <c r="I287" i="18"/>
  <c r="H287" i="18"/>
  <c r="G287" i="18"/>
  <c r="O286" i="18"/>
  <c r="N286" i="18"/>
  <c r="M286" i="18"/>
  <c r="L286" i="18"/>
  <c r="K286" i="18"/>
  <c r="J286" i="18"/>
  <c r="I286" i="18"/>
  <c r="H286" i="18"/>
  <c r="G286" i="18"/>
  <c r="O285" i="18"/>
  <c r="N285" i="18"/>
  <c r="M285" i="18"/>
  <c r="L285" i="18"/>
  <c r="K285" i="18"/>
  <c r="J285" i="18"/>
  <c r="I285" i="18"/>
  <c r="H285" i="18"/>
  <c r="G285" i="18"/>
  <c r="O284" i="18"/>
  <c r="N284" i="18"/>
  <c r="M284" i="18"/>
  <c r="L284" i="18"/>
  <c r="K284" i="18"/>
  <c r="J284" i="18"/>
  <c r="I284" i="18"/>
  <c r="H284" i="18"/>
  <c r="G284" i="18"/>
  <c r="O283" i="18"/>
  <c r="N283" i="18"/>
  <c r="M283" i="18"/>
  <c r="L283" i="18"/>
  <c r="K283" i="18"/>
  <c r="J283" i="18"/>
  <c r="I283" i="18"/>
  <c r="H283" i="18"/>
  <c r="G283" i="18"/>
  <c r="O282" i="18"/>
  <c r="N282" i="18"/>
  <c r="M282" i="18"/>
  <c r="L282" i="18"/>
  <c r="K282" i="18"/>
  <c r="J282" i="18"/>
  <c r="I282" i="18"/>
  <c r="H282" i="18"/>
  <c r="G282" i="18"/>
  <c r="O281" i="18"/>
  <c r="N281" i="18"/>
  <c r="M281" i="18"/>
  <c r="L281" i="18"/>
  <c r="K281" i="18"/>
  <c r="J281" i="18"/>
  <c r="I281" i="18"/>
  <c r="H281" i="18"/>
  <c r="G281" i="18"/>
  <c r="O280" i="18"/>
  <c r="N280" i="18"/>
  <c r="M280" i="18"/>
  <c r="L280" i="18"/>
  <c r="K280" i="18"/>
  <c r="J280" i="18"/>
  <c r="I280" i="18"/>
  <c r="H280" i="18"/>
  <c r="G280" i="18"/>
  <c r="O279" i="18"/>
  <c r="N279" i="18"/>
  <c r="M279" i="18"/>
  <c r="L279" i="18"/>
  <c r="K279" i="18"/>
  <c r="J279" i="18"/>
  <c r="I279" i="18"/>
  <c r="H279" i="18"/>
  <c r="G279" i="18"/>
  <c r="O278" i="18"/>
  <c r="N278" i="18"/>
  <c r="M278" i="18"/>
  <c r="L278" i="18"/>
  <c r="K278" i="18"/>
  <c r="J278" i="18"/>
  <c r="I278" i="18"/>
  <c r="H278" i="18"/>
  <c r="G278" i="18"/>
  <c r="O277" i="18"/>
  <c r="N277" i="18"/>
  <c r="M277" i="18"/>
  <c r="L277" i="18"/>
  <c r="K277" i="18"/>
  <c r="J277" i="18"/>
  <c r="I277" i="18"/>
  <c r="H277" i="18"/>
  <c r="G277" i="18"/>
  <c r="O276" i="18"/>
  <c r="N276" i="18"/>
  <c r="M276" i="18"/>
  <c r="L276" i="18"/>
  <c r="K276" i="18"/>
  <c r="J276" i="18"/>
  <c r="I276" i="18"/>
  <c r="H276" i="18"/>
  <c r="G276" i="18"/>
  <c r="O275" i="18"/>
  <c r="N275" i="18"/>
  <c r="M275" i="18"/>
  <c r="L275" i="18"/>
  <c r="K275" i="18"/>
  <c r="J275" i="18"/>
  <c r="I275" i="18"/>
  <c r="H275" i="18"/>
  <c r="G275" i="18"/>
  <c r="O274" i="18"/>
  <c r="N274" i="18"/>
  <c r="M274" i="18"/>
  <c r="L274" i="18"/>
  <c r="K274" i="18"/>
  <c r="J274" i="18"/>
  <c r="I274" i="18"/>
  <c r="H274" i="18"/>
  <c r="G274" i="18"/>
  <c r="O273" i="18"/>
  <c r="N273" i="18"/>
  <c r="M273" i="18"/>
  <c r="L273" i="18"/>
  <c r="K273" i="18"/>
  <c r="J273" i="18"/>
  <c r="I273" i="18"/>
  <c r="H273" i="18"/>
  <c r="G273" i="18"/>
  <c r="O272" i="18"/>
  <c r="N272" i="18"/>
  <c r="M272" i="18"/>
  <c r="L272" i="18"/>
  <c r="K272" i="18"/>
  <c r="J272" i="18"/>
  <c r="I272" i="18"/>
  <c r="H272" i="18"/>
  <c r="G272" i="18"/>
  <c r="O271" i="18"/>
  <c r="N271" i="18"/>
  <c r="M271" i="18"/>
  <c r="L271" i="18"/>
  <c r="K271" i="18"/>
  <c r="J271" i="18"/>
  <c r="I271" i="18"/>
  <c r="H271" i="18"/>
  <c r="G271" i="18"/>
  <c r="O270" i="18"/>
  <c r="N270" i="18"/>
  <c r="M270" i="18"/>
  <c r="L270" i="18"/>
  <c r="K270" i="18"/>
  <c r="J270" i="18"/>
  <c r="I270" i="18"/>
  <c r="H270" i="18"/>
  <c r="G270" i="18"/>
  <c r="O269" i="18"/>
  <c r="N269" i="18"/>
  <c r="M269" i="18"/>
  <c r="L269" i="18"/>
  <c r="K269" i="18"/>
  <c r="J269" i="18"/>
  <c r="I269" i="18"/>
  <c r="H269" i="18"/>
  <c r="G269" i="18"/>
  <c r="O268" i="18"/>
  <c r="N268" i="18"/>
  <c r="M268" i="18"/>
  <c r="L268" i="18"/>
  <c r="K268" i="18"/>
  <c r="J268" i="18"/>
  <c r="I268" i="18"/>
  <c r="H268" i="18"/>
  <c r="G268" i="18"/>
  <c r="O267" i="18"/>
  <c r="N267" i="18"/>
  <c r="M267" i="18"/>
  <c r="L267" i="18"/>
  <c r="K267" i="18"/>
  <c r="J267" i="18"/>
  <c r="I267" i="18"/>
  <c r="H267" i="18"/>
  <c r="G267" i="18"/>
  <c r="O266" i="18"/>
  <c r="N266" i="18"/>
  <c r="M266" i="18"/>
  <c r="L266" i="18"/>
  <c r="K266" i="18"/>
  <c r="J266" i="18"/>
  <c r="I266" i="18"/>
  <c r="H266" i="18"/>
  <c r="G266" i="18"/>
  <c r="O265" i="18"/>
  <c r="N265" i="18"/>
  <c r="M265" i="18"/>
  <c r="L265" i="18"/>
  <c r="K265" i="18"/>
  <c r="J265" i="18"/>
  <c r="I265" i="18"/>
  <c r="H265" i="18"/>
  <c r="G265" i="18"/>
  <c r="O264" i="18"/>
  <c r="N264" i="18"/>
  <c r="M264" i="18"/>
  <c r="L264" i="18"/>
  <c r="K264" i="18"/>
  <c r="J264" i="18"/>
  <c r="I264" i="18"/>
  <c r="H264" i="18"/>
  <c r="G264" i="18"/>
  <c r="O263" i="18"/>
  <c r="N263" i="18"/>
  <c r="M263" i="18"/>
  <c r="L263" i="18"/>
  <c r="K263" i="18"/>
  <c r="J263" i="18"/>
  <c r="I263" i="18"/>
  <c r="H263" i="18"/>
  <c r="G263" i="18"/>
  <c r="O262" i="18"/>
  <c r="N262" i="18"/>
  <c r="M262" i="18"/>
  <c r="L262" i="18"/>
  <c r="K262" i="18"/>
  <c r="J262" i="18"/>
  <c r="I262" i="18"/>
  <c r="H262" i="18"/>
  <c r="G262" i="18"/>
  <c r="O261" i="18"/>
  <c r="N261" i="18"/>
  <c r="M261" i="18"/>
  <c r="L261" i="18"/>
  <c r="K261" i="18"/>
  <c r="J261" i="18"/>
  <c r="I261" i="18"/>
  <c r="H261" i="18"/>
  <c r="G261" i="18"/>
  <c r="O260" i="18"/>
  <c r="N260" i="18"/>
  <c r="M260" i="18"/>
  <c r="L260" i="18"/>
  <c r="K260" i="18"/>
  <c r="J260" i="18"/>
  <c r="I260" i="18"/>
  <c r="H260" i="18"/>
  <c r="G260" i="18"/>
  <c r="O259" i="18"/>
  <c r="N259" i="18"/>
  <c r="M259" i="18"/>
  <c r="L259" i="18"/>
  <c r="K259" i="18"/>
  <c r="J259" i="18"/>
  <c r="I259" i="18"/>
  <c r="H259" i="18"/>
  <c r="G259" i="18"/>
  <c r="O258" i="18"/>
  <c r="N258" i="18"/>
  <c r="M258" i="18"/>
  <c r="L258" i="18"/>
  <c r="K258" i="18"/>
  <c r="J258" i="18"/>
  <c r="I258" i="18"/>
  <c r="H258" i="18"/>
  <c r="G258" i="18"/>
  <c r="O257" i="18"/>
  <c r="N257" i="18"/>
  <c r="M257" i="18"/>
  <c r="L257" i="18"/>
  <c r="K257" i="18"/>
  <c r="J257" i="18"/>
  <c r="I257" i="18"/>
  <c r="H257" i="18"/>
  <c r="G257" i="18"/>
  <c r="O256" i="18"/>
  <c r="N256" i="18"/>
  <c r="M256" i="18"/>
  <c r="L256" i="18"/>
  <c r="K256" i="18"/>
  <c r="J256" i="18"/>
  <c r="I256" i="18"/>
  <c r="H256" i="18"/>
  <c r="G256" i="18"/>
  <c r="O255" i="18"/>
  <c r="N255" i="18"/>
  <c r="M255" i="18"/>
  <c r="L255" i="18"/>
  <c r="K255" i="18"/>
  <c r="J255" i="18"/>
  <c r="I255" i="18"/>
  <c r="H255" i="18"/>
  <c r="G255" i="18"/>
  <c r="O254" i="18"/>
  <c r="N254" i="18"/>
  <c r="M254" i="18"/>
  <c r="L254" i="18"/>
  <c r="K254" i="18"/>
  <c r="J254" i="18"/>
  <c r="I254" i="18"/>
  <c r="H254" i="18"/>
  <c r="G254" i="18"/>
  <c r="O253" i="18"/>
  <c r="N253" i="18"/>
  <c r="M253" i="18"/>
  <c r="L253" i="18"/>
  <c r="K253" i="18"/>
  <c r="J253" i="18"/>
  <c r="I253" i="18"/>
  <c r="H253" i="18"/>
  <c r="G253" i="18"/>
  <c r="O252" i="18"/>
  <c r="N252" i="18"/>
  <c r="M252" i="18"/>
  <c r="L252" i="18"/>
  <c r="K252" i="18"/>
  <c r="J252" i="18"/>
  <c r="I252" i="18"/>
  <c r="H252" i="18"/>
  <c r="G252" i="18"/>
  <c r="O251" i="18"/>
  <c r="N251" i="18"/>
  <c r="M251" i="18"/>
  <c r="L251" i="18"/>
  <c r="K251" i="18"/>
  <c r="J251" i="18"/>
  <c r="I251" i="18"/>
  <c r="H251" i="18"/>
  <c r="G251" i="18"/>
  <c r="O250" i="18"/>
  <c r="N250" i="18"/>
  <c r="M250" i="18"/>
  <c r="L250" i="18"/>
  <c r="K250" i="18"/>
  <c r="J250" i="18"/>
  <c r="I250" i="18"/>
  <c r="H250" i="18"/>
  <c r="G250" i="18"/>
  <c r="O249" i="18"/>
  <c r="N249" i="18"/>
  <c r="M249" i="18"/>
  <c r="L249" i="18"/>
  <c r="K249" i="18"/>
  <c r="J249" i="18"/>
  <c r="I249" i="18"/>
  <c r="H249" i="18"/>
  <c r="G249" i="18"/>
  <c r="O248" i="18"/>
  <c r="N248" i="18"/>
  <c r="M248" i="18"/>
  <c r="L248" i="18"/>
  <c r="K248" i="18"/>
  <c r="J248" i="18"/>
  <c r="I248" i="18"/>
  <c r="H248" i="18"/>
  <c r="G248" i="18"/>
  <c r="O247" i="18"/>
  <c r="N247" i="18"/>
  <c r="M247" i="18"/>
  <c r="L247" i="18"/>
  <c r="K247" i="18"/>
  <c r="J247" i="18"/>
  <c r="I247" i="18"/>
  <c r="H247" i="18"/>
  <c r="G247" i="18"/>
  <c r="O246" i="18"/>
  <c r="N246" i="18"/>
  <c r="M246" i="18"/>
  <c r="L246" i="18"/>
  <c r="K246" i="18"/>
  <c r="J246" i="18"/>
  <c r="I246" i="18"/>
  <c r="H246" i="18"/>
  <c r="G246" i="18"/>
  <c r="O245" i="18"/>
  <c r="N245" i="18"/>
  <c r="M245" i="18"/>
  <c r="L245" i="18"/>
  <c r="K245" i="18"/>
  <c r="J245" i="18"/>
  <c r="I245" i="18"/>
  <c r="H245" i="18"/>
  <c r="G245" i="18"/>
  <c r="O244" i="18"/>
  <c r="N244" i="18"/>
  <c r="M244" i="18"/>
  <c r="L244" i="18"/>
  <c r="K244" i="18"/>
  <c r="J244" i="18"/>
  <c r="I244" i="18"/>
  <c r="H244" i="18"/>
  <c r="G244" i="18"/>
  <c r="O243" i="18"/>
  <c r="N243" i="18"/>
  <c r="M243" i="18"/>
  <c r="L243" i="18"/>
  <c r="K243" i="18"/>
  <c r="J243" i="18"/>
  <c r="I243" i="18"/>
  <c r="H243" i="18"/>
  <c r="G243" i="18"/>
  <c r="O242" i="18"/>
  <c r="N242" i="18"/>
  <c r="M242" i="18"/>
  <c r="L242" i="18"/>
  <c r="K242" i="18"/>
  <c r="J242" i="18"/>
  <c r="I242" i="18"/>
  <c r="H242" i="18"/>
  <c r="G242" i="18"/>
  <c r="O241" i="18"/>
  <c r="N241" i="18"/>
  <c r="M241" i="18"/>
  <c r="L241" i="18"/>
  <c r="K241" i="18"/>
  <c r="J241" i="18"/>
  <c r="I241" i="18"/>
  <c r="H241" i="18"/>
  <c r="G241" i="18"/>
  <c r="O240" i="18"/>
  <c r="N240" i="18"/>
  <c r="M240" i="18"/>
  <c r="L240" i="18"/>
  <c r="K240" i="18"/>
  <c r="J240" i="18"/>
  <c r="I240" i="18"/>
  <c r="H240" i="18"/>
  <c r="G240" i="18"/>
  <c r="O239" i="18"/>
  <c r="N239" i="18"/>
  <c r="M239" i="18"/>
  <c r="L239" i="18"/>
  <c r="K239" i="18"/>
  <c r="J239" i="18"/>
  <c r="I239" i="18"/>
  <c r="H239" i="18"/>
  <c r="G239" i="18"/>
  <c r="O238" i="18"/>
  <c r="N238" i="18"/>
  <c r="M238" i="18"/>
  <c r="L238" i="18"/>
  <c r="K238" i="18"/>
  <c r="J238" i="18"/>
  <c r="I238" i="18"/>
  <c r="H238" i="18"/>
  <c r="G238" i="18"/>
  <c r="O237" i="18"/>
  <c r="N237" i="18"/>
  <c r="M237" i="18"/>
  <c r="L237" i="18"/>
  <c r="K237" i="18"/>
  <c r="J237" i="18"/>
  <c r="I237" i="18"/>
  <c r="H237" i="18"/>
  <c r="G237" i="18"/>
  <c r="O236" i="18"/>
  <c r="N236" i="18"/>
  <c r="M236" i="18"/>
  <c r="L236" i="18"/>
  <c r="K236" i="18"/>
  <c r="J236" i="18"/>
  <c r="I236" i="18"/>
  <c r="H236" i="18"/>
  <c r="G236" i="18"/>
  <c r="O235" i="18"/>
  <c r="N235" i="18"/>
  <c r="M235" i="18"/>
  <c r="L235" i="18"/>
  <c r="K235" i="18"/>
  <c r="J235" i="18"/>
  <c r="I235" i="18"/>
  <c r="H235" i="18"/>
  <c r="G235" i="18"/>
  <c r="O234" i="18"/>
  <c r="N234" i="18"/>
  <c r="M234" i="18"/>
  <c r="L234" i="18"/>
  <c r="K234" i="18"/>
  <c r="J234" i="18"/>
  <c r="I234" i="18"/>
  <c r="H234" i="18"/>
  <c r="G234" i="18"/>
  <c r="O233" i="18"/>
  <c r="N233" i="18"/>
  <c r="M233" i="18"/>
  <c r="L233" i="18"/>
  <c r="K233" i="18"/>
  <c r="J233" i="18"/>
  <c r="I233" i="18"/>
  <c r="H233" i="18"/>
  <c r="G233" i="18"/>
  <c r="O232" i="18"/>
  <c r="N232" i="18"/>
  <c r="M232" i="18"/>
  <c r="L232" i="18"/>
  <c r="K232" i="18"/>
  <c r="J232" i="18"/>
  <c r="I232" i="18"/>
  <c r="H232" i="18"/>
  <c r="G232" i="18"/>
  <c r="O231" i="18"/>
  <c r="N231" i="18"/>
  <c r="M231" i="18"/>
  <c r="L231" i="18"/>
  <c r="K231" i="18"/>
  <c r="J231" i="18"/>
  <c r="I231" i="18"/>
  <c r="H231" i="18"/>
  <c r="G231" i="18"/>
  <c r="O230" i="18"/>
  <c r="N230" i="18"/>
  <c r="M230" i="18"/>
  <c r="L230" i="18"/>
  <c r="K230" i="18"/>
  <c r="J230" i="18"/>
  <c r="I230" i="18"/>
  <c r="H230" i="18"/>
  <c r="G230" i="18"/>
  <c r="O228" i="18"/>
  <c r="N228" i="18"/>
  <c r="M228" i="18"/>
  <c r="L228" i="18"/>
  <c r="K228" i="18"/>
  <c r="J228" i="18"/>
  <c r="I228" i="18"/>
  <c r="H228" i="18"/>
  <c r="G228" i="18"/>
  <c r="O227" i="18"/>
  <c r="N227" i="18"/>
  <c r="M227" i="18"/>
  <c r="L227" i="18"/>
  <c r="K227" i="18"/>
  <c r="J227" i="18"/>
  <c r="I227" i="18"/>
  <c r="H227" i="18"/>
  <c r="G227" i="18"/>
  <c r="O226" i="18"/>
  <c r="N226" i="18"/>
  <c r="M226" i="18"/>
  <c r="L226" i="18"/>
  <c r="K226" i="18"/>
  <c r="J226" i="18"/>
  <c r="I226" i="18"/>
  <c r="H226" i="18"/>
  <c r="G226" i="18"/>
  <c r="O225" i="18"/>
  <c r="N225" i="18"/>
  <c r="M225" i="18"/>
  <c r="L225" i="18"/>
  <c r="K225" i="18"/>
  <c r="J225" i="18"/>
  <c r="I225" i="18"/>
  <c r="H225" i="18"/>
  <c r="G225" i="18"/>
  <c r="O224" i="18"/>
  <c r="N224" i="18"/>
  <c r="M224" i="18"/>
  <c r="L224" i="18"/>
  <c r="K224" i="18"/>
  <c r="J224" i="18"/>
  <c r="I224" i="18"/>
  <c r="H224" i="18"/>
  <c r="G224" i="18"/>
  <c r="O223" i="18"/>
  <c r="N223" i="18"/>
  <c r="M223" i="18"/>
  <c r="L223" i="18"/>
  <c r="K223" i="18"/>
  <c r="J223" i="18"/>
  <c r="I223" i="18"/>
  <c r="H223" i="18"/>
  <c r="G223" i="18"/>
  <c r="O222" i="18"/>
  <c r="N222" i="18"/>
  <c r="M222" i="18"/>
  <c r="L222" i="18"/>
  <c r="K222" i="18"/>
  <c r="J222" i="18"/>
  <c r="I222" i="18"/>
  <c r="H222" i="18"/>
  <c r="G222" i="18"/>
  <c r="O221" i="18"/>
  <c r="N221" i="18"/>
  <c r="M221" i="18"/>
  <c r="L221" i="18"/>
  <c r="K221" i="18"/>
  <c r="J221" i="18"/>
  <c r="I221" i="18"/>
  <c r="H221" i="18"/>
  <c r="G221" i="18"/>
  <c r="O220" i="18"/>
  <c r="N220" i="18"/>
  <c r="M220" i="18"/>
  <c r="L220" i="18"/>
  <c r="K220" i="18"/>
  <c r="J220" i="18"/>
  <c r="I220" i="18"/>
  <c r="H220" i="18"/>
  <c r="G220" i="18"/>
  <c r="O219" i="18"/>
  <c r="N219" i="18"/>
  <c r="M219" i="18"/>
  <c r="L219" i="18"/>
  <c r="K219" i="18"/>
  <c r="J219" i="18"/>
  <c r="I219" i="18"/>
  <c r="H219" i="18"/>
  <c r="G219" i="18"/>
  <c r="O218" i="18"/>
  <c r="N218" i="18"/>
  <c r="M218" i="18"/>
  <c r="L218" i="18"/>
  <c r="K218" i="18"/>
  <c r="J218" i="18"/>
  <c r="I218" i="18"/>
  <c r="H218" i="18"/>
  <c r="G218" i="18"/>
  <c r="O217" i="18"/>
  <c r="N217" i="18"/>
  <c r="M217" i="18"/>
  <c r="L217" i="18"/>
  <c r="K217" i="18"/>
  <c r="J217" i="18"/>
  <c r="I217" i="18"/>
  <c r="H217" i="18"/>
  <c r="G217" i="18"/>
  <c r="O216" i="18"/>
  <c r="N216" i="18"/>
  <c r="M216" i="18"/>
  <c r="L216" i="18"/>
  <c r="K216" i="18"/>
  <c r="J216" i="18"/>
  <c r="I216" i="18"/>
  <c r="H216" i="18"/>
  <c r="G216" i="18"/>
  <c r="O215" i="18"/>
  <c r="N215" i="18"/>
  <c r="M215" i="18"/>
  <c r="L215" i="18"/>
  <c r="K215" i="18"/>
  <c r="J215" i="18"/>
  <c r="I215" i="18"/>
  <c r="H215" i="18"/>
  <c r="G215" i="18"/>
  <c r="O214" i="18"/>
  <c r="N214" i="18"/>
  <c r="M214" i="18"/>
  <c r="L214" i="18"/>
  <c r="K214" i="18"/>
  <c r="J214" i="18"/>
  <c r="I214" i="18"/>
  <c r="H214" i="18"/>
  <c r="G214" i="18"/>
  <c r="O213" i="18"/>
  <c r="N213" i="18"/>
  <c r="M213" i="18"/>
  <c r="L213" i="18"/>
  <c r="K213" i="18"/>
  <c r="J213" i="18"/>
  <c r="I213" i="18"/>
  <c r="H213" i="18"/>
  <c r="G213" i="18"/>
  <c r="O212" i="18"/>
  <c r="N212" i="18"/>
  <c r="M212" i="18"/>
  <c r="L212" i="18"/>
  <c r="K212" i="18"/>
  <c r="J212" i="18"/>
  <c r="I212" i="18"/>
  <c r="H212" i="18"/>
  <c r="G212" i="18"/>
  <c r="O211" i="18"/>
  <c r="N211" i="18"/>
  <c r="M211" i="18"/>
  <c r="L211" i="18"/>
  <c r="K211" i="18"/>
  <c r="J211" i="18"/>
  <c r="I211" i="18"/>
  <c r="H211" i="18"/>
  <c r="G211" i="18"/>
  <c r="O210" i="18"/>
  <c r="N210" i="18"/>
  <c r="M210" i="18"/>
  <c r="L210" i="18"/>
  <c r="K210" i="18"/>
  <c r="J210" i="18"/>
  <c r="I210" i="18"/>
  <c r="H210" i="18"/>
  <c r="G210" i="18"/>
  <c r="O209" i="18"/>
  <c r="N209" i="18"/>
  <c r="M209" i="18"/>
  <c r="L209" i="18"/>
  <c r="K209" i="18"/>
  <c r="J209" i="18"/>
  <c r="I209" i="18"/>
  <c r="H209" i="18"/>
  <c r="G209" i="18"/>
  <c r="O208" i="18"/>
  <c r="N208" i="18"/>
  <c r="M208" i="18"/>
  <c r="L208" i="18"/>
  <c r="K208" i="18"/>
  <c r="J208" i="18"/>
  <c r="I208" i="18"/>
  <c r="H208" i="18"/>
  <c r="G208" i="18"/>
  <c r="O207" i="18"/>
  <c r="N207" i="18"/>
  <c r="M207" i="18"/>
  <c r="L207" i="18"/>
  <c r="K207" i="18"/>
  <c r="J207" i="18"/>
  <c r="I207" i="18"/>
  <c r="H207" i="18"/>
  <c r="G207" i="18"/>
  <c r="O206" i="18"/>
  <c r="N206" i="18"/>
  <c r="M206" i="18"/>
  <c r="L206" i="18"/>
  <c r="K206" i="18"/>
  <c r="J206" i="18"/>
  <c r="I206" i="18"/>
  <c r="H206" i="18"/>
  <c r="G206" i="18"/>
  <c r="O205" i="18"/>
  <c r="N205" i="18"/>
  <c r="M205" i="18"/>
  <c r="L205" i="18"/>
  <c r="K205" i="18"/>
  <c r="J205" i="18"/>
  <c r="I205" i="18"/>
  <c r="H205" i="18"/>
  <c r="G205" i="18"/>
  <c r="O204" i="18"/>
  <c r="N204" i="18"/>
  <c r="M204" i="18"/>
  <c r="L204" i="18"/>
  <c r="K204" i="18"/>
  <c r="J204" i="18"/>
  <c r="I204" i="18"/>
  <c r="H204" i="18"/>
  <c r="G204" i="18"/>
  <c r="O203" i="18"/>
  <c r="N203" i="18"/>
  <c r="M203" i="18"/>
  <c r="L203" i="18"/>
  <c r="K203" i="18"/>
  <c r="J203" i="18"/>
  <c r="I203" i="18"/>
  <c r="H203" i="18"/>
  <c r="G203" i="18"/>
  <c r="O202" i="18"/>
  <c r="N202" i="18"/>
  <c r="M202" i="18"/>
  <c r="L202" i="18"/>
  <c r="K202" i="18"/>
  <c r="J202" i="18"/>
  <c r="I202" i="18"/>
  <c r="H202" i="18"/>
  <c r="G202" i="18"/>
  <c r="O201" i="18"/>
  <c r="N201" i="18"/>
  <c r="M201" i="18"/>
  <c r="L201" i="18"/>
  <c r="K201" i="18"/>
  <c r="J201" i="18"/>
  <c r="I201" i="18"/>
  <c r="H201" i="18"/>
  <c r="G201" i="18"/>
  <c r="O200" i="18"/>
  <c r="N200" i="18"/>
  <c r="M200" i="18"/>
  <c r="L200" i="18"/>
  <c r="K200" i="18"/>
  <c r="J200" i="18"/>
  <c r="I200" i="18"/>
  <c r="H200" i="18"/>
  <c r="G200" i="18"/>
  <c r="O199" i="18"/>
  <c r="N199" i="18"/>
  <c r="M199" i="18"/>
  <c r="L199" i="18"/>
  <c r="K199" i="18"/>
  <c r="J199" i="18"/>
  <c r="I199" i="18"/>
  <c r="H199" i="18"/>
  <c r="G199" i="18"/>
  <c r="O198" i="18"/>
  <c r="N198" i="18"/>
  <c r="M198" i="18"/>
  <c r="L198" i="18"/>
  <c r="K198" i="18"/>
  <c r="J198" i="18"/>
  <c r="I198" i="18"/>
  <c r="H198" i="18"/>
  <c r="G198" i="18"/>
  <c r="O197" i="18"/>
  <c r="N197" i="18"/>
  <c r="M197" i="18"/>
  <c r="L197" i="18"/>
  <c r="K197" i="18"/>
  <c r="J197" i="18"/>
  <c r="I197" i="18"/>
  <c r="H197" i="18"/>
  <c r="G197" i="18"/>
  <c r="O196" i="18"/>
  <c r="N196" i="18"/>
  <c r="M196" i="18"/>
  <c r="L196" i="18"/>
  <c r="K196" i="18"/>
  <c r="J196" i="18"/>
  <c r="I196" i="18"/>
  <c r="H196" i="18"/>
  <c r="G196" i="18"/>
  <c r="O195" i="18"/>
  <c r="N195" i="18"/>
  <c r="M195" i="18"/>
  <c r="L195" i="18"/>
  <c r="K195" i="18"/>
  <c r="J195" i="18"/>
  <c r="I195" i="18"/>
  <c r="H195" i="18"/>
  <c r="G195" i="18"/>
  <c r="O194" i="18"/>
  <c r="N194" i="18"/>
  <c r="M194" i="18"/>
  <c r="L194" i="18"/>
  <c r="K194" i="18"/>
  <c r="J194" i="18"/>
  <c r="I194" i="18"/>
  <c r="H194" i="18"/>
  <c r="G194" i="18"/>
  <c r="O193" i="18"/>
  <c r="N193" i="18"/>
  <c r="M193" i="18"/>
  <c r="L193" i="18"/>
  <c r="K193" i="18"/>
  <c r="J193" i="18"/>
  <c r="I193" i="18"/>
  <c r="H193" i="18"/>
  <c r="G193" i="18"/>
  <c r="O192" i="18"/>
  <c r="N192" i="18"/>
  <c r="M192" i="18"/>
  <c r="L192" i="18"/>
  <c r="K192" i="18"/>
  <c r="J192" i="18"/>
  <c r="I192" i="18"/>
  <c r="H192" i="18"/>
  <c r="G192" i="18"/>
  <c r="O191" i="18"/>
  <c r="N191" i="18"/>
  <c r="M191" i="18"/>
  <c r="L191" i="18"/>
  <c r="K191" i="18"/>
  <c r="J191" i="18"/>
  <c r="I191" i="18"/>
  <c r="H191" i="18"/>
  <c r="G191" i="18"/>
  <c r="O190" i="18"/>
  <c r="N190" i="18"/>
  <c r="M190" i="18"/>
  <c r="L190" i="18"/>
  <c r="K190" i="18"/>
  <c r="J190" i="18"/>
  <c r="I190" i="18"/>
  <c r="H190" i="18"/>
  <c r="G190" i="18"/>
  <c r="O189" i="18"/>
  <c r="N189" i="18"/>
  <c r="M189" i="18"/>
  <c r="L189" i="18"/>
  <c r="K189" i="18"/>
  <c r="J189" i="18"/>
  <c r="I189" i="18"/>
  <c r="H189" i="18"/>
  <c r="G189" i="18"/>
  <c r="O188" i="18"/>
  <c r="N188" i="18"/>
  <c r="M188" i="18"/>
  <c r="L188" i="18"/>
  <c r="K188" i="18"/>
  <c r="J188" i="18"/>
  <c r="I188" i="18"/>
  <c r="H188" i="18"/>
  <c r="G188" i="18"/>
  <c r="O187" i="18"/>
  <c r="N187" i="18"/>
  <c r="M187" i="18"/>
  <c r="L187" i="18"/>
  <c r="K187" i="18"/>
  <c r="J187" i="18"/>
  <c r="I187" i="18"/>
  <c r="H187" i="18"/>
  <c r="G187" i="18"/>
  <c r="O186" i="18"/>
  <c r="N186" i="18"/>
  <c r="M186" i="18"/>
  <c r="L186" i="18"/>
  <c r="K186" i="18"/>
  <c r="J186" i="18"/>
  <c r="I186" i="18"/>
  <c r="H186" i="18"/>
  <c r="G186" i="18"/>
  <c r="O185" i="18"/>
  <c r="N185" i="18"/>
  <c r="M185" i="18"/>
  <c r="L185" i="18"/>
  <c r="K185" i="18"/>
  <c r="J185" i="18"/>
  <c r="I185" i="18"/>
  <c r="H185" i="18"/>
  <c r="G185" i="18"/>
  <c r="O184" i="18"/>
  <c r="N184" i="18"/>
  <c r="M184" i="18"/>
  <c r="L184" i="18"/>
  <c r="K184" i="18"/>
  <c r="J184" i="18"/>
  <c r="I184" i="18"/>
  <c r="H184" i="18"/>
  <c r="G184" i="18"/>
  <c r="O183" i="18"/>
  <c r="N183" i="18"/>
  <c r="M183" i="18"/>
  <c r="L183" i="18"/>
  <c r="K183" i="18"/>
  <c r="J183" i="18"/>
  <c r="I183" i="18"/>
  <c r="H183" i="18"/>
  <c r="G183" i="18"/>
  <c r="O182" i="18"/>
  <c r="N182" i="18"/>
  <c r="M182" i="18"/>
  <c r="L182" i="18"/>
  <c r="K182" i="18"/>
  <c r="J182" i="18"/>
  <c r="I182" i="18"/>
  <c r="H182" i="18"/>
  <c r="G182" i="18"/>
  <c r="O181" i="18"/>
  <c r="N181" i="18"/>
  <c r="M181" i="18"/>
  <c r="L181" i="18"/>
  <c r="K181" i="18"/>
  <c r="J181" i="18"/>
  <c r="I181" i="18"/>
  <c r="H181" i="18"/>
  <c r="G181" i="18"/>
  <c r="O180" i="18"/>
  <c r="N180" i="18"/>
  <c r="M180" i="18"/>
  <c r="L180" i="18"/>
  <c r="K180" i="18"/>
  <c r="J180" i="18"/>
  <c r="I180" i="18"/>
  <c r="H180" i="18"/>
  <c r="G180" i="18"/>
  <c r="O179" i="18"/>
  <c r="N179" i="18"/>
  <c r="M179" i="18"/>
  <c r="L179" i="18"/>
  <c r="K179" i="18"/>
  <c r="J179" i="18"/>
  <c r="I179" i="18"/>
  <c r="H179" i="18"/>
  <c r="G179" i="18"/>
  <c r="O178" i="18"/>
  <c r="N178" i="18"/>
  <c r="M178" i="18"/>
  <c r="L178" i="18"/>
  <c r="K178" i="18"/>
  <c r="J178" i="18"/>
  <c r="I178" i="18"/>
  <c r="H178" i="18"/>
  <c r="G178" i="18"/>
  <c r="O177" i="18"/>
  <c r="N177" i="18"/>
  <c r="M177" i="18"/>
  <c r="L177" i="18"/>
  <c r="K177" i="18"/>
  <c r="J177" i="18"/>
  <c r="I177" i="18"/>
  <c r="H177" i="18"/>
  <c r="G177" i="18"/>
  <c r="O176" i="18"/>
  <c r="N176" i="18"/>
  <c r="M176" i="18"/>
  <c r="L176" i="18"/>
  <c r="K176" i="18"/>
  <c r="J176" i="18"/>
  <c r="I176" i="18"/>
  <c r="H176" i="18"/>
  <c r="G176" i="18"/>
  <c r="O175" i="18"/>
  <c r="N175" i="18"/>
  <c r="M175" i="18"/>
  <c r="L175" i="18"/>
  <c r="K175" i="18"/>
  <c r="J175" i="18"/>
  <c r="I175" i="18"/>
  <c r="H175" i="18"/>
  <c r="G175" i="18"/>
  <c r="O174" i="18"/>
  <c r="N174" i="18"/>
  <c r="M174" i="18"/>
  <c r="L174" i="18"/>
  <c r="K174" i="18"/>
  <c r="J174" i="18"/>
  <c r="I174" i="18"/>
  <c r="H174" i="18"/>
  <c r="G174" i="18"/>
  <c r="O173" i="18"/>
  <c r="N173" i="18"/>
  <c r="M173" i="18"/>
  <c r="L173" i="18"/>
  <c r="K173" i="18"/>
  <c r="J173" i="18"/>
  <c r="I173" i="18"/>
  <c r="H173" i="18"/>
  <c r="G173" i="18"/>
  <c r="O172" i="18"/>
  <c r="N172" i="18"/>
  <c r="M172" i="18"/>
  <c r="L172" i="18"/>
  <c r="K172" i="18"/>
  <c r="J172" i="18"/>
  <c r="I172" i="18"/>
  <c r="H172" i="18"/>
  <c r="G172" i="18"/>
  <c r="O171" i="18"/>
  <c r="N171" i="18"/>
  <c r="M171" i="18"/>
  <c r="L171" i="18"/>
  <c r="K171" i="18"/>
  <c r="J171" i="18"/>
  <c r="I171" i="18"/>
  <c r="H171" i="18"/>
  <c r="G171" i="18"/>
  <c r="O170" i="18"/>
  <c r="N170" i="18"/>
  <c r="M170" i="18"/>
  <c r="L170" i="18"/>
  <c r="K170" i="18"/>
  <c r="J170" i="18"/>
  <c r="I170" i="18"/>
  <c r="H170" i="18"/>
  <c r="G170" i="18"/>
  <c r="O169" i="18"/>
  <c r="N169" i="18"/>
  <c r="M169" i="18"/>
  <c r="L169" i="18"/>
  <c r="K169" i="18"/>
  <c r="J169" i="18"/>
  <c r="I169" i="18"/>
  <c r="H169" i="18"/>
  <c r="G169" i="18"/>
  <c r="O168" i="18"/>
  <c r="N168" i="18"/>
  <c r="M168" i="18"/>
  <c r="L168" i="18"/>
  <c r="K168" i="18"/>
  <c r="J168" i="18"/>
  <c r="I168" i="18"/>
  <c r="H168" i="18"/>
  <c r="G168" i="18"/>
  <c r="O167" i="18"/>
  <c r="N167" i="18"/>
  <c r="M167" i="18"/>
  <c r="L167" i="18"/>
  <c r="K167" i="18"/>
  <c r="J167" i="18"/>
  <c r="I167" i="18"/>
  <c r="H167" i="18"/>
  <c r="G167" i="18"/>
  <c r="O166" i="18"/>
  <c r="N166" i="18"/>
  <c r="M166" i="18"/>
  <c r="L166" i="18"/>
  <c r="K166" i="18"/>
  <c r="J166" i="18"/>
  <c r="I166" i="18"/>
  <c r="H166" i="18"/>
  <c r="G166" i="18"/>
  <c r="O165" i="18"/>
  <c r="N165" i="18"/>
  <c r="M165" i="18"/>
  <c r="L165" i="18"/>
  <c r="K165" i="18"/>
  <c r="J165" i="18"/>
  <c r="I165" i="18"/>
  <c r="H165" i="18"/>
  <c r="G165" i="18"/>
  <c r="O164" i="18"/>
  <c r="N164" i="18"/>
  <c r="M164" i="18"/>
  <c r="L164" i="18"/>
  <c r="K164" i="18"/>
  <c r="J164" i="18"/>
  <c r="I164" i="18"/>
  <c r="H164" i="18"/>
  <c r="G164" i="18"/>
  <c r="O163" i="18"/>
  <c r="N163" i="18"/>
  <c r="M163" i="18"/>
  <c r="L163" i="18"/>
  <c r="K163" i="18"/>
  <c r="J163" i="18"/>
  <c r="I163" i="18"/>
  <c r="H163" i="18"/>
  <c r="G163" i="18"/>
  <c r="O162" i="18"/>
  <c r="N162" i="18"/>
  <c r="M162" i="18"/>
  <c r="L162" i="18"/>
  <c r="K162" i="18"/>
  <c r="J162" i="18"/>
  <c r="I162" i="18"/>
  <c r="H162" i="18"/>
  <c r="G162" i="18"/>
  <c r="O161" i="18"/>
  <c r="N161" i="18"/>
  <c r="M161" i="18"/>
  <c r="L161" i="18"/>
  <c r="K161" i="18"/>
  <c r="J161" i="18"/>
  <c r="I161" i="18"/>
  <c r="H161" i="18"/>
  <c r="G161" i="18"/>
  <c r="O160" i="18"/>
  <c r="N160" i="18"/>
  <c r="M160" i="18"/>
  <c r="L160" i="18"/>
  <c r="K160" i="18"/>
  <c r="J160" i="18"/>
  <c r="I160" i="18"/>
  <c r="H160" i="18"/>
  <c r="G160" i="18"/>
  <c r="O159" i="18"/>
  <c r="N159" i="18"/>
  <c r="M159" i="18"/>
  <c r="L159" i="18"/>
  <c r="K159" i="18"/>
  <c r="J159" i="18"/>
  <c r="I159" i="18"/>
  <c r="H159" i="18"/>
  <c r="G159" i="18"/>
  <c r="O158" i="18"/>
  <c r="N158" i="18"/>
  <c r="M158" i="18"/>
  <c r="L158" i="18"/>
  <c r="K158" i="18"/>
  <c r="J158" i="18"/>
  <c r="I158" i="18"/>
  <c r="H158" i="18"/>
  <c r="G158" i="18"/>
  <c r="O157" i="18"/>
  <c r="N157" i="18"/>
  <c r="M157" i="18"/>
  <c r="L157" i="18"/>
  <c r="K157" i="18"/>
  <c r="J157" i="18"/>
  <c r="I157" i="18"/>
  <c r="H157" i="18"/>
  <c r="G157" i="18"/>
  <c r="O156" i="18"/>
  <c r="N156" i="18"/>
  <c r="M156" i="18"/>
  <c r="L156" i="18"/>
  <c r="K156" i="18"/>
  <c r="J156" i="18"/>
  <c r="I156" i="18"/>
  <c r="H156" i="18"/>
  <c r="G156" i="18"/>
  <c r="O155" i="18"/>
  <c r="N155" i="18"/>
  <c r="M155" i="18"/>
  <c r="L155" i="18"/>
  <c r="K155" i="18"/>
  <c r="J155" i="18"/>
  <c r="I155" i="18"/>
  <c r="H155" i="18"/>
  <c r="G155" i="18"/>
  <c r="O154" i="18"/>
  <c r="N154" i="18"/>
  <c r="M154" i="18"/>
  <c r="L154" i="18"/>
  <c r="K154" i="18"/>
  <c r="J154" i="18"/>
  <c r="I154" i="18"/>
  <c r="H154" i="18"/>
  <c r="G154" i="18"/>
  <c r="O153" i="18"/>
  <c r="N153" i="18"/>
  <c r="M153" i="18"/>
  <c r="L153" i="18"/>
  <c r="K153" i="18"/>
  <c r="J153" i="18"/>
  <c r="I153" i="18"/>
  <c r="H153" i="18"/>
  <c r="G153" i="18"/>
  <c r="O152" i="18"/>
  <c r="N152" i="18"/>
  <c r="M152" i="18"/>
  <c r="L152" i="18"/>
  <c r="K152" i="18"/>
  <c r="J152" i="18"/>
  <c r="I152" i="18"/>
  <c r="H152" i="18"/>
  <c r="G152" i="18"/>
  <c r="O151" i="18"/>
  <c r="N151" i="18"/>
  <c r="M151" i="18"/>
  <c r="L151" i="18"/>
  <c r="K151" i="18"/>
  <c r="J151" i="18"/>
  <c r="I151" i="18"/>
  <c r="H151" i="18"/>
  <c r="G151" i="18"/>
  <c r="O150" i="18"/>
  <c r="N150" i="18"/>
  <c r="M150" i="18"/>
  <c r="L150" i="18"/>
  <c r="K150" i="18"/>
  <c r="J150" i="18"/>
  <c r="I150" i="18"/>
  <c r="H150" i="18"/>
  <c r="G150" i="18"/>
  <c r="O149" i="18"/>
  <c r="N149" i="18"/>
  <c r="M149" i="18"/>
  <c r="L149" i="18"/>
  <c r="K149" i="18"/>
  <c r="J149" i="18"/>
  <c r="I149" i="18"/>
  <c r="H149" i="18"/>
  <c r="G149" i="18"/>
  <c r="O148" i="18"/>
  <c r="N148" i="18"/>
  <c r="M148" i="18"/>
  <c r="L148" i="18"/>
  <c r="K148" i="18"/>
  <c r="J148" i="18"/>
  <c r="I148" i="18"/>
  <c r="H148" i="18"/>
  <c r="G148" i="18"/>
  <c r="O147" i="18"/>
  <c r="N147" i="18"/>
  <c r="M147" i="18"/>
  <c r="L147" i="18"/>
  <c r="K147" i="18"/>
  <c r="J147" i="18"/>
  <c r="I147" i="18"/>
  <c r="H147" i="18"/>
  <c r="G147" i="18"/>
  <c r="O146" i="18"/>
  <c r="N146" i="18"/>
  <c r="M146" i="18"/>
  <c r="L146" i="18"/>
  <c r="K146" i="18"/>
  <c r="J146" i="18"/>
  <c r="I146" i="18"/>
  <c r="H146" i="18"/>
  <c r="G146" i="18"/>
  <c r="O145" i="18"/>
  <c r="N145" i="18"/>
  <c r="M145" i="18"/>
  <c r="L145" i="18"/>
  <c r="K145" i="18"/>
  <c r="J145" i="18"/>
  <c r="I145" i="18"/>
  <c r="H145" i="18"/>
  <c r="G145" i="18"/>
  <c r="O144" i="18"/>
  <c r="N144" i="18"/>
  <c r="M144" i="18"/>
  <c r="L144" i="18"/>
  <c r="K144" i="18"/>
  <c r="J144" i="18"/>
  <c r="I144" i="18"/>
  <c r="H144" i="18"/>
  <c r="G144" i="18"/>
  <c r="O143" i="18"/>
  <c r="N143" i="18"/>
  <c r="M143" i="18"/>
  <c r="L143" i="18"/>
  <c r="K143" i="18"/>
  <c r="J143" i="18"/>
  <c r="I143" i="18"/>
  <c r="H143" i="18"/>
  <c r="G143" i="18"/>
  <c r="O142" i="18"/>
  <c r="N142" i="18"/>
  <c r="M142" i="18"/>
  <c r="L142" i="18"/>
  <c r="K142" i="18"/>
  <c r="J142" i="18"/>
  <c r="I142" i="18"/>
  <c r="H142" i="18"/>
  <c r="G142" i="18"/>
  <c r="O141" i="18"/>
  <c r="N141" i="18"/>
  <c r="M141" i="18"/>
  <c r="L141" i="18"/>
  <c r="K141" i="18"/>
  <c r="J141" i="18"/>
  <c r="I141" i="18"/>
  <c r="H141" i="18"/>
  <c r="G141" i="18"/>
  <c r="O140" i="18"/>
  <c r="N140" i="18"/>
  <c r="M140" i="18"/>
  <c r="L140" i="18"/>
  <c r="K140" i="18"/>
  <c r="J140" i="18"/>
  <c r="I140" i="18"/>
  <c r="H140" i="18"/>
  <c r="G140" i="18"/>
  <c r="O139" i="18"/>
  <c r="N139" i="18"/>
  <c r="M139" i="18"/>
  <c r="L139" i="18"/>
  <c r="K139" i="18"/>
  <c r="J139" i="18"/>
  <c r="I139" i="18"/>
  <c r="H139" i="18"/>
  <c r="G139" i="18"/>
  <c r="O138" i="18"/>
  <c r="N138" i="18"/>
  <c r="M138" i="18"/>
  <c r="L138" i="18"/>
  <c r="K138" i="18"/>
  <c r="J138" i="18"/>
  <c r="I138" i="18"/>
  <c r="H138" i="18"/>
  <c r="G138" i="18"/>
  <c r="O137" i="18"/>
  <c r="N137" i="18"/>
  <c r="M137" i="18"/>
  <c r="L137" i="18"/>
  <c r="K137" i="18"/>
  <c r="J137" i="18"/>
  <c r="I137" i="18"/>
  <c r="H137" i="18"/>
  <c r="G137" i="18"/>
  <c r="O136" i="18"/>
  <c r="N136" i="18"/>
  <c r="M136" i="18"/>
  <c r="L136" i="18"/>
  <c r="K136" i="18"/>
  <c r="J136" i="18"/>
  <c r="I136" i="18"/>
  <c r="H136" i="18"/>
  <c r="G136" i="18"/>
  <c r="O135" i="18"/>
  <c r="N135" i="18"/>
  <c r="M135" i="18"/>
  <c r="L135" i="18"/>
  <c r="K135" i="18"/>
  <c r="J135" i="18"/>
  <c r="I135" i="18"/>
  <c r="H135" i="18"/>
  <c r="G135" i="18"/>
  <c r="O134" i="18"/>
  <c r="N134" i="18"/>
  <c r="M134" i="18"/>
  <c r="L134" i="18"/>
  <c r="K134" i="18"/>
  <c r="J134" i="18"/>
  <c r="I134" i="18"/>
  <c r="H134" i="18"/>
  <c r="G134" i="18"/>
  <c r="O133" i="18"/>
  <c r="N133" i="18"/>
  <c r="M133" i="18"/>
  <c r="L133" i="18"/>
  <c r="K133" i="18"/>
  <c r="J133" i="18"/>
  <c r="I133" i="18"/>
  <c r="H133" i="18"/>
  <c r="G133" i="18"/>
  <c r="O132" i="18"/>
  <c r="N132" i="18"/>
  <c r="M132" i="18"/>
  <c r="L132" i="18"/>
  <c r="K132" i="18"/>
  <c r="J132" i="18"/>
  <c r="I132" i="18"/>
  <c r="H132" i="18"/>
  <c r="G132" i="18"/>
  <c r="O131" i="18"/>
  <c r="N131" i="18"/>
  <c r="M131" i="18"/>
  <c r="L131" i="18"/>
  <c r="K131" i="18"/>
  <c r="J131" i="18"/>
  <c r="I131" i="18"/>
  <c r="H131" i="18"/>
  <c r="G131" i="18"/>
  <c r="O130" i="18"/>
  <c r="N130" i="18"/>
  <c r="M130" i="18"/>
  <c r="L130" i="18"/>
  <c r="K130" i="18"/>
  <c r="J130" i="18"/>
  <c r="I130" i="18"/>
  <c r="H130" i="18"/>
  <c r="G130" i="18"/>
  <c r="O129" i="18"/>
  <c r="N129" i="18"/>
  <c r="M129" i="18"/>
  <c r="L129" i="18"/>
  <c r="K129" i="18"/>
  <c r="J129" i="18"/>
  <c r="I129" i="18"/>
  <c r="H129" i="18"/>
  <c r="G129" i="18"/>
  <c r="O128" i="18"/>
  <c r="N128" i="18"/>
  <c r="M128" i="18"/>
  <c r="L128" i="18"/>
  <c r="K128" i="18"/>
  <c r="J128" i="18"/>
  <c r="I128" i="18"/>
  <c r="H128" i="18"/>
  <c r="G128" i="18"/>
  <c r="O127" i="18"/>
  <c r="N127" i="18"/>
  <c r="M127" i="18"/>
  <c r="L127" i="18"/>
  <c r="K127" i="18"/>
  <c r="J127" i="18"/>
  <c r="I127" i="18"/>
  <c r="H127" i="18"/>
  <c r="G127" i="18"/>
  <c r="O126" i="18"/>
  <c r="N126" i="18"/>
  <c r="M126" i="18"/>
  <c r="L126" i="18"/>
  <c r="K126" i="18"/>
  <c r="J126" i="18"/>
  <c r="I126" i="18"/>
  <c r="H126" i="18"/>
  <c r="G126" i="18"/>
  <c r="O125" i="18"/>
  <c r="N125" i="18"/>
  <c r="M125" i="18"/>
  <c r="L125" i="18"/>
  <c r="K125" i="18"/>
  <c r="J125" i="18"/>
  <c r="I125" i="18"/>
  <c r="H125" i="18"/>
  <c r="G125" i="18"/>
  <c r="O124" i="18"/>
  <c r="N124" i="18"/>
  <c r="M124" i="18"/>
  <c r="L124" i="18"/>
  <c r="K124" i="18"/>
  <c r="J124" i="18"/>
  <c r="I124" i="18"/>
  <c r="H124" i="18"/>
  <c r="G124" i="18"/>
  <c r="O123" i="18"/>
  <c r="N123" i="18"/>
  <c r="M123" i="18"/>
  <c r="L123" i="18"/>
  <c r="K123" i="18"/>
  <c r="J123" i="18"/>
  <c r="I123" i="18"/>
  <c r="H123" i="18"/>
  <c r="G123" i="18"/>
  <c r="O122" i="18"/>
  <c r="N122" i="18"/>
  <c r="M122" i="18"/>
  <c r="L122" i="18"/>
  <c r="K122" i="18"/>
  <c r="J122" i="18"/>
  <c r="I122" i="18"/>
  <c r="H122" i="18"/>
  <c r="G122" i="18"/>
  <c r="O121" i="18"/>
  <c r="N121" i="18"/>
  <c r="M121" i="18"/>
  <c r="L121" i="18"/>
  <c r="K121" i="18"/>
  <c r="J121" i="18"/>
  <c r="I121" i="18"/>
  <c r="H121" i="18"/>
  <c r="G121" i="18"/>
  <c r="O120" i="18"/>
  <c r="N120" i="18"/>
  <c r="M120" i="18"/>
  <c r="L120" i="18"/>
  <c r="K120" i="18"/>
  <c r="J120" i="18"/>
  <c r="I120" i="18"/>
  <c r="H120" i="18"/>
  <c r="G120" i="18"/>
  <c r="O119" i="18"/>
  <c r="N119" i="18"/>
  <c r="M119" i="18"/>
  <c r="L119" i="18"/>
  <c r="K119" i="18"/>
  <c r="J119" i="18"/>
  <c r="I119" i="18"/>
  <c r="H119" i="18"/>
  <c r="G119" i="18"/>
  <c r="O118" i="18"/>
  <c r="N118" i="18"/>
  <c r="M118" i="18"/>
  <c r="L118" i="18"/>
  <c r="K118" i="18"/>
  <c r="J118" i="18"/>
  <c r="I118" i="18"/>
  <c r="H118" i="18"/>
  <c r="G118" i="18"/>
  <c r="O117" i="18"/>
  <c r="N117" i="18"/>
  <c r="M117" i="18"/>
  <c r="L117" i="18"/>
  <c r="K117" i="18"/>
  <c r="J117" i="18"/>
  <c r="I117" i="18"/>
  <c r="H117" i="18"/>
  <c r="G117" i="18"/>
  <c r="O116" i="18"/>
  <c r="N116" i="18"/>
  <c r="M116" i="18"/>
  <c r="L116" i="18"/>
  <c r="K116" i="18"/>
  <c r="J116" i="18"/>
  <c r="I116" i="18"/>
  <c r="H116" i="18"/>
  <c r="G116" i="18"/>
  <c r="O115" i="18"/>
  <c r="N115" i="18"/>
  <c r="M115" i="18"/>
  <c r="L115" i="18"/>
  <c r="K115" i="18"/>
  <c r="J115" i="18"/>
  <c r="I115" i="18"/>
  <c r="H115" i="18"/>
  <c r="G115" i="18"/>
  <c r="O114" i="18"/>
  <c r="N114" i="18"/>
  <c r="M114" i="18"/>
  <c r="L114" i="18"/>
  <c r="K114" i="18"/>
  <c r="J114" i="18"/>
  <c r="I114" i="18"/>
  <c r="H114" i="18"/>
  <c r="G114" i="18"/>
  <c r="O113" i="18"/>
  <c r="N113" i="18"/>
  <c r="M113" i="18"/>
  <c r="L113" i="18"/>
  <c r="K113" i="18"/>
  <c r="J113" i="18"/>
  <c r="I113" i="18"/>
  <c r="H113" i="18"/>
  <c r="G113" i="18"/>
  <c r="O112" i="18"/>
  <c r="N112" i="18"/>
  <c r="M112" i="18"/>
  <c r="L112" i="18"/>
  <c r="K112" i="18"/>
  <c r="J112" i="18"/>
  <c r="I112" i="18"/>
  <c r="H112" i="18"/>
  <c r="G112" i="18"/>
  <c r="O111" i="18"/>
  <c r="N111" i="18"/>
  <c r="M111" i="18"/>
  <c r="L111" i="18"/>
  <c r="K111" i="18"/>
  <c r="J111" i="18"/>
  <c r="I111" i="18"/>
  <c r="H111" i="18"/>
  <c r="G111" i="18"/>
  <c r="O110" i="18"/>
  <c r="N110" i="18"/>
  <c r="M110" i="18"/>
  <c r="L110" i="18"/>
  <c r="K110" i="18"/>
  <c r="J110" i="18"/>
  <c r="I110" i="18"/>
  <c r="H110" i="18"/>
  <c r="G110" i="18"/>
  <c r="O109" i="18"/>
  <c r="N109" i="18"/>
  <c r="M109" i="18"/>
  <c r="L109" i="18"/>
  <c r="K109" i="18"/>
  <c r="J109" i="18"/>
  <c r="I109" i="18"/>
  <c r="H109" i="18"/>
  <c r="G109" i="18"/>
  <c r="O108" i="18"/>
  <c r="N108" i="18"/>
  <c r="M108" i="18"/>
  <c r="L108" i="18"/>
  <c r="K108" i="18"/>
  <c r="J108" i="18"/>
  <c r="I108" i="18"/>
  <c r="H108" i="18"/>
  <c r="G108" i="18"/>
  <c r="O107" i="18"/>
  <c r="N107" i="18"/>
  <c r="M107" i="18"/>
  <c r="L107" i="18"/>
  <c r="K107" i="18"/>
  <c r="J107" i="18"/>
  <c r="I107" i="18"/>
  <c r="H107" i="18"/>
  <c r="G107" i="18"/>
  <c r="O106" i="18"/>
  <c r="N106" i="18"/>
  <c r="M106" i="18"/>
  <c r="L106" i="18"/>
  <c r="K106" i="18"/>
  <c r="J106" i="18"/>
  <c r="I106" i="18"/>
  <c r="H106" i="18"/>
  <c r="G106" i="18"/>
  <c r="O105" i="18"/>
  <c r="N105" i="18"/>
  <c r="M105" i="18"/>
  <c r="L105" i="18"/>
  <c r="K105" i="18"/>
  <c r="J105" i="18"/>
  <c r="I105" i="18"/>
  <c r="H105" i="18"/>
  <c r="G105" i="18"/>
  <c r="O104" i="18"/>
  <c r="N104" i="18"/>
  <c r="M104" i="18"/>
  <c r="L104" i="18"/>
  <c r="K104" i="18"/>
  <c r="J104" i="18"/>
  <c r="I104" i="18"/>
  <c r="H104" i="18"/>
  <c r="G104" i="18"/>
  <c r="O103" i="18"/>
  <c r="N103" i="18"/>
  <c r="M103" i="18"/>
  <c r="L103" i="18"/>
  <c r="K103" i="18"/>
  <c r="J103" i="18"/>
  <c r="I103" i="18"/>
  <c r="H103" i="18"/>
  <c r="G103" i="18"/>
  <c r="O102" i="18"/>
  <c r="N102" i="18"/>
  <c r="M102" i="18"/>
  <c r="L102" i="18"/>
  <c r="K102" i="18"/>
  <c r="J102" i="18"/>
  <c r="I102" i="18"/>
  <c r="H102" i="18"/>
  <c r="G102" i="18"/>
  <c r="O101" i="18"/>
  <c r="N101" i="18"/>
  <c r="M101" i="18"/>
  <c r="L101" i="18"/>
  <c r="K101" i="18"/>
  <c r="J101" i="18"/>
  <c r="I101" i="18"/>
  <c r="H101" i="18"/>
  <c r="G101" i="18"/>
  <c r="O100" i="18"/>
  <c r="N100" i="18"/>
  <c r="M100" i="18"/>
  <c r="L100" i="18"/>
  <c r="K100" i="18"/>
  <c r="J100" i="18"/>
  <c r="I100" i="18"/>
  <c r="H100" i="18"/>
  <c r="G100" i="18"/>
  <c r="O99" i="18"/>
  <c r="N99" i="18"/>
  <c r="M99" i="18"/>
  <c r="L99" i="18"/>
  <c r="K99" i="18"/>
  <c r="J99" i="18"/>
  <c r="I99" i="18"/>
  <c r="H99" i="18"/>
  <c r="G99" i="18"/>
  <c r="O98" i="18"/>
  <c r="N98" i="18"/>
  <c r="M98" i="18"/>
  <c r="L98" i="18"/>
  <c r="K98" i="18"/>
  <c r="J98" i="18"/>
  <c r="I98" i="18"/>
  <c r="H98" i="18"/>
  <c r="G98" i="18"/>
  <c r="O97" i="18"/>
  <c r="N97" i="18"/>
  <c r="M97" i="18"/>
  <c r="L97" i="18"/>
  <c r="K97" i="18"/>
  <c r="J97" i="18"/>
  <c r="I97" i="18"/>
  <c r="H97" i="18"/>
  <c r="G97" i="18"/>
  <c r="O96" i="18"/>
  <c r="N96" i="18"/>
  <c r="M96" i="18"/>
  <c r="L96" i="18"/>
  <c r="K96" i="18"/>
  <c r="J96" i="18"/>
  <c r="I96" i="18"/>
  <c r="H96" i="18"/>
  <c r="G96" i="18"/>
  <c r="O95" i="18"/>
  <c r="N95" i="18"/>
  <c r="M95" i="18"/>
  <c r="L95" i="18"/>
  <c r="K95" i="18"/>
  <c r="J95" i="18"/>
  <c r="I95" i="18"/>
  <c r="H95" i="18"/>
  <c r="G95" i="18"/>
  <c r="O94" i="18"/>
  <c r="N94" i="18"/>
  <c r="M94" i="18"/>
  <c r="L94" i="18"/>
  <c r="K94" i="18"/>
  <c r="J94" i="18"/>
  <c r="I94" i="18"/>
  <c r="H94" i="18"/>
  <c r="G94" i="18"/>
  <c r="O93" i="18"/>
  <c r="N93" i="18"/>
  <c r="M93" i="18"/>
  <c r="L93" i="18"/>
  <c r="K93" i="18"/>
  <c r="J93" i="18"/>
  <c r="I93" i="18"/>
  <c r="H93" i="18"/>
  <c r="G93" i="18"/>
  <c r="O92" i="18"/>
  <c r="N92" i="18"/>
  <c r="M92" i="18"/>
  <c r="L92" i="18"/>
  <c r="K92" i="18"/>
  <c r="J92" i="18"/>
  <c r="I92" i="18"/>
  <c r="H92" i="18"/>
  <c r="G92" i="18"/>
  <c r="O91" i="18"/>
  <c r="N91" i="18"/>
  <c r="M91" i="18"/>
  <c r="L91" i="18"/>
  <c r="K91" i="18"/>
  <c r="J91" i="18"/>
  <c r="I91" i="18"/>
  <c r="H91" i="18"/>
  <c r="G91" i="18"/>
  <c r="O90" i="18"/>
  <c r="N90" i="18"/>
  <c r="M90" i="18"/>
  <c r="L90" i="18"/>
  <c r="K90" i="18"/>
  <c r="J90" i="18"/>
  <c r="I90" i="18"/>
  <c r="H90" i="18"/>
  <c r="G90" i="18"/>
  <c r="O89" i="18"/>
  <c r="N89" i="18"/>
  <c r="M89" i="18"/>
  <c r="L89" i="18"/>
  <c r="K89" i="18"/>
  <c r="J89" i="18"/>
  <c r="I89" i="18"/>
  <c r="H89" i="18"/>
  <c r="G89" i="18"/>
  <c r="O88" i="18"/>
  <c r="N88" i="18"/>
  <c r="M88" i="18"/>
  <c r="L88" i="18"/>
  <c r="K88" i="18"/>
  <c r="J88" i="18"/>
  <c r="I88" i="18"/>
  <c r="H88" i="18"/>
  <c r="G88" i="18"/>
  <c r="O229" i="18"/>
  <c r="N229" i="18"/>
  <c r="M229" i="18"/>
  <c r="L229" i="18"/>
  <c r="K229" i="18"/>
  <c r="J229" i="18"/>
  <c r="I229" i="18"/>
  <c r="H229" i="18"/>
  <c r="G229" i="18"/>
  <c r="O87" i="18"/>
  <c r="N87" i="18"/>
  <c r="M87" i="18"/>
  <c r="L87" i="18"/>
  <c r="K87" i="18"/>
  <c r="J87" i="18"/>
  <c r="I87" i="18"/>
  <c r="H87" i="18"/>
  <c r="G87" i="18"/>
  <c r="O86" i="18"/>
  <c r="N86" i="18"/>
  <c r="M86" i="18"/>
  <c r="L86" i="18"/>
  <c r="K86" i="18"/>
  <c r="J86" i="18"/>
  <c r="I86" i="18"/>
  <c r="H86" i="18"/>
  <c r="G86" i="18"/>
  <c r="O85" i="18"/>
  <c r="N85" i="18"/>
  <c r="M85" i="18"/>
  <c r="L85" i="18"/>
  <c r="K85" i="18"/>
  <c r="J85" i="18"/>
  <c r="I85" i="18"/>
  <c r="H85" i="18"/>
  <c r="G85" i="18"/>
  <c r="O84" i="18"/>
  <c r="N84" i="18"/>
  <c r="M84" i="18"/>
  <c r="L84" i="18"/>
  <c r="K84" i="18"/>
  <c r="J84" i="18"/>
  <c r="I84" i="18"/>
  <c r="H84" i="18"/>
  <c r="G84" i="18"/>
  <c r="O83" i="18"/>
  <c r="N83" i="18"/>
  <c r="M83" i="18"/>
  <c r="L83" i="18"/>
  <c r="K83" i="18"/>
  <c r="J83" i="18"/>
  <c r="I83" i="18"/>
  <c r="H83" i="18"/>
  <c r="G83" i="18"/>
  <c r="O82" i="18"/>
  <c r="N82" i="18"/>
  <c r="M82" i="18"/>
  <c r="L82" i="18"/>
  <c r="K82" i="18"/>
  <c r="J82" i="18"/>
  <c r="I82" i="18"/>
  <c r="H82" i="18"/>
  <c r="G82" i="18"/>
  <c r="O81" i="18"/>
  <c r="N81" i="18"/>
  <c r="M81" i="18"/>
  <c r="L81" i="18"/>
  <c r="K81" i="18"/>
  <c r="J81" i="18"/>
  <c r="I81" i="18"/>
  <c r="H81" i="18"/>
  <c r="G81" i="18"/>
  <c r="O80" i="18"/>
  <c r="N80" i="18"/>
  <c r="M80" i="18"/>
  <c r="L80" i="18"/>
  <c r="K80" i="18"/>
  <c r="J80" i="18"/>
  <c r="I80" i="18"/>
  <c r="H80" i="18"/>
  <c r="G80" i="18"/>
  <c r="O79" i="18"/>
  <c r="N79" i="18"/>
  <c r="M79" i="18"/>
  <c r="L79" i="18"/>
  <c r="K79" i="18"/>
  <c r="J79" i="18"/>
  <c r="I79" i="18"/>
  <c r="H79" i="18"/>
  <c r="G79" i="18"/>
  <c r="O78" i="18"/>
  <c r="N78" i="18"/>
  <c r="M78" i="18"/>
  <c r="L78" i="18"/>
  <c r="K78" i="18"/>
  <c r="J78" i="18"/>
  <c r="I78" i="18"/>
  <c r="H78" i="18"/>
  <c r="G78" i="18"/>
  <c r="O77" i="18"/>
  <c r="N77" i="18"/>
  <c r="M77" i="18"/>
  <c r="L77" i="18"/>
  <c r="K77" i="18"/>
  <c r="J77" i="18"/>
  <c r="I77" i="18"/>
  <c r="H77" i="18"/>
  <c r="G77" i="18"/>
  <c r="O76" i="18"/>
  <c r="N76" i="18"/>
  <c r="M76" i="18"/>
  <c r="L76" i="18"/>
  <c r="K76" i="18"/>
  <c r="J76" i="18"/>
  <c r="I76" i="18"/>
  <c r="H76" i="18"/>
  <c r="G76" i="18"/>
  <c r="O75" i="18"/>
  <c r="N75" i="18"/>
  <c r="M75" i="18"/>
  <c r="L75" i="18"/>
  <c r="K75" i="18"/>
  <c r="J75" i="18"/>
  <c r="I75" i="18"/>
  <c r="H75" i="18"/>
  <c r="G75" i="18"/>
  <c r="O74" i="18"/>
  <c r="N74" i="18"/>
  <c r="M74" i="18"/>
  <c r="L74" i="18"/>
  <c r="K74" i="18"/>
  <c r="J74" i="18"/>
  <c r="I74" i="18"/>
  <c r="H74" i="18"/>
  <c r="G74" i="18"/>
  <c r="O73" i="18"/>
  <c r="N73" i="18"/>
  <c r="M73" i="18"/>
  <c r="L73" i="18"/>
  <c r="K73" i="18"/>
  <c r="J73" i="18"/>
  <c r="I73" i="18"/>
  <c r="H73" i="18"/>
  <c r="G73" i="18"/>
  <c r="O72" i="18"/>
  <c r="N72" i="18"/>
  <c r="M72" i="18"/>
  <c r="L72" i="18"/>
  <c r="K72" i="18"/>
  <c r="J72" i="18"/>
  <c r="I72" i="18"/>
  <c r="H72" i="18"/>
  <c r="G72" i="18"/>
  <c r="O71" i="18"/>
  <c r="N71" i="18"/>
  <c r="M71" i="18"/>
  <c r="L71" i="18"/>
  <c r="K71" i="18"/>
  <c r="J71" i="18"/>
  <c r="I71" i="18"/>
  <c r="H71" i="18"/>
  <c r="G71" i="18"/>
  <c r="O70" i="18"/>
  <c r="N70" i="18"/>
  <c r="M70" i="18"/>
  <c r="L70" i="18"/>
  <c r="K70" i="18"/>
  <c r="J70" i="18"/>
  <c r="I70" i="18"/>
  <c r="H70" i="18"/>
  <c r="G70" i="18"/>
  <c r="O69" i="18"/>
  <c r="N69" i="18"/>
  <c r="M69" i="18"/>
  <c r="L69" i="18"/>
  <c r="K69" i="18"/>
  <c r="J69" i="18"/>
  <c r="I69" i="18"/>
  <c r="H69" i="18"/>
  <c r="G69" i="18"/>
  <c r="O68" i="18"/>
  <c r="N68" i="18"/>
  <c r="M68" i="18"/>
  <c r="L68" i="18"/>
  <c r="K68" i="18"/>
  <c r="J68" i="18"/>
  <c r="I68" i="18"/>
  <c r="H68" i="18"/>
  <c r="G68" i="18"/>
  <c r="O67" i="18"/>
  <c r="N67" i="18"/>
  <c r="M67" i="18"/>
  <c r="L67" i="18"/>
  <c r="K67" i="18"/>
  <c r="J67" i="18"/>
  <c r="I67" i="18"/>
  <c r="H67" i="18"/>
  <c r="G67" i="18"/>
  <c r="O66" i="18"/>
  <c r="N66" i="18"/>
  <c r="M66" i="18"/>
  <c r="L66" i="18"/>
  <c r="K66" i="18"/>
  <c r="J66" i="18"/>
  <c r="I66" i="18"/>
  <c r="H66" i="18"/>
  <c r="G66" i="18"/>
  <c r="O65" i="18"/>
  <c r="N65" i="18"/>
  <c r="M65" i="18"/>
  <c r="L65" i="18"/>
  <c r="K65" i="18"/>
  <c r="J65" i="18"/>
  <c r="I65" i="18"/>
  <c r="H65" i="18"/>
  <c r="G65" i="18"/>
  <c r="O64" i="18"/>
  <c r="N64" i="18"/>
  <c r="M64" i="18"/>
  <c r="L64" i="18"/>
  <c r="K64" i="18"/>
  <c r="J64" i="18"/>
  <c r="I64" i="18"/>
  <c r="H64" i="18"/>
  <c r="G64" i="18"/>
  <c r="O63" i="18"/>
  <c r="N63" i="18"/>
  <c r="M63" i="18"/>
  <c r="L63" i="18"/>
  <c r="K63" i="18"/>
  <c r="J63" i="18"/>
  <c r="I63" i="18"/>
  <c r="H63" i="18"/>
  <c r="G63" i="18"/>
  <c r="O62" i="18"/>
  <c r="N62" i="18"/>
  <c r="M62" i="18"/>
  <c r="L62" i="18"/>
  <c r="K62" i="18"/>
  <c r="J62" i="18"/>
  <c r="I62" i="18"/>
  <c r="H62" i="18"/>
  <c r="G62" i="18"/>
  <c r="O61" i="18"/>
  <c r="N61" i="18"/>
  <c r="M61" i="18"/>
  <c r="L61" i="18"/>
  <c r="K61" i="18"/>
  <c r="J61" i="18"/>
  <c r="I61" i="18"/>
  <c r="H61" i="18"/>
  <c r="G61" i="18"/>
  <c r="O60" i="18"/>
  <c r="N60" i="18"/>
  <c r="M60" i="18"/>
  <c r="L60" i="18"/>
  <c r="K60" i="18"/>
  <c r="J60" i="18"/>
  <c r="I60" i="18"/>
  <c r="H60" i="18"/>
  <c r="G60" i="18"/>
  <c r="O59" i="18"/>
  <c r="N59" i="18"/>
  <c r="M59" i="18"/>
  <c r="L59" i="18"/>
  <c r="K59" i="18"/>
  <c r="J59" i="18"/>
  <c r="I59" i="18"/>
  <c r="H59" i="18"/>
  <c r="G59" i="18"/>
  <c r="O58" i="18"/>
  <c r="N58" i="18"/>
  <c r="M58" i="18"/>
  <c r="L58" i="18"/>
  <c r="K58" i="18"/>
  <c r="J58" i="18"/>
  <c r="I58" i="18"/>
  <c r="H58" i="18"/>
  <c r="G58" i="18"/>
  <c r="O57" i="18"/>
  <c r="N57" i="18"/>
  <c r="M57" i="18"/>
  <c r="L57" i="18"/>
  <c r="K57" i="18"/>
  <c r="J57" i="18"/>
  <c r="I57" i="18"/>
  <c r="H57" i="18"/>
  <c r="G57" i="18"/>
  <c r="O56" i="18"/>
  <c r="N56" i="18"/>
  <c r="M56" i="18"/>
  <c r="L56" i="18"/>
  <c r="K56" i="18"/>
  <c r="J56" i="18"/>
  <c r="I56" i="18"/>
  <c r="H56" i="18"/>
  <c r="G56" i="18"/>
  <c r="O55" i="18"/>
  <c r="N55" i="18"/>
  <c r="M55" i="18"/>
  <c r="L55" i="18"/>
  <c r="K55" i="18"/>
  <c r="J55" i="18"/>
  <c r="I55" i="18"/>
  <c r="H55" i="18"/>
  <c r="G55" i="18"/>
  <c r="O54" i="18"/>
  <c r="N54" i="18"/>
  <c r="M54" i="18"/>
  <c r="L54" i="18"/>
  <c r="K54" i="18"/>
  <c r="J54" i="18"/>
  <c r="I54" i="18"/>
  <c r="H54" i="18"/>
  <c r="G54" i="18"/>
  <c r="O53" i="18"/>
  <c r="N53" i="18"/>
  <c r="M53" i="18"/>
  <c r="L53" i="18"/>
  <c r="K53" i="18"/>
  <c r="J53" i="18"/>
  <c r="I53" i="18"/>
  <c r="H53" i="18"/>
  <c r="G53" i="18"/>
  <c r="O52" i="18"/>
  <c r="N52" i="18"/>
  <c r="M52" i="18"/>
  <c r="L52" i="18"/>
  <c r="K52" i="18"/>
  <c r="J52" i="18"/>
  <c r="I52" i="18"/>
  <c r="H52" i="18"/>
  <c r="G52" i="18"/>
  <c r="O51" i="18"/>
  <c r="N51" i="18"/>
  <c r="M51" i="18"/>
  <c r="L51" i="18"/>
  <c r="K51" i="18"/>
  <c r="J51" i="18"/>
  <c r="I51" i="18"/>
  <c r="H51" i="18"/>
  <c r="G51" i="18"/>
  <c r="O50" i="18"/>
  <c r="N50" i="18"/>
  <c r="M50" i="18"/>
  <c r="L50" i="18"/>
  <c r="K50" i="18"/>
  <c r="J50" i="18"/>
  <c r="I50" i="18"/>
  <c r="H50" i="18"/>
  <c r="G50" i="18"/>
  <c r="O49" i="18"/>
  <c r="N49" i="18"/>
  <c r="M49" i="18"/>
  <c r="L49" i="18"/>
  <c r="K49" i="18"/>
  <c r="J49" i="18"/>
  <c r="I49" i="18"/>
  <c r="H49" i="18"/>
  <c r="G49" i="18"/>
  <c r="O48" i="18"/>
  <c r="N48" i="18"/>
  <c r="M48" i="18"/>
  <c r="L48" i="18"/>
  <c r="K48" i="18"/>
  <c r="J48" i="18"/>
  <c r="I48" i="18"/>
  <c r="H48" i="18"/>
  <c r="G48" i="18"/>
  <c r="O47" i="18"/>
  <c r="N47" i="18"/>
  <c r="M47" i="18"/>
  <c r="L47" i="18"/>
  <c r="K47" i="18"/>
  <c r="J47" i="18"/>
  <c r="I47" i="18"/>
  <c r="H47" i="18"/>
  <c r="G47" i="18"/>
  <c r="O46" i="18"/>
  <c r="N46" i="18"/>
  <c r="M46" i="18"/>
  <c r="L46" i="18"/>
  <c r="K46" i="18"/>
  <c r="J46" i="18"/>
  <c r="I46" i="18"/>
  <c r="H46" i="18"/>
  <c r="G46" i="18"/>
  <c r="O45" i="18"/>
  <c r="N45" i="18"/>
  <c r="M45" i="18"/>
  <c r="L45" i="18"/>
  <c r="K45" i="18"/>
  <c r="J45" i="18"/>
  <c r="I45" i="18"/>
  <c r="H45" i="18"/>
  <c r="G45" i="18"/>
  <c r="O44" i="18"/>
  <c r="N44" i="18"/>
  <c r="M44" i="18"/>
  <c r="L44" i="18"/>
  <c r="K44" i="18"/>
  <c r="J44" i="18"/>
  <c r="I44" i="18"/>
  <c r="H44" i="18"/>
  <c r="G44" i="18"/>
  <c r="O43" i="18"/>
  <c r="N43" i="18"/>
  <c r="M43" i="18"/>
  <c r="L43" i="18"/>
  <c r="K43" i="18"/>
  <c r="J43" i="18"/>
  <c r="I43" i="18"/>
  <c r="H43" i="18"/>
  <c r="G43" i="18"/>
  <c r="O42" i="18"/>
  <c r="N42" i="18"/>
  <c r="M42" i="18"/>
  <c r="L42" i="18"/>
  <c r="K42" i="18"/>
  <c r="J42" i="18"/>
  <c r="I42" i="18"/>
  <c r="H42" i="18"/>
  <c r="G42" i="18"/>
  <c r="O41" i="18"/>
  <c r="N41" i="18"/>
  <c r="M41" i="18"/>
  <c r="L41" i="18"/>
  <c r="K41" i="18"/>
  <c r="J41" i="18"/>
  <c r="I41" i="18"/>
  <c r="H41" i="18"/>
  <c r="G41" i="18"/>
  <c r="O40" i="18"/>
  <c r="N40" i="18"/>
  <c r="M40" i="18"/>
  <c r="L40" i="18"/>
  <c r="K40" i="18"/>
  <c r="J40" i="18"/>
  <c r="I40" i="18"/>
  <c r="H40" i="18"/>
  <c r="G40" i="18"/>
  <c r="O39" i="18"/>
  <c r="N39" i="18"/>
  <c r="M39" i="18"/>
  <c r="L39" i="18"/>
  <c r="K39" i="18"/>
  <c r="J39" i="18"/>
  <c r="I39" i="18"/>
  <c r="H39" i="18"/>
  <c r="G39" i="18"/>
  <c r="O38" i="18"/>
  <c r="N38" i="18"/>
  <c r="M38" i="18"/>
  <c r="L38" i="18"/>
  <c r="K38" i="18"/>
  <c r="J38" i="18"/>
  <c r="I38" i="18"/>
  <c r="H38" i="18"/>
  <c r="G38" i="18"/>
  <c r="O37" i="18"/>
  <c r="N37" i="18"/>
  <c r="M37" i="18"/>
  <c r="L37" i="18"/>
  <c r="K37" i="18"/>
  <c r="J37" i="18"/>
  <c r="I37" i="18"/>
  <c r="H37" i="18"/>
  <c r="G37" i="18"/>
  <c r="O36" i="18"/>
  <c r="N36" i="18"/>
  <c r="M36" i="18"/>
  <c r="L36" i="18"/>
  <c r="K36" i="18"/>
  <c r="J36" i="18"/>
  <c r="I36" i="18"/>
  <c r="H36" i="18"/>
  <c r="G36" i="18"/>
  <c r="O35" i="18"/>
  <c r="N35" i="18"/>
  <c r="M35" i="18"/>
  <c r="L35" i="18"/>
  <c r="K35" i="18"/>
  <c r="J35" i="18"/>
  <c r="I35" i="18"/>
  <c r="H35" i="18"/>
  <c r="G35" i="18"/>
  <c r="O34" i="18"/>
  <c r="N34" i="18"/>
  <c r="M34" i="18"/>
  <c r="L34" i="18"/>
  <c r="K34" i="18"/>
  <c r="J34" i="18"/>
  <c r="I34" i="18"/>
  <c r="H34" i="18"/>
  <c r="G34" i="18"/>
  <c r="O33" i="18"/>
  <c r="N33" i="18"/>
  <c r="M33" i="18"/>
  <c r="L33" i="18"/>
  <c r="K33" i="18"/>
  <c r="J33" i="18"/>
  <c r="I33" i="18"/>
  <c r="H33" i="18"/>
  <c r="G33" i="18"/>
  <c r="O32" i="18"/>
  <c r="N32" i="18"/>
  <c r="M32" i="18"/>
  <c r="L32" i="18"/>
  <c r="K32" i="18"/>
  <c r="J32" i="18"/>
  <c r="I32" i="18"/>
  <c r="H32" i="18"/>
  <c r="G32" i="18"/>
  <c r="O31" i="18"/>
  <c r="N31" i="18"/>
  <c r="M31" i="18"/>
  <c r="L31" i="18"/>
  <c r="K31" i="18"/>
  <c r="J31" i="18"/>
  <c r="I31" i="18"/>
  <c r="H31" i="18"/>
  <c r="G31" i="18"/>
  <c r="O30" i="18"/>
  <c r="N30" i="18"/>
  <c r="M30" i="18"/>
  <c r="L30" i="18"/>
  <c r="K30" i="18"/>
  <c r="J30" i="18"/>
  <c r="I30" i="18"/>
  <c r="H30" i="18"/>
  <c r="G30" i="18"/>
  <c r="O29" i="18"/>
  <c r="N29" i="18"/>
  <c r="M29" i="18"/>
  <c r="L29" i="18"/>
  <c r="K29" i="18"/>
  <c r="J29" i="18"/>
  <c r="I29" i="18"/>
  <c r="H29" i="18"/>
  <c r="G29" i="18"/>
  <c r="O28" i="18"/>
  <c r="N28" i="18"/>
  <c r="M28" i="18"/>
  <c r="L28" i="18"/>
  <c r="K28" i="18"/>
  <c r="J28" i="18"/>
  <c r="I28" i="18"/>
  <c r="H28" i="18"/>
  <c r="G28" i="18"/>
  <c r="O26" i="18"/>
  <c r="N26" i="18"/>
  <c r="M26" i="18"/>
  <c r="L26" i="18"/>
  <c r="K26" i="18"/>
  <c r="J26" i="18"/>
  <c r="I26" i="18"/>
  <c r="H26" i="18"/>
  <c r="G26" i="18"/>
  <c r="O25" i="18"/>
  <c r="N25" i="18"/>
  <c r="M25" i="18"/>
  <c r="L25" i="18"/>
  <c r="K25" i="18"/>
  <c r="J25" i="18"/>
  <c r="I25" i="18"/>
  <c r="H25" i="18"/>
  <c r="G25" i="18"/>
  <c r="O24" i="18"/>
  <c r="N24" i="18"/>
  <c r="M24" i="18"/>
  <c r="L24" i="18"/>
  <c r="K24" i="18"/>
  <c r="J24" i="18"/>
  <c r="I24" i="18"/>
  <c r="H24" i="18"/>
  <c r="G24" i="18"/>
  <c r="O23" i="18"/>
  <c r="N23" i="18"/>
  <c r="M23" i="18"/>
  <c r="L23" i="18"/>
  <c r="K23" i="18"/>
  <c r="J23" i="18"/>
  <c r="I23" i="18"/>
  <c r="H23" i="18"/>
  <c r="G23" i="18"/>
  <c r="O22" i="18"/>
  <c r="N22" i="18"/>
  <c r="M22" i="18"/>
  <c r="L22" i="18"/>
  <c r="K22" i="18"/>
  <c r="J22" i="18"/>
  <c r="I22" i="18"/>
  <c r="H22" i="18"/>
  <c r="G22" i="18"/>
  <c r="O21" i="18"/>
  <c r="N21" i="18"/>
  <c r="M21" i="18"/>
  <c r="L21" i="18"/>
  <c r="K21" i="18"/>
  <c r="J21" i="18"/>
  <c r="I21" i="18"/>
  <c r="H21" i="18"/>
  <c r="G21" i="18"/>
  <c r="O20" i="18"/>
  <c r="N20" i="18"/>
  <c r="M20" i="18"/>
  <c r="L20" i="18"/>
  <c r="K20" i="18"/>
  <c r="J20" i="18"/>
  <c r="I20" i="18"/>
  <c r="H20" i="18"/>
  <c r="G20" i="18"/>
  <c r="O19" i="18"/>
  <c r="N19" i="18"/>
  <c r="M19" i="18"/>
  <c r="L19" i="18"/>
  <c r="K19" i="18"/>
  <c r="J19" i="18"/>
  <c r="I19" i="18"/>
  <c r="H19" i="18"/>
  <c r="G19" i="18"/>
  <c r="O18" i="18"/>
  <c r="N18" i="18"/>
  <c r="M18" i="18"/>
  <c r="L18" i="18"/>
  <c r="K18" i="18"/>
  <c r="J18" i="18"/>
  <c r="I18" i="18"/>
  <c r="H18" i="18"/>
  <c r="G18" i="18"/>
  <c r="O17" i="18"/>
  <c r="N17" i="18"/>
  <c r="M17" i="18"/>
  <c r="L17" i="18"/>
  <c r="K17" i="18"/>
  <c r="J17" i="18"/>
  <c r="I17" i="18"/>
  <c r="H17" i="18"/>
  <c r="G17" i="18"/>
  <c r="O16" i="18"/>
  <c r="N16" i="18"/>
  <c r="M16" i="18"/>
  <c r="L16" i="18"/>
  <c r="K16" i="18"/>
  <c r="J16" i="18"/>
  <c r="I16" i="18"/>
  <c r="H16" i="18"/>
  <c r="G16" i="18"/>
  <c r="O15" i="18"/>
  <c r="N15" i="18"/>
  <c r="M15" i="18"/>
  <c r="L15" i="18"/>
  <c r="K15" i="18"/>
  <c r="J15" i="18"/>
  <c r="I15" i="18"/>
  <c r="H15" i="18"/>
  <c r="G15" i="18"/>
  <c r="O14" i="18"/>
  <c r="N14" i="18"/>
  <c r="M14" i="18"/>
  <c r="L14" i="18"/>
  <c r="K14" i="18"/>
  <c r="J14" i="18"/>
  <c r="I14" i="18"/>
  <c r="H14" i="18"/>
  <c r="G14" i="18"/>
  <c r="O13" i="18"/>
  <c r="N13" i="18"/>
  <c r="M13" i="18"/>
  <c r="L13" i="18"/>
  <c r="K13" i="18"/>
  <c r="J13" i="18"/>
  <c r="I13" i="18"/>
  <c r="H13" i="18"/>
  <c r="G13" i="18"/>
  <c r="O12" i="18"/>
  <c r="N12" i="18"/>
  <c r="M12" i="18"/>
  <c r="L12" i="18"/>
  <c r="K12" i="18"/>
  <c r="J12" i="18"/>
  <c r="I12" i="18"/>
  <c r="H12" i="18"/>
  <c r="G12" i="18"/>
  <c r="O11" i="18"/>
  <c r="N11" i="18"/>
  <c r="M11" i="18"/>
  <c r="L11" i="18"/>
  <c r="K11" i="18"/>
  <c r="J11" i="18"/>
  <c r="I11" i="18"/>
  <c r="H11" i="18"/>
  <c r="G11" i="18"/>
  <c r="O10" i="18"/>
  <c r="N10" i="18"/>
  <c r="M10" i="18"/>
  <c r="L10" i="18"/>
  <c r="K10" i="18"/>
  <c r="J10" i="18"/>
  <c r="I10" i="18"/>
  <c r="H10" i="18"/>
  <c r="G10" i="18"/>
  <c r="O9" i="18"/>
  <c r="N9" i="18"/>
  <c r="M9" i="18"/>
  <c r="L9" i="18"/>
  <c r="K9" i="18"/>
  <c r="J9" i="18"/>
  <c r="I9" i="18"/>
  <c r="H9" i="18"/>
  <c r="G9" i="18"/>
  <c r="O8" i="18"/>
  <c r="N8" i="18"/>
  <c r="M8" i="18"/>
  <c r="L8" i="18"/>
  <c r="K8" i="18"/>
  <c r="J8" i="18"/>
  <c r="I8" i="18"/>
  <c r="H8" i="18"/>
  <c r="G8" i="18"/>
  <c r="O7" i="18"/>
  <c r="N7" i="18"/>
  <c r="M7" i="18"/>
  <c r="L7" i="18"/>
  <c r="K7" i="18"/>
  <c r="J7" i="18"/>
  <c r="I7" i="18"/>
  <c r="H7" i="18"/>
  <c r="G7" i="18"/>
  <c r="O6" i="18"/>
  <c r="N6" i="18"/>
  <c r="M6" i="18"/>
  <c r="L6" i="18"/>
  <c r="K6" i="18"/>
  <c r="J6" i="18"/>
  <c r="I6" i="18"/>
  <c r="H6" i="18"/>
  <c r="G6" i="18"/>
  <c r="O5" i="18"/>
  <c r="N5" i="18"/>
  <c r="M5" i="18"/>
  <c r="L5" i="18"/>
  <c r="K5" i="18"/>
  <c r="J5" i="18"/>
  <c r="I5" i="18"/>
  <c r="H5" i="18"/>
  <c r="G5" i="18"/>
  <c r="O4" i="18"/>
  <c r="N4" i="18"/>
  <c r="M4" i="18"/>
  <c r="L4" i="18"/>
  <c r="K4" i="18"/>
  <c r="J4" i="18"/>
  <c r="I4" i="18"/>
  <c r="H4" i="18"/>
  <c r="G4" i="18"/>
  <c r="O3" i="18"/>
  <c r="N3" i="18"/>
  <c r="M3" i="18"/>
  <c r="L3" i="18"/>
  <c r="K3" i="18"/>
  <c r="J3" i="18"/>
  <c r="I3" i="18"/>
  <c r="H3" i="18"/>
  <c r="G3" i="18"/>
  <c r="O2" i="18"/>
  <c r="N2" i="18"/>
  <c r="M2" i="18"/>
  <c r="L2" i="18"/>
  <c r="K2" i="18"/>
  <c r="J2" i="18"/>
  <c r="I2" i="18"/>
  <c r="H2" i="18"/>
  <c r="G2" i="18"/>
  <c r="E469" i="18"/>
  <c r="E501" i="18"/>
  <c r="E27" i="18" l="1"/>
  <c r="E62" i="18"/>
  <c r="E55" i="18" l="1"/>
  <c r="E9" i="18"/>
  <c r="E81" i="18"/>
  <c r="E15" i="18"/>
  <c r="E124" i="18"/>
  <c r="E82" i="18"/>
  <c r="E53" i="18"/>
  <c r="E514" i="18" l="1"/>
  <c r="E513" i="18"/>
  <c r="E512" i="18"/>
  <c r="E511" i="18"/>
  <c r="E510" i="18"/>
  <c r="E509" i="18"/>
  <c r="E508" i="18"/>
  <c r="E507" i="18"/>
  <c r="E506" i="18"/>
  <c r="E505" i="18"/>
  <c r="E504" i="18"/>
  <c r="E503" i="18"/>
  <c r="E502" i="18"/>
  <c r="E500" i="18"/>
  <c r="E499" i="18"/>
  <c r="E498" i="18"/>
  <c r="E497" i="18"/>
  <c r="E496" i="18"/>
  <c r="E495" i="18"/>
  <c r="E494" i="18"/>
  <c r="E493" i="18"/>
  <c r="E492" i="18"/>
  <c r="E491" i="18"/>
  <c r="E490" i="18"/>
  <c r="E489" i="18"/>
  <c r="E450" i="18"/>
  <c r="E488" i="18"/>
  <c r="E487" i="18"/>
  <c r="E486" i="18"/>
  <c r="E485" i="18"/>
  <c r="E484" i="18"/>
  <c r="E483" i="18"/>
  <c r="E482" i="18"/>
  <c r="E481" i="18"/>
  <c r="E480" i="18"/>
  <c r="E479" i="18"/>
  <c r="E478" i="18"/>
  <c r="E477" i="18"/>
  <c r="E476" i="18"/>
  <c r="E475" i="18"/>
  <c r="E474" i="18"/>
  <c r="E473" i="18"/>
  <c r="E472" i="18"/>
  <c r="E471" i="18"/>
  <c r="E470" i="18"/>
  <c r="E468" i="18"/>
  <c r="E467" i="18"/>
  <c r="E466" i="18"/>
  <c r="E465" i="18"/>
  <c r="E464" i="18"/>
  <c r="E463" i="18"/>
  <c r="E462" i="18"/>
  <c r="E461" i="18"/>
  <c r="E460" i="18"/>
  <c r="E459" i="18"/>
  <c r="E458" i="18"/>
  <c r="E457" i="18"/>
  <c r="E456" i="18"/>
  <c r="E455" i="18"/>
  <c r="E454" i="18"/>
  <c r="E453" i="18"/>
  <c r="E452" i="18"/>
  <c r="E451" i="18"/>
  <c r="E449" i="18"/>
  <c r="E448" i="18"/>
  <c r="E447" i="18"/>
  <c r="E446" i="18"/>
  <c r="E445" i="18"/>
  <c r="E444" i="18"/>
  <c r="E443" i="18"/>
  <c r="E442" i="18"/>
  <c r="E441" i="18"/>
  <c r="E440" i="18"/>
  <c r="E439" i="18"/>
  <c r="E438" i="18"/>
  <c r="E437" i="18"/>
  <c r="E436" i="18"/>
  <c r="E435" i="18"/>
  <c r="E434" i="18"/>
  <c r="E433" i="18"/>
  <c r="E432" i="18"/>
  <c r="E431" i="18"/>
  <c r="E430" i="18"/>
  <c r="E429" i="18"/>
  <c r="E428" i="18"/>
  <c r="E427" i="18"/>
  <c r="E426" i="18"/>
  <c r="E425" i="18"/>
  <c r="E424" i="18"/>
  <c r="E423" i="18"/>
  <c r="E422" i="18"/>
  <c r="E421" i="18"/>
  <c r="E420" i="18"/>
  <c r="E419" i="18"/>
  <c r="E418" i="18"/>
  <c r="E417" i="18"/>
  <c r="E416" i="18"/>
  <c r="E415" i="18"/>
  <c r="E414" i="18"/>
  <c r="E413" i="18"/>
  <c r="E412" i="18"/>
  <c r="E411" i="18"/>
  <c r="E410" i="18"/>
  <c r="E409" i="18"/>
  <c r="E408" i="18"/>
  <c r="E407" i="18"/>
  <c r="E406" i="18"/>
  <c r="E405" i="18"/>
  <c r="E404" i="18"/>
  <c r="E403" i="18"/>
  <c r="E402" i="18"/>
  <c r="E401" i="18"/>
  <c r="E400" i="18"/>
  <c r="E399" i="18"/>
  <c r="E398" i="18"/>
  <c r="E397" i="18"/>
  <c r="E396" i="18"/>
  <c r="E395" i="18"/>
  <c r="E394" i="18"/>
  <c r="E393" i="18"/>
  <c r="E392" i="18"/>
  <c r="E391" i="18"/>
  <c r="E390" i="18"/>
  <c r="E389" i="18"/>
  <c r="E388" i="18"/>
  <c r="E387" i="18"/>
  <c r="E386" i="18"/>
  <c r="E385" i="18"/>
  <c r="E384" i="18"/>
  <c r="E383" i="18"/>
  <c r="E382" i="18"/>
  <c r="E381" i="18"/>
  <c r="E380" i="18"/>
  <c r="E379" i="18"/>
  <c r="E378" i="18"/>
  <c r="E377" i="18"/>
  <c r="E376" i="18"/>
  <c r="E375" i="18"/>
  <c r="E374" i="18"/>
  <c r="E373" i="18"/>
  <c r="E372" i="18"/>
  <c r="E371" i="18"/>
  <c r="E370" i="18"/>
  <c r="E369" i="18"/>
  <c r="E368" i="18"/>
  <c r="E367" i="18"/>
  <c r="E366" i="18"/>
  <c r="E365" i="18"/>
  <c r="E364" i="18"/>
  <c r="E363" i="18"/>
  <c r="E362" i="18"/>
  <c r="E361" i="18"/>
  <c r="E360" i="18"/>
  <c r="E359" i="18"/>
  <c r="E358" i="18"/>
  <c r="E357" i="18"/>
  <c r="E356" i="18"/>
  <c r="E355" i="18"/>
  <c r="E354" i="18"/>
  <c r="E353" i="18"/>
  <c r="E352" i="18"/>
  <c r="E351" i="18"/>
  <c r="E350" i="18"/>
  <c r="E349" i="18"/>
  <c r="E348" i="18"/>
  <c r="E347" i="18"/>
  <c r="E346" i="18"/>
  <c r="E345" i="18"/>
  <c r="E344" i="18"/>
  <c r="E343" i="18"/>
  <c r="E342" i="18"/>
  <c r="E341" i="18"/>
  <c r="E340" i="18"/>
  <c r="E339" i="18"/>
  <c r="E338" i="18"/>
  <c r="E337" i="18"/>
  <c r="E336" i="18"/>
  <c r="E335" i="18"/>
  <c r="E333" i="18"/>
  <c r="E332" i="18"/>
  <c r="E331" i="18"/>
  <c r="E330" i="18"/>
  <c r="E329" i="18"/>
  <c r="E328" i="18"/>
  <c r="E327" i="18"/>
  <c r="E326" i="18"/>
  <c r="E325" i="18"/>
  <c r="E324" i="18"/>
  <c r="E323" i="18"/>
  <c r="E322" i="18"/>
  <c r="E321" i="18"/>
  <c r="E320" i="18"/>
  <c r="E319" i="18"/>
  <c r="E318" i="18"/>
  <c r="E317" i="18"/>
  <c r="E316" i="18"/>
  <c r="E315" i="18"/>
  <c r="E314" i="18"/>
  <c r="E313" i="18"/>
  <c r="E312" i="18"/>
  <c r="E311" i="18"/>
  <c r="E310" i="18"/>
  <c r="E309" i="18"/>
  <c r="E308" i="18"/>
  <c r="E307" i="18"/>
  <c r="E306" i="18"/>
  <c r="E305" i="18"/>
  <c r="E304" i="18"/>
  <c r="E303" i="18"/>
  <c r="E302" i="18"/>
  <c r="E301" i="18"/>
  <c r="E300" i="18"/>
  <c r="E299" i="18"/>
  <c r="E334" i="18"/>
  <c r="E298" i="18"/>
  <c r="E297" i="18"/>
  <c r="E296" i="18"/>
  <c r="E295" i="18"/>
  <c r="E294" i="18"/>
  <c r="E293" i="18"/>
  <c r="E292" i="18"/>
  <c r="E291" i="18"/>
  <c r="E290" i="18"/>
  <c r="E289" i="18"/>
  <c r="E288" i="18"/>
  <c r="E287" i="18"/>
  <c r="E286" i="18"/>
  <c r="E285" i="18"/>
  <c r="E284" i="18"/>
  <c r="E283" i="18"/>
  <c r="E282" i="18"/>
  <c r="E281" i="18"/>
  <c r="E280" i="18"/>
  <c r="E279" i="18"/>
  <c r="E278" i="18"/>
  <c r="E277" i="18"/>
  <c r="E276" i="18"/>
  <c r="E275" i="18"/>
  <c r="E274" i="18"/>
  <c r="E273" i="18"/>
  <c r="E272" i="18"/>
  <c r="E271" i="18"/>
  <c r="E270" i="18"/>
  <c r="E269" i="18"/>
  <c r="E268" i="18"/>
  <c r="E267" i="18"/>
  <c r="E266" i="18"/>
  <c r="E265" i="18"/>
  <c r="E264" i="18"/>
  <c r="E263" i="18"/>
  <c r="E262" i="18"/>
  <c r="E261" i="18"/>
  <c r="E260" i="18"/>
  <c r="E259" i="18"/>
  <c r="E258" i="18"/>
  <c r="E257" i="18"/>
  <c r="E256" i="18"/>
  <c r="E255" i="18"/>
  <c r="E254" i="18"/>
  <c r="E253" i="18"/>
  <c r="E252" i="18"/>
  <c r="E251" i="18"/>
  <c r="E250" i="18"/>
  <c r="E249" i="18"/>
  <c r="E248" i="18"/>
  <c r="E247" i="18"/>
  <c r="E246" i="18"/>
  <c r="E245" i="18"/>
  <c r="E244" i="18"/>
  <c r="E243" i="18"/>
  <c r="E242" i="18"/>
  <c r="E241" i="18"/>
  <c r="E240" i="18"/>
  <c r="E239" i="18"/>
  <c r="E238" i="18"/>
  <c r="E237" i="18"/>
  <c r="E236" i="18"/>
  <c r="E235" i="18"/>
  <c r="E234" i="18"/>
  <c r="E233" i="18"/>
  <c r="E232" i="18"/>
  <c r="E231" i="18"/>
  <c r="E230" i="18"/>
  <c r="E228" i="18"/>
  <c r="E227" i="18"/>
  <c r="E226" i="18"/>
  <c r="E225" i="18"/>
  <c r="E224" i="18"/>
  <c r="E223" i="18"/>
  <c r="E222" i="18"/>
  <c r="E221" i="18"/>
  <c r="E220" i="18"/>
  <c r="E219" i="18"/>
  <c r="E182" i="18"/>
  <c r="E218" i="18"/>
  <c r="E217" i="18"/>
  <c r="E216" i="18"/>
  <c r="E215" i="18"/>
  <c r="E214" i="18"/>
  <c r="E213" i="18"/>
  <c r="E212" i="18"/>
  <c r="E211" i="18"/>
  <c r="E210" i="18"/>
  <c r="E209" i="18"/>
  <c r="E208" i="18"/>
  <c r="E207" i="18"/>
  <c r="E206" i="18"/>
  <c r="E205" i="18"/>
  <c r="E204" i="18"/>
  <c r="E203" i="18"/>
  <c r="E202" i="18"/>
  <c r="E201" i="18"/>
  <c r="E200" i="18"/>
  <c r="E199" i="18"/>
  <c r="E198" i="18"/>
  <c r="E197" i="18"/>
  <c r="E196" i="18"/>
  <c r="E195" i="18"/>
  <c r="E194" i="18"/>
  <c r="E193" i="18"/>
  <c r="E192" i="18"/>
  <c r="E191" i="18"/>
  <c r="E190" i="18"/>
  <c r="E189" i="18"/>
  <c r="E188" i="18"/>
  <c r="E187" i="18"/>
  <c r="E186" i="18"/>
  <c r="E185" i="18"/>
  <c r="E184" i="18"/>
  <c r="E183" i="18"/>
  <c r="E181" i="18"/>
  <c r="E180" i="18"/>
  <c r="E179" i="18"/>
  <c r="E178" i="18"/>
  <c r="E177" i="18"/>
  <c r="E176" i="18"/>
  <c r="E175" i="18"/>
  <c r="E174" i="18"/>
  <c r="E173" i="18"/>
  <c r="E172" i="18"/>
  <c r="E171" i="18"/>
  <c r="E170" i="18"/>
  <c r="E169" i="18"/>
  <c r="E168" i="18"/>
  <c r="E167" i="18"/>
  <c r="E166" i="18"/>
  <c r="E165" i="18"/>
  <c r="E164" i="18"/>
  <c r="E163" i="18"/>
  <c r="E162" i="18"/>
  <c r="E161" i="18"/>
  <c r="E160" i="18"/>
  <c r="E159" i="18"/>
  <c r="E158" i="18"/>
  <c r="E157" i="18"/>
  <c r="E156" i="18"/>
  <c r="E155" i="18"/>
  <c r="E154" i="18"/>
  <c r="E153" i="18"/>
  <c r="E152" i="18"/>
  <c r="E151" i="18"/>
  <c r="E150" i="18"/>
  <c r="E149" i="18"/>
  <c r="E148" i="18"/>
  <c r="E147" i="18"/>
  <c r="E146" i="18"/>
  <c r="E145" i="18"/>
  <c r="E144" i="18"/>
  <c r="E143" i="18"/>
  <c r="E142" i="18"/>
  <c r="E141" i="18"/>
  <c r="E140" i="18"/>
  <c r="E139" i="18"/>
  <c r="E138" i="18"/>
  <c r="E137" i="18"/>
  <c r="E136" i="18"/>
  <c r="E135" i="18"/>
  <c r="E134" i="18"/>
  <c r="E133" i="18"/>
  <c r="E132" i="18"/>
  <c r="E131" i="18"/>
  <c r="E130" i="18"/>
  <c r="E129" i="18"/>
  <c r="E128" i="18"/>
  <c r="E127" i="18"/>
  <c r="E126" i="18"/>
  <c r="E125" i="18"/>
  <c r="E123" i="18"/>
  <c r="E122" i="18"/>
  <c r="E121" i="18"/>
  <c r="E120" i="18"/>
  <c r="E119" i="18"/>
  <c r="E118" i="18"/>
  <c r="E117" i="18"/>
  <c r="E116" i="18"/>
  <c r="E115" i="18"/>
  <c r="E114" i="18"/>
  <c r="E113" i="18"/>
  <c r="E112" i="18"/>
  <c r="E111" i="18"/>
  <c r="E110" i="18"/>
  <c r="E109" i="18"/>
  <c r="E108" i="18"/>
  <c r="E107" i="18"/>
  <c r="E106" i="18"/>
  <c r="E105" i="18"/>
  <c r="E104" i="18"/>
  <c r="E103" i="18"/>
  <c r="E102" i="18"/>
  <c r="E101" i="18"/>
  <c r="E100" i="18"/>
  <c r="E99" i="18"/>
  <c r="E98" i="18"/>
  <c r="E97" i="18"/>
  <c r="E96" i="18"/>
  <c r="E95" i="18"/>
  <c r="E94" i="18"/>
  <c r="E93" i="18"/>
  <c r="E92" i="18"/>
  <c r="E91" i="18"/>
  <c r="E90" i="18"/>
  <c r="E89" i="18"/>
  <c r="E88" i="18"/>
  <c r="E229" i="18"/>
  <c r="E87" i="18"/>
  <c r="E86" i="18"/>
  <c r="E85" i="18"/>
  <c r="E84" i="18"/>
  <c r="E83" i="18"/>
  <c r="E80" i="18"/>
  <c r="E79" i="18"/>
  <c r="E78" i="18"/>
  <c r="E77" i="18"/>
  <c r="E76" i="18"/>
  <c r="E75" i="18"/>
  <c r="E74" i="18"/>
  <c r="E73" i="18"/>
  <c r="E72" i="18"/>
  <c r="E71" i="18"/>
  <c r="E70" i="18"/>
  <c r="E69" i="18"/>
  <c r="E68" i="18"/>
  <c r="E67" i="18"/>
  <c r="E66" i="18"/>
  <c r="E65" i="18"/>
  <c r="E64" i="18"/>
  <c r="E63" i="18"/>
  <c r="E61" i="18"/>
  <c r="E60" i="18"/>
  <c r="E59" i="18"/>
  <c r="E58" i="18"/>
  <c r="E57" i="18"/>
  <c r="E56" i="18"/>
  <c r="E54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6" i="18"/>
  <c r="E25" i="18"/>
  <c r="E24" i="18"/>
  <c r="E23" i="18"/>
  <c r="E22" i="18"/>
  <c r="E21" i="18"/>
  <c r="E20" i="18"/>
  <c r="E19" i="18"/>
  <c r="E18" i="18"/>
  <c r="E17" i="18"/>
  <c r="E16" i="18"/>
  <c r="E14" i="18"/>
  <c r="E13" i="18"/>
  <c r="E12" i="18"/>
  <c r="E11" i="18"/>
  <c r="E10" i="18"/>
  <c r="E8" i="18"/>
  <c r="E7" i="18"/>
  <c r="E6" i="18"/>
  <c r="E5" i="18"/>
  <c r="E4" i="18"/>
  <c r="E3" i="18"/>
  <c r="E2" i="18"/>
  <c r="F523" i="17"/>
  <c r="F522" i="17"/>
  <c r="K17" i="17"/>
  <c r="J17" i="17"/>
  <c r="N2" i="17"/>
  <c r="C16" i="16"/>
  <c r="C15" i="16"/>
  <c r="C14" i="16"/>
  <c r="C13" i="16"/>
  <c r="C12" i="16"/>
  <c r="C9" i="16"/>
  <c r="C8" i="16"/>
  <c r="C7" i="16"/>
  <c r="C6" i="16"/>
  <c r="C5" i="16"/>
  <c r="C4" i="16"/>
  <c r="C3" i="16"/>
  <c r="C2" i="16"/>
  <c r="N3" i="17" l="1"/>
  <c r="C17" i="16"/>
  <c r="O3" i="17"/>
  <c r="M17" i="17"/>
  <c r="N10" i="17"/>
  <c r="N14" i="17"/>
  <c r="O14" i="17"/>
  <c r="O10" i="17"/>
  <c r="L17" i="17"/>
  <c r="N5" i="17"/>
  <c r="O5" i="17"/>
  <c r="O2" i="17"/>
  <c r="O17" i="17" l="1"/>
  <c r="N17" i="17"/>
</calcChain>
</file>

<file path=xl/sharedStrings.xml><?xml version="1.0" encoding="utf-8"?>
<sst xmlns="http://schemas.openxmlformats.org/spreadsheetml/2006/main" count="17326" uniqueCount="5209">
  <si>
    <t>KUR/PPB/FO-002</t>
  </si>
  <si>
    <t>Rev. 02 / 15 Juli 2019</t>
  </si>
  <si>
    <t>DAFTAR HADIR SISWA</t>
  </si>
  <si>
    <t>( CATATAN HARIAN GURU DAN DAFTAR NILAI )</t>
  </si>
  <si>
    <t>SMK MUHAMMADIYAH 1 BANTUL</t>
  </si>
  <si>
    <t>MATA PELAJARAN              :..................................................</t>
  </si>
  <si>
    <t>SEMESTER                   :..................</t>
  </si>
  <si>
    <t>GURU MATA PELAJARAN  :..................................................</t>
  </si>
  <si>
    <t>WALI AMANAH</t>
  </si>
  <si>
    <t>NOMOR</t>
  </si>
  <si>
    <t>NAMA</t>
  </si>
  <si>
    <t xml:space="preserve">BULAN : </t>
  </si>
  <si>
    <t>JUMLAH</t>
  </si>
  <si>
    <t>Nilai Tugas Harian</t>
  </si>
  <si>
    <t>Nilai KD</t>
  </si>
  <si>
    <t>URUT</t>
  </si>
  <si>
    <t>INDUK</t>
  </si>
  <si>
    <t>S</t>
  </si>
  <si>
    <t>I</t>
  </si>
  <si>
    <t>A</t>
  </si>
  <si>
    <t>AFIFAN PUTRA MUKLISHAN</t>
  </si>
  <si>
    <t>AGUS GALIH BUDI PRAKOSO</t>
  </si>
  <si>
    <t>AHMAD FALAKHUL MUTTAQI</t>
  </si>
  <si>
    <t>ALBANI DIAN RASYID</t>
  </si>
  <si>
    <t>ALDIANO RIZKY</t>
  </si>
  <si>
    <t>ALFIN MAULANA PUTRA</t>
  </si>
  <si>
    <t>ARKHAB ISLAM SUPRIYADI</t>
  </si>
  <si>
    <t>BAGAS ALAM NURSETO</t>
  </si>
  <si>
    <t>DAFFAZACKY NURFIANSYAH</t>
  </si>
  <si>
    <t>DHIMAS SUNGKONO PUTRO</t>
  </si>
  <si>
    <t>ELANGGA BAGAS AJI SAPUTRA</t>
  </si>
  <si>
    <t>FAHRI ABDILLAH</t>
  </si>
  <si>
    <t>FAIZZA ISNAN AFFANI</t>
  </si>
  <si>
    <t>FAJAR MUHAMMAD RIZKI</t>
  </si>
  <si>
    <t>FATTEGAR YUSUF KHITHOBI</t>
  </si>
  <si>
    <t>FRISTAMA DANAR ZAKIYA</t>
  </si>
  <si>
    <t>HAFIF MALIK FALEKHAN</t>
  </si>
  <si>
    <t>IRVAN HENDY KURNIAWAN</t>
  </si>
  <si>
    <t>MARINTO DIRO SAPUTRO</t>
  </si>
  <si>
    <t>MUHAMAD DAFFA ADLY MUSTHOFA</t>
  </si>
  <si>
    <t>MUHAMAD SATRIA BUDIADIKARA</t>
  </si>
  <si>
    <t>MUHAMMAD ADITYA PRATAMA</t>
  </si>
  <si>
    <t>MUHAMMAD FARHAN FIRDAUS</t>
  </si>
  <si>
    <t>MUHAMMAD KHOIRUL KHISAN</t>
  </si>
  <si>
    <t>RIZAL JAHFAL ADZIN</t>
  </si>
  <si>
    <t>ROZAN ZAINUL RIJAL</t>
  </si>
  <si>
    <t>SEPTIAN ADHIANSYAH RAMADHANI</t>
  </si>
  <si>
    <t>THORIQ FARIZ HIDAYATULLOH</t>
  </si>
  <si>
    <t>WAHYU GANESA</t>
  </si>
  <si>
    <t>ZULKARNAEN ALLIFYANSYAH</t>
  </si>
  <si>
    <t>CATATAN HARIAN GURU</t>
  </si>
  <si>
    <t>Deskripsi Penilaian</t>
  </si>
  <si>
    <t>NO</t>
  </si>
  <si>
    <t>Tanggal</t>
  </si>
  <si>
    <t>Kegiatan Pembelajaran</t>
  </si>
  <si>
    <t>Materi Pembelajaran</t>
  </si>
  <si>
    <t>Menerangkan/Diskusi/Tugas/Ujian*)</t>
  </si>
  <si>
    <t>Keterangan :</t>
  </si>
  <si>
    <t>Bantul,……………………………………….</t>
  </si>
  <si>
    <t>Penilaian diisikan setiap kali melakukan penilaian harian berupa tugas, tes tertulis, tes lisan, tes unjuk kerja atau portopolio ( Validasi setiap Bulan )</t>
  </si>
  <si>
    <t>Guru Bidang Studi</t>
  </si>
  <si>
    <t>*) Pada kolom kegiatan pembelajaran coret yang tidak dilakukan, kegiatan pembelajaran bisa lebih dari satu kegiatan</t>
  </si>
  <si>
    <t>…………………………………………….</t>
  </si>
  <si>
    <t>NBM…………………………………….</t>
  </si>
  <si>
    <t>AFRIZAL MANSYUR</t>
  </si>
  <si>
    <t>AHMAD ALFA RISKI</t>
  </si>
  <si>
    <t>AHMAD MUFID MUNAWAR</t>
  </si>
  <si>
    <t>ALAN RYNO SAPUTRA</t>
  </si>
  <si>
    <t>ALIF NURCAHYO</t>
  </si>
  <si>
    <t>BARA YUSUF ADRIAN</t>
  </si>
  <si>
    <t>DAFA SURYA SAPUTRA</t>
  </si>
  <si>
    <t>FATAN KHOLIQ APRIANO</t>
  </si>
  <si>
    <t>FIKRI IQBAL FATHURRAHIM</t>
  </si>
  <si>
    <t>FRIANDA DARMAWAN</t>
  </si>
  <si>
    <t>HABIB AULIA</t>
  </si>
  <si>
    <t>HANIF DWI MUSTAFA</t>
  </si>
  <si>
    <t>IKBAR RASYID NURHANTONO</t>
  </si>
  <si>
    <t>ISTARZAQI NAUVALNAFI AHNAF</t>
  </si>
  <si>
    <t>JAGAD AHMAD</t>
  </si>
  <si>
    <t>KEYFA MUADZA</t>
  </si>
  <si>
    <t>MARSA NUR AFIF</t>
  </si>
  <si>
    <t>MUHAMMAD CHAIRU DHAFA</t>
  </si>
  <si>
    <t>MUHAMMAD FAHRI FATHUROHMAN</t>
  </si>
  <si>
    <t>MUHAMMAD IQBAL AMINULLAH</t>
  </si>
  <si>
    <t>MUHAMMAD MUFID</t>
  </si>
  <si>
    <t>MUHAMMAD MUSTAFA HAQQI</t>
  </si>
  <si>
    <t>MUHAMMAD SALMAN ALFARIDZI</t>
  </si>
  <si>
    <t>NADHIF VINZA YUATA</t>
  </si>
  <si>
    <t>NAUFAL NUR RAFI</t>
  </si>
  <si>
    <t>NI’AM FACHRIZA AKBAR</t>
  </si>
  <si>
    <t>NOVA BIMA PERMANA PUTRA</t>
  </si>
  <si>
    <t>PRADIKA FADLI ALFA RENZA</t>
  </si>
  <si>
    <t>RAMDHANI KARUNIAWAN</t>
  </si>
  <si>
    <t>REZA NUR HABIB</t>
  </si>
  <si>
    <t>RICHI WAHYU WIBOWO</t>
  </si>
  <si>
    <t>RIZAL DIAN RAMADHAN</t>
  </si>
  <si>
    <t>RONAA DAFFA PRATAMA</t>
  </si>
  <si>
    <t>SYAHRI RAMADHANI</t>
  </si>
  <si>
    <t>TIRTA BACHRONI</t>
  </si>
  <si>
    <t>YOGA WIJAYA SAPUTRA</t>
  </si>
  <si>
    <t>ZAKI KHOIRON</t>
  </si>
  <si>
    <t>ADITYA NOVA RESTANTO</t>
  </si>
  <si>
    <t>AFRIAN SURYA FEBRIANSYAH</t>
  </si>
  <si>
    <t>AGUNG KURNIAWAN</t>
  </si>
  <si>
    <t>AHMAD CHOIRUL ANAM</t>
  </si>
  <si>
    <t>AKMA IKHWAN ARKHANANTA</t>
  </si>
  <si>
    <t>ALIF GILANG SETIAWAN</t>
  </si>
  <si>
    <t>ANDRE KURNIAWAN</t>
  </si>
  <si>
    <t>BRAMANTYO AJI</t>
  </si>
  <si>
    <t>DAVINKO PRAMADIKA CHRISNANDA</t>
  </si>
  <si>
    <t>FERRY EKA SYAHPUTRA</t>
  </si>
  <si>
    <t>HAJID NANDA RAHMAWAN</t>
  </si>
  <si>
    <t>HEMA MAHRUBI PURNOMO</t>
  </si>
  <si>
    <t>INDRA ANTORO</t>
  </si>
  <si>
    <t>IVAN NUR IKHSAN</t>
  </si>
  <si>
    <t>JUSUF TARIQ ASAKTI</t>
  </si>
  <si>
    <t>LUCKY RAHMAT DANI</t>
  </si>
  <si>
    <t>MOHAMMAD DZAKWAN RAFAH</t>
  </si>
  <si>
    <t>MUHAMMAD DECO ADZANI</t>
  </si>
  <si>
    <t>MUHAMMAD IBRA MOFID</t>
  </si>
  <si>
    <t>MUHAMMAD MASRUH NURWIDYANTO</t>
  </si>
  <si>
    <t>MUHAMMAD MUKLIS NURROHMAN</t>
  </si>
  <si>
    <t>MUHAMMAD NAUFAL RAMADHAN</t>
  </si>
  <si>
    <t>MUHAMMAD ZACKY BRIGAS SATRIAJI</t>
  </si>
  <si>
    <t>NASYWAN HIDAYATULLAH</t>
  </si>
  <si>
    <t>NAUFAL PUTRA FIANTO</t>
  </si>
  <si>
    <t>NICO DANI ANGGARA</t>
  </si>
  <si>
    <t>NUR AZIZ RAMADHANI</t>
  </si>
  <si>
    <t>RAFI SATRIA ATMAJA</t>
  </si>
  <si>
    <t>RESANG PANGESTU</t>
  </si>
  <si>
    <t>REZALDY YUGA PUTRA</t>
  </si>
  <si>
    <t>RIFKI ADINATA</t>
  </si>
  <si>
    <t>RIZKY ADI SAPUTRA</t>
  </si>
  <si>
    <t>SILVARIO RIZKI RAMADHANI</t>
  </si>
  <si>
    <t>TANDANG CANON PUTRA RAMIYANTO</t>
  </si>
  <si>
    <t>YUNUZ</t>
  </si>
  <si>
    <t>ABIYASA SATYA NUGRAHA</t>
  </si>
  <si>
    <t>ADIL WIBOWO</t>
  </si>
  <si>
    <t>AHNAF ADJIE PANGESTU</t>
  </si>
  <si>
    <t>ALMER FAYYADH KHOIRY BASAYEV</t>
  </si>
  <si>
    <t>ALVY SETIAWAN</t>
  </si>
  <si>
    <t>ANDRA ANUARI PRATAMA</t>
  </si>
  <si>
    <t>ANGGIT HANANTYA PUTRA</t>
  </si>
  <si>
    <t>ARDIN FAUSTA ANUGRAH SAPUTRA</t>
  </si>
  <si>
    <t>AUFA DAFA KUSUMAH ATMAJA</t>
  </si>
  <si>
    <t>BAGUS ARIYA ADINATA</t>
  </si>
  <si>
    <t>CESSYA JALU ALIF LUKMANSYAH</t>
  </si>
  <si>
    <t>DEVANO RIZKY PRATAMA</t>
  </si>
  <si>
    <t>DHIMAZ JORDAN</t>
  </si>
  <si>
    <t>DWI PUTRA BERLIANTO</t>
  </si>
  <si>
    <t>FADZLY DWI ARDIANSYAH</t>
  </si>
  <si>
    <t>FAHRY DWI RAMADANI</t>
  </si>
  <si>
    <t>FAUZAN DWI WAHYU NUGROHO</t>
  </si>
  <si>
    <t>GALIH INZAQI</t>
  </si>
  <si>
    <t>GILBRAN BIMA ADYAKSA</t>
  </si>
  <si>
    <t>ILHAM EKA PUTRA ANNAFI</t>
  </si>
  <si>
    <t>JULIAN AGUSTIN</t>
  </si>
  <si>
    <t>MAHESA HENDRA PRIATAMA</t>
  </si>
  <si>
    <t>MUHAMMAD ARY YUSUF</t>
  </si>
  <si>
    <t>MUHAMMAD LUTFIRRAHMAN</t>
  </si>
  <si>
    <t>MUHAMMAD SAIFUL MUZAKI</t>
  </si>
  <si>
    <t>NAAFI ARYA FEBRIAN</t>
  </si>
  <si>
    <t>NOVEL TRI MAHENDRA</t>
  </si>
  <si>
    <t>RAFAEL WAHYU PRATAMA</t>
  </si>
  <si>
    <t>RAIHAN EKA RADITA</t>
  </si>
  <si>
    <t>RAYHAN DAFFA DZULHILMI</t>
  </si>
  <si>
    <t>RIDHO NAFI' MAWANTO</t>
  </si>
  <si>
    <t>SATRIA BAYU HUTOMO</t>
  </si>
  <si>
    <t>SYARIEF HERNAWAN</t>
  </si>
  <si>
    <t>VIKY FAREL</t>
  </si>
  <si>
    <t>YUDHA PRATAMA</t>
  </si>
  <si>
    <t>ACHMAD DAFFA PUTRA SAMUDRA</t>
  </si>
  <si>
    <t>AGHA SATRIA NUR AKBAR</t>
  </si>
  <si>
    <t>AJISAPUTRA RIZAL EFFENDI</t>
  </si>
  <si>
    <t>ALTAR BRAMANTYA PUTRA</t>
  </si>
  <si>
    <t>ANDRA SAPUTRA</t>
  </si>
  <si>
    <t>ANNAS ABDUR ROZAQ</t>
  </si>
  <si>
    <t>ARDY FATURROHMAN</t>
  </si>
  <si>
    <t>AUSHAF RAFFA ARUNA</t>
  </si>
  <si>
    <t>BAKRIF HAKIKI</t>
  </si>
  <si>
    <t>DAFFA HILMI RAMADHAN</t>
  </si>
  <si>
    <t>DEAZ MARFELINO</t>
  </si>
  <si>
    <t>DEO DWI SAPUTRA</t>
  </si>
  <si>
    <t>DHONAN ZHALIFUNNAS</t>
  </si>
  <si>
    <t>DZAKYAN NAUFAL RAMADHAN</t>
  </si>
  <si>
    <t>FAJAR LISTYANTARA</t>
  </si>
  <si>
    <t>FAREL GILANG SAPUTRA</t>
  </si>
  <si>
    <t>FAUZAN MUHAMMAD RAZIQ</t>
  </si>
  <si>
    <t>GILANG HARIS VANDIKA</t>
  </si>
  <si>
    <t>HANAN BAGUS WICAKSANA</t>
  </si>
  <si>
    <t>ILHAM NUR WASKITO</t>
  </si>
  <si>
    <t>KAFI A'MAL FALAH</t>
  </si>
  <si>
    <t>MIFTAH NASYWA MAULANA</t>
  </si>
  <si>
    <t>MUHAMMAD DZAKY AMAR FAUZAN</t>
  </si>
  <si>
    <t>MUHAMMAD MAULANA FATHUL MIHDAN</t>
  </si>
  <si>
    <t>NAMJA DAMAR SUBASTIAN</t>
  </si>
  <si>
    <t>NUGROHO NURDIYANTO</t>
  </si>
  <si>
    <t>RAFFAELA RACHEL LUCY EVANA</t>
  </si>
  <si>
    <t>RAIHAN NUR RAHMADANI</t>
  </si>
  <si>
    <t>REFANSA RAHMATDANI</t>
  </si>
  <si>
    <t>RISQI SYAIFUL NIZAM</t>
  </si>
  <si>
    <t>RIZKY PRADITYA NUR MAULIDAN</t>
  </si>
  <si>
    <t>ROCKZI AZIZZU VARA</t>
  </si>
  <si>
    <t>SENDI ABEL RAMADHAN</t>
  </si>
  <si>
    <t>TEGUH RYAN SANTOSA</t>
  </si>
  <si>
    <t>WILLY ADITYA PASHA</t>
  </si>
  <si>
    <t>ACHSAN YOGA DUANA</t>
  </si>
  <si>
    <t>ADNAN ARYA SAPUTRA</t>
  </si>
  <si>
    <t>AKBAR ABDUL HAMID</t>
  </si>
  <si>
    <t>ANDREW RADITYA SUPARJAN</t>
  </si>
  <si>
    <t>ARDE INDRA WIJAYA</t>
  </si>
  <si>
    <t>ARIF RAHMADI</t>
  </si>
  <si>
    <t>AZIZ RIZKI ARTA SAPUTRA</t>
  </si>
  <si>
    <t>BAYU REZKY PRATAMA</t>
  </si>
  <si>
    <t>DAFFA WAHIDUN RAFIF</t>
  </si>
  <si>
    <t>DEOVANI NUR WIJAYA</t>
  </si>
  <si>
    <t>DIAZ SYAHMUDA ADI PURNAMA</t>
  </si>
  <si>
    <t>FABIAN DARELL AZARYO PRATAMA</t>
  </si>
  <si>
    <t>FAISHAL NABHAN MUWAFFAQ</t>
  </si>
  <si>
    <t>FARHAN SURYA PRIMADIKA</t>
  </si>
  <si>
    <t>FITER GUNTUR LAKSANA</t>
  </si>
  <si>
    <t>GHALIB AGUS SAFIAN</t>
  </si>
  <si>
    <t>HARLAN CHIKAL FADILLAH</t>
  </si>
  <si>
    <t>ISNAINI NUR HIDAYAT</t>
  </si>
  <si>
    <t>KARTIKO PANDU KUSUMO</t>
  </si>
  <si>
    <t>MAULIDAN IQBAL HANAFI</t>
  </si>
  <si>
    <t>MUHAMMAD FAHRUROZI AL-AZHAR</t>
  </si>
  <si>
    <t>MUHAMMAD NAAFI' MUHAIMIN</t>
  </si>
  <si>
    <t>MUHAMMAD RO'UF QOIRUL AZZAM</t>
  </si>
  <si>
    <t>NANDANA NAFIS MAGANI</t>
  </si>
  <si>
    <t>PRAMUDYA ADAM ALBIN FARREL</t>
  </si>
  <si>
    <t>RAFIF ARKANA SEPTIANTORO</t>
  </si>
  <si>
    <t>RAKA GALIH PRATAMA</t>
  </si>
  <si>
    <t>REHAN IBNU SHOLEH</t>
  </si>
  <si>
    <t>RIZAL EGA PRASETYA</t>
  </si>
  <si>
    <t>SULTHAN ARRAISYA RAHMAN</t>
  </si>
  <si>
    <t>UMAR LATHIF MUSHTHAFA</t>
  </si>
  <si>
    <t>YOGA ARYA ARKANANTA FAWWAZ</t>
  </si>
  <si>
    <t>ZUFAN LUTFI DWI HANAFI</t>
  </si>
  <si>
    <t>ADHIKA CANDRA PRATAMA</t>
  </si>
  <si>
    <t>ADJI NURSETO</t>
  </si>
  <si>
    <t>ALDIN ESTU PRAYOGI</t>
  </si>
  <si>
    <t>ANDHIKA ADIYATMA JAYA</t>
  </si>
  <si>
    <t>ANGGER DAMARJATI</t>
  </si>
  <si>
    <t>ARDHAN BINTANG PAMUNGKAS</t>
  </si>
  <si>
    <t>ARJUN ARYA SAPUTRA</t>
  </si>
  <si>
    <t>BAGAS ADHI PRASETYA</t>
  </si>
  <si>
    <t>BIMA SURYA TIMUR</t>
  </si>
  <si>
    <t>DAVA AJITYA PUTRA</t>
  </si>
  <si>
    <t>DIKA AGUS SETYAWAN</t>
  </si>
  <si>
    <t>FADHLAN AQILA ZAKI</t>
  </si>
  <si>
    <t>FAIZ MAULANA AKBAR</t>
  </si>
  <si>
    <t>FARREL RISKY ANANTA</t>
  </si>
  <si>
    <t>GADI RAFA FADHILAH</t>
  </si>
  <si>
    <t>GILANG SUJATMIKO</t>
  </si>
  <si>
    <t>HERINDRA WIKAN NUR HARDIANSYAH</t>
  </si>
  <si>
    <t>IWANG ARSEPHA DWY RHAMADHAN</t>
  </si>
  <si>
    <t>KEANDRE FARRAS CANADASE ERNANDA PUTRA</t>
  </si>
  <si>
    <t>MARIO HOUGAN SAPUTRA</t>
  </si>
  <si>
    <t>MUHAMMAD FAHMI ISWANTO</t>
  </si>
  <si>
    <t>MUHAMMAD NASYRUDIN ALI</t>
  </si>
  <si>
    <t>NAUFAL ANANDA SETIAWAN</t>
  </si>
  <si>
    <t>PUTRA PANDU PRATAMA</t>
  </si>
  <si>
    <t>RAIHAN BAYU PANJI PRASTYA</t>
  </si>
  <si>
    <t>RANGGA REZA PRATAMA</t>
  </si>
  <si>
    <t>REZA ADITYA SAPUTRA</t>
  </si>
  <si>
    <t>RIZAL SATRIA WICAKSANA</t>
  </si>
  <si>
    <t>RONALD AJI PERMANA</t>
  </si>
  <si>
    <t>SAHID SAPUTRA</t>
  </si>
  <si>
    <t>SYAHRUL WAHABIB</t>
  </si>
  <si>
    <t>VANDIKA SURYATAMA</t>
  </si>
  <si>
    <t>YOGA MAULANA AFIQ</t>
  </si>
  <si>
    <t>ADIB ROSYADI</t>
  </si>
  <si>
    <t>AHMAD ADI SUSENO</t>
  </si>
  <si>
    <t>ALIEF ALFIAN FAJAR CAHYO</t>
  </si>
  <si>
    <t>ANDIKA PRASETYA</t>
  </si>
  <si>
    <t>ANGGER PUTRA PRATAMA</t>
  </si>
  <si>
    <t>ARDHIKA REZA SAPUTRA</t>
  </si>
  <si>
    <t>ATHAYA NAQA RIFAI</t>
  </si>
  <si>
    <t>BAGAS IHSANUDIN</t>
  </si>
  <si>
    <t>CATUR GILANG PAMUNGKAS</t>
  </si>
  <si>
    <t>DENIS SHATA NUR WANDARU</t>
  </si>
  <si>
    <t>DIMAS HARY SYAHPUTRA</t>
  </si>
  <si>
    <t>FADLY KURNIAWAN</t>
  </si>
  <si>
    <t>FAJAR AGUS PONINGAL</t>
  </si>
  <si>
    <t>FATKHUL MUJIB</t>
  </si>
  <si>
    <t>GALANG PRADITA</t>
  </si>
  <si>
    <t>GALIH PAMUNGKAS</t>
  </si>
  <si>
    <t>IKHSAN WAHYU BUDI UTAMA</t>
  </si>
  <si>
    <t>JATMIKO RANDY SAPUTRA</t>
  </si>
  <si>
    <t>KHOIRUL EKA SETYAWAN</t>
  </si>
  <si>
    <t>MUHAMMAD AFNAN HIDAYAT</t>
  </si>
  <si>
    <t>MUHAMMAD JONI NUGROHO</t>
  </si>
  <si>
    <t>MUHAMMAD YUSUF GILANG PRABOWO</t>
  </si>
  <si>
    <t>MUKHAMAD GALAN ABDURROZAK</t>
  </si>
  <si>
    <t>NAYAKA DAFA MAHARDIKA</t>
  </si>
  <si>
    <t>RADITYA SETYAWAN PUTRA</t>
  </si>
  <si>
    <t>RAIHAN EKA NURRIFKI</t>
  </si>
  <si>
    <t>RAVY PUTRA PANUNTUN</t>
  </si>
  <si>
    <t>RIZKY OKTA RAMDHANI</t>
  </si>
  <si>
    <t>SAKTI DARMAWAN PUTRA MULYA</t>
  </si>
  <si>
    <t>SYAKHISTIAN SYAH PUTRA</t>
  </si>
  <si>
    <t>VAVIAN DAVA YUGANTHA</t>
  </si>
  <si>
    <t>YOHAN DESTA KURNIAWAN</t>
  </si>
  <si>
    <t>ABDUL AZIZ MUNIF</t>
  </si>
  <si>
    <t>AHMAD ABI NUR ARRBY AL GHAZALI</t>
  </si>
  <si>
    <t>ALFIAN DECO SAPUTRA</t>
  </si>
  <si>
    <t>ALVIANDY HASFI NUGROHO</t>
  </si>
  <si>
    <t>ANDIKA FELLIX NAVINSAN</t>
  </si>
  <si>
    <t>ARIEF RASYID SETIAJI</t>
  </si>
  <si>
    <t>AZZAM ZULFIKAR SETIAWAN</t>
  </si>
  <si>
    <t>DAVID RADITYA HERMANTO</t>
  </si>
  <si>
    <t>DERI TRI YANTO</t>
  </si>
  <si>
    <t>DIMAS SETO PANGESTU</t>
  </si>
  <si>
    <t>FACHRI ADI NUGROHO</t>
  </si>
  <si>
    <t>FAIS DWI KURNIAWAN</t>
  </si>
  <si>
    <t>FAREL PUTRA RAMADHAN</t>
  </si>
  <si>
    <t>FEBRIAN YENO ZULFIKRI</t>
  </si>
  <si>
    <t>GOLDY WILDAN ATTAQIA ELKHAIRY</t>
  </si>
  <si>
    <t>IQBAL ABRAR WICAKSONO</t>
  </si>
  <si>
    <t>LANTIP PRIASUSENA</t>
  </si>
  <si>
    <t>MIFTAH RAYHAN SOTYADI</t>
  </si>
  <si>
    <t>MUHAMMAD FARREL FATKHURAHMAN</t>
  </si>
  <si>
    <t>MUHAMMAD MUSTOFA AGUS MUSLIM</t>
  </si>
  <si>
    <t>MUHAMMAD NUR RAIHAN</t>
  </si>
  <si>
    <t>MUHAMMAD RIF'AN ZAIDAN AZRA</t>
  </si>
  <si>
    <t>MUHAMMAD WIBIE MUQTAVA</t>
  </si>
  <si>
    <t>NOVENDRA RIZKI ANGGARA</t>
  </si>
  <si>
    <t>PUTU SEPTRI ROMADHON</t>
  </si>
  <si>
    <t>RAFFI HADI WIBOWO</t>
  </si>
  <si>
    <t>RAVA RYAN ARIFANASYAH</t>
  </si>
  <si>
    <t>RENDRA HENGKY SAPUTRA</t>
  </si>
  <si>
    <t>RIO AHMAD DANUARTA</t>
  </si>
  <si>
    <t>RIZKY RAMADHANI</t>
  </si>
  <si>
    <t>SAKHA ZAINUM MUTTAQIM</t>
  </si>
  <si>
    <t>SOFYAN WISNU MUNANDAR</t>
  </si>
  <si>
    <t>VALERINO PANDU HIDAYATULLAH</t>
  </si>
  <si>
    <t>WIRAYUDHA PRADHITA</t>
  </si>
  <si>
    <t>ZANDRA IKHSAN WAHYU PRATAMA</t>
  </si>
  <si>
    <t>ABID YULIAN</t>
  </si>
  <si>
    <t>AJI GALANG ROMADHON</t>
  </si>
  <si>
    <t>ALENDRA RESTU WIJANARKO</t>
  </si>
  <si>
    <t>ALVIN AGUNG SAPUTRA</t>
  </si>
  <si>
    <t>ANDIKA SHEVA MUHAMMAD CATUR</t>
  </si>
  <si>
    <t>ARJUNA SATRIA TAMA</t>
  </si>
  <si>
    <t>BAYU AJI PAMUNGKAS</t>
  </si>
  <si>
    <t>EAGLE SAKTI AFRIZA</t>
  </si>
  <si>
    <t>FADHLI PRATAMA PUTRA</t>
  </si>
  <si>
    <t>FAJAR PUTRA PRATAMA</t>
  </si>
  <si>
    <t>FAREL RAFIF SUSILO</t>
  </si>
  <si>
    <t>FERDIAN DWI NURRAHMAT</t>
  </si>
  <si>
    <t>GUNTUR HANANTA HIJRI</t>
  </si>
  <si>
    <t>IRFAN SEPTRIAWAN</t>
  </si>
  <si>
    <t>LUTHFIAN CAHYA ROVIMAN</t>
  </si>
  <si>
    <t>MOHAMMAD FAIZ AZZRIEL</t>
  </si>
  <si>
    <t>MUHAMMAD GALANG AR'ROUF</t>
  </si>
  <si>
    <t>MUHAMMAD NANDA HABIBULLAH</t>
  </si>
  <si>
    <t>MUHAMMAD PUTRA ALVIANSYAH</t>
  </si>
  <si>
    <t>MUHAMMAD RIO JUNNIOR</t>
  </si>
  <si>
    <t>MUHAMMAD VIKRI DARMAWAN</t>
  </si>
  <si>
    <t>NUR CAHYA WIDI ASMARA</t>
  </si>
  <si>
    <t>RADITYA ANDRIAWAN</t>
  </si>
  <si>
    <t>RAFIF BINA IKHWAN</t>
  </si>
  <si>
    <t>RAJENDRA ERY YULYANTA</t>
  </si>
  <si>
    <t>RENO WAHYU HARYANTO</t>
  </si>
  <si>
    <t>RIYAN RAHMAD DHANI</t>
  </si>
  <si>
    <t>RONALD PRATAMA</t>
  </si>
  <si>
    <t>SALFA EKA SAPUTRA</t>
  </si>
  <si>
    <t>SYAHLAN FACHRI KURNIAWAN</t>
  </si>
  <si>
    <t>VALLENTINO VIO NOVIANDO</t>
  </si>
  <si>
    <t>YAHYA ARYA PRATAMA</t>
  </si>
  <si>
    <t>ZANUAR WAHYU PRATAMA</t>
  </si>
  <si>
    <t>ABIMANYU PRIAMBUDI</t>
  </si>
  <si>
    <t>AJI PUTRA WIJAYA</t>
  </si>
  <si>
    <t>ALI MURTADHO</t>
  </si>
  <si>
    <t>ANDHIKA MAULANA PUTRA</t>
  </si>
  <si>
    <t>ANGGA AKRAM DHIYAUDDIN UMARI</t>
  </si>
  <si>
    <t>ARYAMA WAHYU NUGROHO</t>
  </si>
  <si>
    <t>DANUJA NADJID MAMDUH</t>
  </si>
  <si>
    <t>DENIS SETIAWAN</t>
  </si>
  <si>
    <t>DHIKA PRATAMA PUTRA</t>
  </si>
  <si>
    <t>ERIQ NUR ROMELAN</t>
  </si>
  <si>
    <t>FAHRY SYAHRUL RAMADHAN</t>
  </si>
  <si>
    <t>FALIH ANOVEARIO SANTOSO</t>
  </si>
  <si>
    <t>FARHAN NUGROHO</t>
  </si>
  <si>
    <t>FIQRI ARDIANSYAH</t>
  </si>
  <si>
    <t>HAFIDH OKTA PRADANA</t>
  </si>
  <si>
    <t>IRWAN RAKA SHANDIKA</t>
  </si>
  <si>
    <t>M. RANGGA FEBRIANSYAH</t>
  </si>
  <si>
    <t>MUHAMAD AUFA FAIZ ARYANTO</t>
  </si>
  <si>
    <t>MUHAMMAD IBNU MUSTOFA</t>
  </si>
  <si>
    <t>MUHAMMAD NUR ALVIN</t>
  </si>
  <si>
    <t>MUHAMMAD RAIHAN</t>
  </si>
  <si>
    <t>MUHAMMAD SYAFIQ</t>
  </si>
  <si>
    <t>NABIL YAZZAN AZIZI PURNOMO</t>
  </si>
  <si>
    <t>OKTA DWI SAPUTRA</t>
  </si>
  <si>
    <t>RADITYA DHIMAS RAMADHAN</t>
  </si>
  <si>
    <t>RAHMAD MUSTAGHFIRIN</t>
  </si>
  <si>
    <t>RAMA PANDU NUGROHO</t>
  </si>
  <si>
    <t>REFIN DWI SAPUTRA</t>
  </si>
  <si>
    <t>REYLEO WALI YAHYA</t>
  </si>
  <si>
    <t>RIZAL RAMADHANI</t>
  </si>
  <si>
    <t>RUDY DWI ARRIDHO</t>
  </si>
  <si>
    <t>SALIK IHSAN MAFTUH</t>
  </si>
  <si>
    <t>TEGAR BAGAS PANGESTU</t>
  </si>
  <si>
    <t>VIGO DEWATA</t>
  </si>
  <si>
    <t>YANUAR QAIZ BRAMANTYA</t>
  </si>
  <si>
    <t>ZASIR MAULANA IBRAHIM</t>
  </si>
  <si>
    <t>ADAM WISNU AL FIRMAN</t>
  </si>
  <si>
    <t>ALDI FIRMANJAYA</t>
  </si>
  <si>
    <t>ALFIAN CAHYA PRATAMA</t>
  </si>
  <si>
    <t>ALIF REIHANSYAH SAPUTRA</t>
  </si>
  <si>
    <t>ANDHIKA RAHMA</t>
  </si>
  <si>
    <t>ARDHIFA KHOIRUL AZZA</t>
  </si>
  <si>
    <t>AULIYAU RAHMAN MAULIDI</t>
  </si>
  <si>
    <t>DAVA' ALFARIZZI</t>
  </si>
  <si>
    <t>DENTA NAUFAL NUGRAHA</t>
  </si>
  <si>
    <t>DIMAS DWI SATRIA</t>
  </si>
  <si>
    <t>FABIAN KEVIN RAMADHAN</t>
  </si>
  <si>
    <t>FAIRUZIZUAN IBRAHIMOVIC</t>
  </si>
  <si>
    <t>FAREL BANGUN HUTAMA</t>
  </si>
  <si>
    <t>FAUZAN HUSAIN</t>
  </si>
  <si>
    <t>GINANJAR WISNU KAWIRYAN</t>
  </si>
  <si>
    <t>HENDRA MAULANA MARDIANTAMA</t>
  </si>
  <si>
    <t>KURNIAWAN BUMI</t>
  </si>
  <si>
    <t>MAULANA AGUNG SEBAYU</t>
  </si>
  <si>
    <t>MUHAMMAD ARSHAQ EL-HAQQANI</t>
  </si>
  <si>
    <t>MUHAMMAD IKHSAN FATONI</t>
  </si>
  <si>
    <t>MUHAMMAD NUR IRSYAD</t>
  </si>
  <si>
    <t>MUHAMMAD REVA KURNIAWAN</t>
  </si>
  <si>
    <t>NABIL ATHA HABIBI</t>
  </si>
  <si>
    <t>NARENDRA DAMAR AJI</t>
  </si>
  <si>
    <t>PRISKALIO BAGAS KUMARA JATI</t>
  </si>
  <si>
    <t>RAFFANDI ARISTYAWAN</t>
  </si>
  <si>
    <t>RAINAN BAYU ERLANGGA</t>
  </si>
  <si>
    <t>RANGGA INDRA SAPUTRA</t>
  </si>
  <si>
    <t>REKI HANDARA PUTRA</t>
  </si>
  <si>
    <t>RIDHONI NUR BUDI ADI</t>
  </si>
  <si>
    <t>RIZKY ADITYA SAPUTRA</t>
  </si>
  <si>
    <t>RYZKI HARDIANSYAH</t>
  </si>
  <si>
    <t>SEPTIAN EKA RAMADHAN</t>
  </si>
  <si>
    <t>TONI PRABOWO</t>
  </si>
  <si>
    <t>VINZA ALIYUN NAJA</t>
  </si>
  <si>
    <t>YOGA NUR ROHMAN</t>
  </si>
  <si>
    <t>ZIDAN CHANDRA WIBAWA</t>
  </si>
  <si>
    <t>ADE SUKMA RISTY ALDI</t>
  </si>
  <si>
    <t>AINUGRAH AFFIF FEBRYANO</t>
  </si>
  <si>
    <t>ALAYKA SAFA</t>
  </si>
  <si>
    <t>ALERASYA BINTANG ADITYA</t>
  </si>
  <si>
    <t>ALIF AZIZAN AMIRUDIN</t>
  </si>
  <si>
    <t>ASHELIA REYVA SAFANA</t>
  </si>
  <si>
    <t>AXEL SURYA PUTRA PRATAMA</t>
  </si>
  <si>
    <t>CITRA ATHAYA SHYFA</t>
  </si>
  <si>
    <t>DINDA SINTIASARI</t>
  </si>
  <si>
    <t>FACHRIANSYAH AL MA'RUF</t>
  </si>
  <si>
    <t>FAISHAL HAFIZH RAMADHAN</t>
  </si>
  <si>
    <t>FARA AMILIA PUTRI</t>
  </si>
  <si>
    <t>GESTU ZANUAR ADJI RAHMAWAN</t>
  </si>
  <si>
    <t>INDAH KUSUMAWATI NUR WIDYANINGSASTI</t>
  </si>
  <si>
    <t>ISTIANI NURLITA SARI</t>
  </si>
  <si>
    <t>KEVIN KSATRIA HUTAMA</t>
  </si>
  <si>
    <t>MUHAMMAD AZZAM ZIA ULHAQ</t>
  </si>
  <si>
    <t>MUHAMMAD FAHRI FAIQUNA</t>
  </si>
  <si>
    <t>MUHAMMAD IQBAL</t>
  </si>
  <si>
    <t>MUTIARA GALUH MELANI</t>
  </si>
  <si>
    <t>NADHINA KHOIRUNNISA</t>
  </si>
  <si>
    <t>RAHMA NUR MIFTA HUSYIFA</t>
  </si>
  <si>
    <t>RIO MANDALA PUTRA</t>
  </si>
  <si>
    <t>SILVA CELINE MAHARANI</t>
  </si>
  <si>
    <t>SYAHRUL DWI SAPUTRA</t>
  </si>
  <si>
    <t>UKASA IBNU UMAR</t>
  </si>
  <si>
    <t>ZAHRA NESHIA VIVIYANTI</t>
  </si>
  <si>
    <t>ADITYA DWI CAHYANTO</t>
  </si>
  <si>
    <t>AKHMAD FAIZUN</t>
  </si>
  <si>
    <t>ALFIAN MUSTOFA</t>
  </si>
  <si>
    <t>ALVARO NIBRAS PRATISTA</t>
  </si>
  <si>
    <t>ASNI MUHAMMAD RIZAL</t>
  </si>
  <si>
    <t>BAYU RIZKY ADITYA</t>
  </si>
  <si>
    <t>DAVA BAGAS RIZKYATAMA</t>
  </si>
  <si>
    <t>DESTRIAN ADIFA WISANTO</t>
  </si>
  <si>
    <t>FACHUR RAHMAN</t>
  </si>
  <si>
    <t>FAISHAL NUR RIZKY RAMADHAN</t>
  </si>
  <si>
    <t>FATUR ROHIM</t>
  </si>
  <si>
    <t>FATUR ROHMAN</t>
  </si>
  <si>
    <t>GHOZI AHMAD RABBANI</t>
  </si>
  <si>
    <t>IKBAL MIFTAKHUL HUDA</t>
  </si>
  <si>
    <t>IRSYAT SYIFAA BANYU ZAMIIR</t>
  </si>
  <si>
    <t>LUFI ISMAWAN</t>
  </si>
  <si>
    <t>MUHAMMAD BAGAS NUR ROCHMAN</t>
  </si>
  <si>
    <t>MUHAMMAD FAUZI</t>
  </si>
  <si>
    <t>MUHAMMAD NABBEL NIZAM AZZAM MUHARRAM</t>
  </si>
  <si>
    <t>NARENDRA MANNAF PUTRA</t>
  </si>
  <si>
    <t>PUTRA AFANDI FITRISAHRI</t>
  </si>
  <si>
    <t>REIICHI OZORA ADAM ASSIDIQI</t>
  </si>
  <si>
    <t>ROBETH SAIFUN NAWAS</t>
  </si>
  <si>
    <t>SATRIA ARDIANSYAH PUTRA</t>
  </si>
  <si>
    <t>SYANDIANSAH RAHMAT HERIYANTO</t>
  </si>
  <si>
    <t>WISANGGENI TIRTO DJATI</t>
  </si>
  <si>
    <t>AHMAD IKHSAN HARTONO</t>
  </si>
  <si>
    <t>ALFIQO RIMIDHA FALIKH MURIANA</t>
  </si>
  <si>
    <t>ANDIKA DWI KURNIAWAN</t>
  </si>
  <si>
    <t>ANGGA WAHYU SAPUTRA</t>
  </si>
  <si>
    <t>ARBYAN ALIF SAPUTRA</t>
  </si>
  <si>
    <t>ARKAN DHIYA RAISAN PRADANA</t>
  </si>
  <si>
    <t>DAFTA HAFIZ AFFANUDIN</t>
  </si>
  <si>
    <t>DESTRA BINTANG WIJAYA</t>
  </si>
  <si>
    <t>ELANG SANJAYA</t>
  </si>
  <si>
    <t>FAIQ KHOLILU ROHMAN</t>
  </si>
  <si>
    <t>FAKHRI SHOLEHUDDIN ALTHA'AF</t>
  </si>
  <si>
    <t>GIOVANNI ZAKI HIDAYAT</t>
  </si>
  <si>
    <t>GUNTUR DWI ANGGARA</t>
  </si>
  <si>
    <t>IQBRAM IQKRANAGARA</t>
  </si>
  <si>
    <t>MARVEL ANGGA KUSUMA</t>
  </si>
  <si>
    <t>MUHAMMAD FADLI RAHMANDITO</t>
  </si>
  <si>
    <t>MUHAMMAD HASNAN HABIBI</t>
  </si>
  <si>
    <t>MUHAMMAD TAUFIQURRAHMAN MUZAKKI</t>
  </si>
  <si>
    <t>NA'IM FIRMANSYAH</t>
  </si>
  <si>
    <t>RAYHAN AFADA AHMAD AL HAKIM</t>
  </si>
  <si>
    <t>REVAL REZKY RAMADHAN</t>
  </si>
  <si>
    <t>RYO ANDREA</t>
  </si>
  <si>
    <t>SAHRUL FAIRUS SAHLAN</t>
  </si>
  <si>
    <t>USAMAH FAQIH AHMAD</t>
  </si>
  <si>
    <t>ZAKY ATHA FAUZI</t>
  </si>
  <si>
    <t>KELAS</t>
  </si>
  <si>
    <t xml:space="preserve">NIS TERAKHIR : </t>
  </si>
  <si>
    <t>TOTAL</t>
  </si>
  <si>
    <t>NIS</t>
  </si>
  <si>
    <t>NAMA SISWA</t>
  </si>
  <si>
    <t>KELAS 2</t>
  </si>
  <si>
    <t>KET</t>
  </si>
  <si>
    <t>JURUSAN</t>
  </si>
  <si>
    <t>JUMLAH AWAL</t>
  </si>
  <si>
    <t>ROMBEL</t>
  </si>
  <si>
    <t>AKTIF</t>
  </si>
  <si>
    <t>KELUAR</t>
  </si>
  <si>
    <t>TOTAL AKTIF</t>
  </si>
  <si>
    <t>TOTAL KELUAR</t>
  </si>
  <si>
    <t>13862</t>
  </si>
  <si>
    <t>TAV</t>
  </si>
  <si>
    <t>TE / TAV</t>
  </si>
  <si>
    <t>TM / TPM</t>
  </si>
  <si>
    <t>PPLG / RPL</t>
  </si>
  <si>
    <t>10 TM 1</t>
  </si>
  <si>
    <t>NONAKTIF</t>
  </si>
  <si>
    <t>NO DAFTAR</t>
  </si>
  <si>
    <t>HP 1</t>
  </si>
  <si>
    <t>HP 2</t>
  </si>
  <si>
    <t>DUSUN</t>
  </si>
  <si>
    <t>RT</t>
  </si>
  <si>
    <t>DESA</t>
  </si>
  <si>
    <t>KECAMATAN</t>
  </si>
  <si>
    <t>ORANG TUA</t>
  </si>
  <si>
    <t>1</t>
  </si>
  <si>
    <t>MSB24-00-069</t>
  </si>
  <si>
    <t>2</t>
  </si>
  <si>
    <t>MSB24-03-402</t>
  </si>
  <si>
    <t>3</t>
  </si>
  <si>
    <t>MSB24-03-556</t>
  </si>
  <si>
    <t>4</t>
  </si>
  <si>
    <t>MSB24-03-462</t>
  </si>
  <si>
    <t>5</t>
  </si>
  <si>
    <t>MSB24-00-058</t>
  </si>
  <si>
    <t>6</t>
  </si>
  <si>
    <t>MSB24-03-576</t>
  </si>
  <si>
    <t>7</t>
  </si>
  <si>
    <t>MSB24-03-310</t>
  </si>
  <si>
    <t>8</t>
  </si>
  <si>
    <t>MSB24-03-511</t>
  </si>
  <si>
    <t>9</t>
  </si>
  <si>
    <t>MSB24-03-586</t>
  </si>
  <si>
    <t>10</t>
  </si>
  <si>
    <t>MSB24-04-639</t>
  </si>
  <si>
    <t>11</t>
  </si>
  <si>
    <t>MSB24-03-596</t>
  </si>
  <si>
    <t>12</t>
  </si>
  <si>
    <t>MSB24-03-438</t>
  </si>
  <si>
    <t>13</t>
  </si>
  <si>
    <t>MSB24-04-611</t>
  </si>
  <si>
    <t>14</t>
  </si>
  <si>
    <t>MSB24-00-110</t>
  </si>
  <si>
    <t>15</t>
  </si>
  <si>
    <t>MSB24-03-439</t>
  </si>
  <si>
    <t>16</t>
  </si>
  <si>
    <t>MSB24-03-408</t>
  </si>
  <si>
    <t>17</t>
  </si>
  <si>
    <t>MSB24-00-048</t>
  </si>
  <si>
    <t>18</t>
  </si>
  <si>
    <t>MSB24-03-407</t>
  </si>
  <si>
    <t>19</t>
  </si>
  <si>
    <t>MSB24-03-374</t>
  </si>
  <si>
    <t>20</t>
  </si>
  <si>
    <t>MSB24-04-631</t>
  </si>
  <si>
    <t>21</t>
  </si>
  <si>
    <t>MSB24-03-538</t>
  </si>
  <si>
    <t>22</t>
  </si>
  <si>
    <t>MSB24-03-532</t>
  </si>
  <si>
    <t>23</t>
  </si>
  <si>
    <t>MSB24-03-554</t>
  </si>
  <si>
    <t>24</t>
  </si>
  <si>
    <t>MSB24-03-588</t>
  </si>
  <si>
    <t>25</t>
  </si>
  <si>
    <t>MSB24-00-071</t>
  </si>
  <si>
    <t>26</t>
  </si>
  <si>
    <t>MSB24-03-377</t>
  </si>
  <si>
    <t>27</t>
  </si>
  <si>
    <t>MSB24-03-400</t>
  </si>
  <si>
    <t>28</t>
  </si>
  <si>
    <t>MSB24-00-001</t>
  </si>
  <si>
    <t>29</t>
  </si>
  <si>
    <t>MSB24-03-448</t>
  </si>
  <si>
    <t>30</t>
  </si>
  <si>
    <t>MSB24-03-324</t>
  </si>
  <si>
    <t>31</t>
  </si>
  <si>
    <t>MSB24-03-367</t>
  </si>
  <si>
    <t>32</t>
  </si>
  <si>
    <t>MSB24-00-007</t>
  </si>
  <si>
    <t>33</t>
  </si>
  <si>
    <t>MSB24-03-325</t>
  </si>
  <si>
    <t>34</t>
  </si>
  <si>
    <t>MSB24-03-449</t>
  </si>
  <si>
    <t>35</t>
  </si>
  <si>
    <t>MSB24-00-103</t>
  </si>
  <si>
    <t>36</t>
  </si>
  <si>
    <t>MSB24-03-461</t>
  </si>
  <si>
    <t>37</t>
  </si>
  <si>
    <t>MSB24-00-097</t>
  </si>
  <si>
    <t>38</t>
  </si>
  <si>
    <t>MSB24-03-354</t>
  </si>
  <si>
    <t>39</t>
  </si>
  <si>
    <t>MSB24-03-355</t>
  </si>
  <si>
    <t>40</t>
  </si>
  <si>
    <t>MSB24-03-303</t>
  </si>
  <si>
    <t>41</t>
  </si>
  <si>
    <t>MSB24-03-419</t>
  </si>
  <si>
    <t>42</t>
  </si>
  <si>
    <t>MSB24-00-126</t>
  </si>
  <si>
    <t>43</t>
  </si>
  <si>
    <t>MSB24-03-573</t>
  </si>
  <si>
    <t>44</t>
  </si>
  <si>
    <t>MSB24-00-031</t>
  </si>
  <si>
    <t>45</t>
  </si>
  <si>
    <t>MSB24-04-627</t>
  </si>
  <si>
    <t>46</t>
  </si>
  <si>
    <t>MSB24-04-642</t>
  </si>
  <si>
    <t>47</t>
  </si>
  <si>
    <t>MSB24-03-547</t>
  </si>
  <si>
    <t>48</t>
  </si>
  <si>
    <t>MSB24-03-574</t>
  </si>
  <si>
    <t>49</t>
  </si>
  <si>
    <t>MSB24-01-188</t>
  </si>
  <si>
    <t>50</t>
  </si>
  <si>
    <t>MSB24-03-296</t>
  </si>
  <si>
    <t>51</t>
  </si>
  <si>
    <t>MSB24-01-166</t>
  </si>
  <si>
    <t>52</t>
  </si>
  <si>
    <t>MSB24-00-040</t>
  </si>
  <si>
    <t>53</t>
  </si>
  <si>
    <t>MSB24-03-517</t>
  </si>
  <si>
    <t>54</t>
  </si>
  <si>
    <t>MSB24-03-575</t>
  </si>
  <si>
    <t>55</t>
  </si>
  <si>
    <t>MSB24-02-208</t>
  </si>
  <si>
    <t>56</t>
  </si>
  <si>
    <t>MSB24-00-003</t>
  </si>
  <si>
    <t>57</t>
  </si>
  <si>
    <t>MSB24-03-591</t>
  </si>
  <si>
    <t>58</t>
  </si>
  <si>
    <t>MSB24-03-577</t>
  </si>
  <si>
    <t>59</t>
  </si>
  <si>
    <t>MSB24-03-436</t>
  </si>
  <si>
    <t>60</t>
  </si>
  <si>
    <t>MSB24-04-628</t>
  </si>
  <si>
    <t>61</t>
  </si>
  <si>
    <t>MSB24-03-476</t>
  </si>
  <si>
    <t>62</t>
  </si>
  <si>
    <t>MSB24-01-196</t>
  </si>
  <si>
    <t>63</t>
  </si>
  <si>
    <t>MSB24-00-060</t>
  </si>
  <si>
    <t>64</t>
  </si>
  <si>
    <t>MSB24-03-536</t>
  </si>
  <si>
    <t>65</t>
  </si>
  <si>
    <t>MSB24-04-615</t>
  </si>
  <si>
    <t>66</t>
  </si>
  <si>
    <t>MSB24-01-167</t>
  </si>
  <si>
    <t>67</t>
  </si>
  <si>
    <t>MSB24-03-535</t>
  </si>
  <si>
    <t>68</t>
  </si>
  <si>
    <t>MSB24-01-161</t>
  </si>
  <si>
    <t>69</t>
  </si>
  <si>
    <t>MSB24-03-569</t>
  </si>
  <si>
    <t>70</t>
  </si>
  <si>
    <t>MSB24-03-315</t>
  </si>
  <si>
    <t>71</t>
  </si>
  <si>
    <t>MSB24-04-641</t>
  </si>
  <si>
    <t>72</t>
  </si>
  <si>
    <t>MSB24-03-435</t>
  </si>
  <si>
    <t>73</t>
  </si>
  <si>
    <t>MSB24-02-227</t>
  </si>
  <si>
    <t>74</t>
  </si>
  <si>
    <t>MSB24-03-523</t>
  </si>
  <si>
    <t>75</t>
  </si>
  <si>
    <t>MSB24-00-006</t>
  </si>
  <si>
    <t>76</t>
  </si>
  <si>
    <t>MSB24-00-079</t>
  </si>
  <si>
    <t>77</t>
  </si>
  <si>
    <t>MSB24-03-557</t>
  </si>
  <si>
    <t>78</t>
  </si>
  <si>
    <t>MSB24-03-305</t>
  </si>
  <si>
    <t>79</t>
  </si>
  <si>
    <t>MSB24-03-456</t>
  </si>
  <si>
    <t>80</t>
  </si>
  <si>
    <t>MSB24-02-279</t>
  </si>
  <si>
    <t>81</t>
  </si>
  <si>
    <t>MSB24-03-534</t>
  </si>
  <si>
    <t>82</t>
  </si>
  <si>
    <t>MSB24-04-623</t>
  </si>
  <si>
    <t>83</t>
  </si>
  <si>
    <t>MSB24-04-612</t>
  </si>
  <si>
    <t>84</t>
  </si>
  <si>
    <t>MSB24-03-457</t>
  </si>
  <si>
    <t>85</t>
  </si>
  <si>
    <t>MSB24-03-451</t>
  </si>
  <si>
    <t>86</t>
  </si>
  <si>
    <t>MSB24-00-107</t>
  </si>
  <si>
    <t>87</t>
  </si>
  <si>
    <t>MSB24-03-512</t>
  </si>
  <si>
    <t>88</t>
  </si>
  <si>
    <t>MSB24-03-471</t>
  </si>
  <si>
    <t>89</t>
  </si>
  <si>
    <t>MSB24-03-559</t>
  </si>
  <si>
    <t>90</t>
  </si>
  <si>
    <t>MSB24-03-441</t>
  </si>
  <si>
    <t>91</t>
  </si>
  <si>
    <t>MSB24-04-608</t>
  </si>
  <si>
    <t>92</t>
  </si>
  <si>
    <t>MSB24-03-481</t>
  </si>
  <si>
    <t>93</t>
  </si>
  <si>
    <t>MSB24-03-598</t>
  </si>
  <si>
    <t>94</t>
  </si>
  <si>
    <t>MSB24-02-257</t>
  </si>
  <si>
    <t>95</t>
  </si>
  <si>
    <t>MSB24-03-301</t>
  </si>
  <si>
    <t>96</t>
  </si>
  <si>
    <t>MSB24-03-442</t>
  </si>
  <si>
    <t>97</t>
  </si>
  <si>
    <t>MSB24-01-132</t>
  </si>
  <si>
    <t>98</t>
  </si>
  <si>
    <t>MSB24-03-541</t>
  </si>
  <si>
    <t>99</t>
  </si>
  <si>
    <t>MSB24-03-489</t>
  </si>
  <si>
    <t>100</t>
  </si>
  <si>
    <t>MSB24-03-558</t>
  </si>
  <si>
    <t>101</t>
  </si>
  <si>
    <t>MSB24-03-470</t>
  </si>
  <si>
    <t>102</t>
  </si>
  <si>
    <t>MSB24-03-587</t>
  </si>
  <si>
    <t>103</t>
  </si>
  <si>
    <t>MSB24-00-034</t>
  </si>
  <si>
    <t>104</t>
  </si>
  <si>
    <t>MSB24-03-297</t>
  </si>
  <si>
    <t>105</t>
  </si>
  <si>
    <t>MSB24-03-560</t>
  </si>
  <si>
    <t>106</t>
  </si>
  <si>
    <t>MSB24-04-634</t>
  </si>
  <si>
    <t>107</t>
  </si>
  <si>
    <t>MSB24-04-637</t>
  </si>
  <si>
    <t>108</t>
  </si>
  <si>
    <t>MSB24-03-551</t>
  </si>
  <si>
    <t>109</t>
  </si>
  <si>
    <t>MSB24-03-392</t>
  </si>
  <si>
    <t>110</t>
  </si>
  <si>
    <t>MSB24-02-283</t>
  </si>
  <si>
    <t>111</t>
  </si>
  <si>
    <t>MSB24-03-318</t>
  </si>
  <si>
    <t>112</t>
  </si>
  <si>
    <t>MSB24-03-398</t>
  </si>
  <si>
    <t>113</t>
  </si>
  <si>
    <t>MSB24-03-334</t>
  </si>
  <si>
    <t>114</t>
  </si>
  <si>
    <t>MSB24-02-246</t>
  </si>
  <si>
    <t>115</t>
  </si>
  <si>
    <t>MSB24-00-082</t>
  </si>
  <si>
    <t>116</t>
  </si>
  <si>
    <t>MSB24-00-064</t>
  </si>
  <si>
    <t>117</t>
  </si>
  <si>
    <t>MSB24-03-366</t>
  </si>
  <si>
    <t>118</t>
  </si>
  <si>
    <t>MSB24-03-412</t>
  </si>
  <si>
    <t>119</t>
  </si>
  <si>
    <t>MSB24-03-570</t>
  </si>
  <si>
    <t>120</t>
  </si>
  <si>
    <t>MSB24-04-610</t>
  </si>
  <si>
    <t>121</t>
  </si>
  <si>
    <t>MSB24-02-278</t>
  </si>
  <si>
    <t>122</t>
  </si>
  <si>
    <t>MSB24-03-572</t>
  </si>
  <si>
    <t>123</t>
  </si>
  <si>
    <t>MSB24-03-466</t>
  </si>
  <si>
    <t>124</t>
  </si>
  <si>
    <t>MSB24-01-141</t>
  </si>
  <si>
    <t>125</t>
  </si>
  <si>
    <t>MSB24-04-614</t>
  </si>
  <si>
    <t>126</t>
  </si>
  <si>
    <t>MSB24-03-300</t>
  </si>
  <si>
    <t>127</t>
  </si>
  <si>
    <t>MSB24-02-235</t>
  </si>
  <si>
    <t>128</t>
  </si>
  <si>
    <t>MSB24-03-500</t>
  </si>
  <si>
    <t>129</t>
  </si>
  <si>
    <t>MSB24-03-336</t>
  </si>
  <si>
    <t>130</t>
  </si>
  <si>
    <t>MSB24-03-490</t>
  </si>
  <si>
    <t>131</t>
  </si>
  <si>
    <t>MSB24-03-434</t>
  </si>
  <si>
    <t>132</t>
  </si>
  <si>
    <t>MSB24-04-606</t>
  </si>
  <si>
    <t>133</t>
  </si>
  <si>
    <t>MSB24-02-234</t>
  </si>
  <si>
    <t>134</t>
  </si>
  <si>
    <t>MSB24-03-480</t>
  </si>
  <si>
    <t>135</t>
  </si>
  <si>
    <t>MSB24-02-242</t>
  </si>
  <si>
    <t>136</t>
  </si>
  <si>
    <t>MSB24-03-295</t>
  </si>
  <si>
    <t>137</t>
  </si>
  <si>
    <t>MSB24-03-298</t>
  </si>
  <si>
    <t>138</t>
  </si>
  <si>
    <t>MSB24-01-160</t>
  </si>
  <si>
    <t>139</t>
  </si>
  <si>
    <t>MSB24-03-444</t>
  </si>
  <si>
    <t>140</t>
  </si>
  <si>
    <t>MSB24-01-181</t>
  </si>
  <si>
    <t>141</t>
  </si>
  <si>
    <t>MSB24-00-018</t>
  </si>
  <si>
    <t>142</t>
  </si>
  <si>
    <t>MSB24-03-353</t>
  </si>
  <si>
    <t>143</t>
  </si>
  <si>
    <t>MSB24-01-180</t>
  </si>
  <si>
    <t>144</t>
  </si>
  <si>
    <t>MSB24-00-042</t>
  </si>
  <si>
    <t>145</t>
  </si>
  <si>
    <t>MSB24-03-350</t>
  </si>
  <si>
    <t>146</t>
  </si>
  <si>
    <t>MSB24-03-414</t>
  </si>
  <si>
    <t>147</t>
  </si>
  <si>
    <t>MSB24-00-106</t>
  </si>
  <si>
    <t>148</t>
  </si>
  <si>
    <t>MSB24-03-465</t>
  </si>
  <si>
    <t>149</t>
  </si>
  <si>
    <t>MSB24-03-594</t>
  </si>
  <si>
    <t>150</t>
  </si>
  <si>
    <t>MSB24-03-399</t>
  </si>
  <si>
    <t>151</t>
  </si>
  <si>
    <t>MSB24-00-124</t>
  </si>
  <si>
    <t>152</t>
  </si>
  <si>
    <t>MSB24-00-047</t>
  </si>
  <si>
    <t>153</t>
  </si>
  <si>
    <t>MSB24-03-346</t>
  </si>
  <si>
    <t>154</t>
  </si>
  <si>
    <t>MSB24-03-483</t>
  </si>
  <si>
    <t>155</t>
  </si>
  <si>
    <t>MSB24-03-404</t>
  </si>
  <si>
    <t>156</t>
  </si>
  <si>
    <t>MSB24-00-038</t>
  </si>
  <si>
    <t>157</t>
  </si>
  <si>
    <t>MSB24-04-636</t>
  </si>
  <si>
    <t>158</t>
  </si>
  <si>
    <t>MSB24-03-387</t>
  </si>
  <si>
    <t>159</t>
  </si>
  <si>
    <t>MSB24-02-233</t>
  </si>
  <si>
    <t>160</t>
  </si>
  <si>
    <t>MSB24-00-066</t>
  </si>
  <si>
    <t>161</t>
  </si>
  <si>
    <t>MSB24-01-131</t>
  </si>
  <si>
    <t>162</t>
  </si>
  <si>
    <t>MSB24-00-010</t>
  </si>
  <si>
    <t>163</t>
  </si>
  <si>
    <t>MSB24-02-244</t>
  </si>
  <si>
    <t>164</t>
  </si>
  <si>
    <t>MSB24-00-116</t>
  </si>
  <si>
    <t>165</t>
  </si>
  <si>
    <t>MSB24-00-029</t>
  </si>
  <si>
    <t>166</t>
  </si>
  <si>
    <t>MSB24-00-041</t>
  </si>
  <si>
    <t>167</t>
  </si>
  <si>
    <t>MSB24-03-509</t>
  </si>
  <si>
    <t>168</t>
  </si>
  <si>
    <t>MSB24-03-464</t>
  </si>
  <si>
    <t>169</t>
  </si>
  <si>
    <t>MSB24-01-143</t>
  </si>
  <si>
    <t>170</t>
  </si>
  <si>
    <t>MSB24-03-340</t>
  </si>
  <si>
    <t>171</t>
  </si>
  <si>
    <t>MSB24-03-368</t>
  </si>
  <si>
    <t>172</t>
  </si>
  <si>
    <t>MSB24-02-214</t>
  </si>
  <si>
    <t>173</t>
  </si>
  <si>
    <t>MSB24-00-023</t>
  </si>
  <si>
    <t>174</t>
  </si>
  <si>
    <t>MSB24-01-156</t>
  </si>
  <si>
    <t>175</t>
  </si>
  <si>
    <t>MSB24-03-365</t>
  </si>
  <si>
    <t>176</t>
  </si>
  <si>
    <t>MSB24-03-294</t>
  </si>
  <si>
    <t>177</t>
  </si>
  <si>
    <t>MSB24-02-217</t>
  </si>
  <si>
    <t>178</t>
  </si>
  <si>
    <t>MSB24-00-028</t>
  </si>
  <si>
    <t>179</t>
  </si>
  <si>
    <t>MSB24-02-265</t>
  </si>
  <si>
    <t>180</t>
  </si>
  <si>
    <t>MSB24-02-245</t>
  </si>
  <si>
    <t>181</t>
  </si>
  <si>
    <t>MSB24-02-211</t>
  </si>
  <si>
    <t>182</t>
  </si>
  <si>
    <t>MSB24-02-284</t>
  </si>
  <si>
    <t>183</t>
  </si>
  <si>
    <t>MSB24-02-215</t>
  </si>
  <si>
    <t>184</t>
  </si>
  <si>
    <t>MSB24-01-146</t>
  </si>
  <si>
    <t>185</t>
  </si>
  <si>
    <t>MSB24-03-363</t>
  </si>
  <si>
    <t>186</t>
  </si>
  <si>
    <t>MSB24-00-109</t>
  </si>
  <si>
    <t>187</t>
  </si>
  <si>
    <t>MSB24-03-351</t>
  </si>
  <si>
    <t>188</t>
  </si>
  <si>
    <t>MSB24-03-405</t>
  </si>
  <si>
    <t>189</t>
  </si>
  <si>
    <t>MSB24-00-070</t>
  </si>
  <si>
    <t>190</t>
  </si>
  <si>
    <t>MSB24-03-413</t>
  </si>
  <si>
    <t>191</t>
  </si>
  <si>
    <t>MSB24-03-304</t>
  </si>
  <si>
    <t>192</t>
  </si>
  <si>
    <t>MSB24-03-328</t>
  </si>
  <si>
    <t>193</t>
  </si>
  <si>
    <t>MSB24-03-498</t>
  </si>
  <si>
    <t>194</t>
  </si>
  <si>
    <t>MSB24-03-455</t>
  </si>
  <si>
    <t>195</t>
  </si>
  <si>
    <t>MSB24-03-522</t>
  </si>
  <si>
    <t>196</t>
  </si>
  <si>
    <t>MSB24-02-254</t>
  </si>
  <si>
    <t>197</t>
  </si>
  <si>
    <t>MSB24-03-475</t>
  </si>
  <si>
    <t>198</t>
  </si>
  <si>
    <t>MSB24-03-468</t>
  </si>
  <si>
    <t>199</t>
  </si>
  <si>
    <t>MSB24-03-364</t>
  </si>
  <si>
    <t>200</t>
  </si>
  <si>
    <t>MSB24-00-078</t>
  </si>
  <si>
    <t>201</t>
  </si>
  <si>
    <t>MSB24-03-316</t>
  </si>
  <si>
    <t>202</t>
  </si>
  <si>
    <t>MSB24-00-019</t>
  </si>
  <si>
    <t>203</t>
  </si>
  <si>
    <t>MSB24-03-411</t>
  </si>
  <si>
    <t>204</t>
  </si>
  <si>
    <t>MSB24-03-487</t>
  </si>
  <si>
    <t>205</t>
  </si>
  <si>
    <t>MSB24-03-396</t>
  </si>
  <si>
    <t>206</t>
  </si>
  <si>
    <t>MSB24-02-236</t>
  </si>
  <si>
    <t>207</t>
  </si>
  <si>
    <t>MSB24-02-252</t>
  </si>
  <si>
    <t>208</t>
  </si>
  <si>
    <t>MSB24-03-329</t>
  </si>
  <si>
    <t>209</t>
  </si>
  <si>
    <t>MSB24-00-118</t>
  </si>
  <si>
    <t>210</t>
  </si>
  <si>
    <t>MSB24-02-268</t>
  </si>
  <si>
    <t>211</t>
  </si>
  <si>
    <t>MSB24-02-212</t>
  </si>
  <si>
    <t>212</t>
  </si>
  <si>
    <t>MSB24-02-239</t>
  </si>
  <si>
    <t>213</t>
  </si>
  <si>
    <t>MSB24-03-384</t>
  </si>
  <si>
    <t>214</t>
  </si>
  <si>
    <t>MSB24-01-137</t>
  </si>
  <si>
    <t>215</t>
  </si>
  <si>
    <t>MSB24-00-075</t>
  </si>
  <si>
    <t>216</t>
  </si>
  <si>
    <t>MSB24-03-333</t>
  </si>
  <si>
    <t>217</t>
  </si>
  <si>
    <t>MSB24-03-542</t>
  </si>
  <si>
    <t>218</t>
  </si>
  <si>
    <t>MSB24-03-287</t>
  </si>
  <si>
    <t>219</t>
  </si>
  <si>
    <t>MSB24-00-128</t>
  </si>
  <si>
    <t>220</t>
  </si>
  <si>
    <t>MSB24-03-446</t>
  </si>
  <si>
    <t>221</t>
  </si>
  <si>
    <t>MSB24-03-403</t>
  </si>
  <si>
    <t>222</t>
  </si>
  <si>
    <t>MSB24-03-293</t>
  </si>
  <si>
    <t>223</t>
  </si>
  <si>
    <t>MSB24-00-121</t>
  </si>
  <si>
    <t>224</t>
  </si>
  <si>
    <t>MSB24-00-002</t>
  </si>
  <si>
    <t>225</t>
  </si>
  <si>
    <t>MSB24-03-433</t>
  </si>
  <si>
    <t>226</t>
  </si>
  <si>
    <t>MSB24-01-179</t>
  </si>
  <si>
    <t>227</t>
  </si>
  <si>
    <t>MSB24-02-281</t>
  </si>
  <si>
    <t>228</t>
  </si>
  <si>
    <t>MSB24-03-389</t>
  </si>
  <si>
    <t>229</t>
  </si>
  <si>
    <t>MSB24-01-147</t>
  </si>
  <si>
    <t>230</t>
  </si>
  <si>
    <t>MSB24-01-149</t>
  </si>
  <si>
    <t>231</t>
  </si>
  <si>
    <t>MSB24-01-144</t>
  </si>
  <si>
    <t>232</t>
  </si>
  <si>
    <t>MSB24-00-101</t>
  </si>
  <si>
    <t>233</t>
  </si>
  <si>
    <t>MSB24-00-127</t>
  </si>
  <si>
    <t>234</t>
  </si>
  <si>
    <t>MSB24-03-564</t>
  </si>
  <si>
    <t>235</t>
  </si>
  <si>
    <t>MSB24-03-401</t>
  </si>
  <si>
    <t>236</t>
  </si>
  <si>
    <t>MSB24-02-231</t>
  </si>
  <si>
    <t>237</t>
  </si>
  <si>
    <t>MSB24-03-360</t>
  </si>
  <si>
    <t>238</t>
  </si>
  <si>
    <t>MSB24-03-527</t>
  </si>
  <si>
    <t>239</t>
  </si>
  <si>
    <t>MSB24-03-307</t>
  </si>
  <si>
    <t>240</t>
  </si>
  <si>
    <t>MSB24-01-174</t>
  </si>
  <si>
    <t>241</t>
  </si>
  <si>
    <t>MSB24-01-158</t>
  </si>
  <si>
    <t>242</t>
  </si>
  <si>
    <t>MSB24-02-251</t>
  </si>
  <si>
    <t>243</t>
  </si>
  <si>
    <t>MSB24-04-609</t>
  </si>
  <si>
    <t>244</t>
  </si>
  <si>
    <t>MSB24-00-036</t>
  </si>
  <si>
    <t>245</t>
  </si>
  <si>
    <t>MSB24-01-130</t>
  </si>
  <si>
    <t>246</t>
  </si>
  <si>
    <t>MSB24-01-171</t>
  </si>
  <si>
    <t>247</t>
  </si>
  <si>
    <t>MSB24-01-164</t>
  </si>
  <si>
    <t>248</t>
  </si>
  <si>
    <t>MSB24-00-115</t>
  </si>
  <si>
    <t>249</t>
  </si>
  <si>
    <t>MSB24-00-025</t>
  </si>
  <si>
    <t>250</t>
  </si>
  <si>
    <t>MSB24-01-185</t>
  </si>
  <si>
    <t>251</t>
  </si>
  <si>
    <t>MSB24-03-379</t>
  </si>
  <si>
    <t>252</t>
  </si>
  <si>
    <t>MSB24-01-129</t>
  </si>
  <si>
    <t>253</t>
  </si>
  <si>
    <t>MSB24-03-592</t>
  </si>
  <si>
    <t>254</t>
  </si>
  <si>
    <t>MSB24-03-565</t>
  </si>
  <si>
    <t>255</t>
  </si>
  <si>
    <t>MSB24-04-617</t>
  </si>
  <si>
    <t>256</t>
  </si>
  <si>
    <t>MSB24-03-376</t>
  </si>
  <si>
    <t>257</t>
  </si>
  <si>
    <t>MSB24-00-065</t>
  </si>
  <si>
    <t>258</t>
  </si>
  <si>
    <t>MSB24-03-553</t>
  </si>
  <si>
    <t>259</t>
  </si>
  <si>
    <t>MSB24-03-545</t>
  </si>
  <si>
    <t>260</t>
  </si>
  <si>
    <t>MSB24-01-172</t>
  </si>
  <si>
    <t>261</t>
  </si>
  <si>
    <t>MSB24-03-566</t>
  </si>
  <si>
    <t>262</t>
  </si>
  <si>
    <t>MSB24-03-447</t>
  </si>
  <si>
    <t>263</t>
  </si>
  <si>
    <t>MSB24-00-043</t>
  </si>
  <si>
    <t>264</t>
  </si>
  <si>
    <t>MSB24-03-524</t>
  </si>
  <si>
    <t>265</t>
  </si>
  <si>
    <t>MSB24-03-332</t>
  </si>
  <si>
    <t>266</t>
  </si>
  <si>
    <t>MSB24-01-175</t>
  </si>
  <si>
    <t>267</t>
  </si>
  <si>
    <t>MSB24-03-357</t>
  </si>
  <si>
    <t>268</t>
  </si>
  <si>
    <t>MSB24-03-440</t>
  </si>
  <si>
    <t>269</t>
  </si>
  <si>
    <t>MSB24-00-008</t>
  </si>
  <si>
    <t>270</t>
  </si>
  <si>
    <t>MSB24-03-485</t>
  </si>
  <si>
    <t>271</t>
  </si>
  <si>
    <t>MSB24-01-145</t>
  </si>
  <si>
    <t>272</t>
  </si>
  <si>
    <t>MSB24-03-362</t>
  </si>
  <si>
    <t>273</t>
  </si>
  <si>
    <t>MSB24-03-546</t>
  </si>
  <si>
    <t>274</t>
  </si>
  <si>
    <t>MSB24-02-219</t>
  </si>
  <si>
    <t>275</t>
  </si>
  <si>
    <t>MSB24-02-250</t>
  </si>
  <si>
    <t>276</t>
  </si>
  <si>
    <t>MSB24-03-507</t>
  </si>
  <si>
    <t>277</t>
  </si>
  <si>
    <t>MSB24-00-084</t>
  </si>
  <si>
    <t>278</t>
  </si>
  <si>
    <t>MSB24-00-004</t>
  </si>
  <si>
    <t>279</t>
  </si>
  <si>
    <t>MSB24-04-624</t>
  </si>
  <si>
    <t>280</t>
  </si>
  <si>
    <t>MSB24-01-152</t>
  </si>
  <si>
    <t>281</t>
  </si>
  <si>
    <t>MSB24-01-139</t>
  </si>
  <si>
    <t>282</t>
  </si>
  <si>
    <t>MSB24-03-317</t>
  </si>
  <si>
    <t>283</t>
  </si>
  <si>
    <t>MSB24-03-361</t>
  </si>
  <si>
    <t>284</t>
  </si>
  <si>
    <t>MSB24-02-238</t>
  </si>
  <si>
    <t>285</t>
  </si>
  <si>
    <t>MSB24-03-450</t>
  </si>
  <si>
    <t>286</t>
  </si>
  <si>
    <t>MSB24-03-493</t>
  </si>
  <si>
    <t>287</t>
  </si>
  <si>
    <t>MSB24-01-157</t>
  </si>
  <si>
    <t>288</t>
  </si>
  <si>
    <t>MSB24-02-228</t>
  </si>
  <si>
    <t>289</t>
  </si>
  <si>
    <t>MSB24-02-266</t>
  </si>
  <si>
    <t>290</t>
  </si>
  <si>
    <t>MSB24-02-276</t>
  </si>
  <si>
    <t>291</t>
  </si>
  <si>
    <t>MSB24-01-184</t>
  </si>
  <si>
    <t>292</t>
  </si>
  <si>
    <t>MSB24-00-044</t>
  </si>
  <si>
    <t>293</t>
  </si>
  <si>
    <t>MSB24-01-134</t>
  </si>
  <si>
    <t>294</t>
  </si>
  <si>
    <t>MSB24-00-039</t>
  </si>
  <si>
    <t>295</t>
  </si>
  <si>
    <t>MSB24-02-237</t>
  </si>
  <si>
    <t>296</t>
  </si>
  <si>
    <t>MSB24-03-391</t>
  </si>
  <si>
    <t>297</t>
  </si>
  <si>
    <t>MSB24-02-206</t>
  </si>
  <si>
    <t>298</t>
  </si>
  <si>
    <t>MSB24-00-017</t>
  </si>
  <si>
    <t>299</t>
  </si>
  <si>
    <t>MSB24-00-088</t>
  </si>
  <si>
    <t>300</t>
  </si>
  <si>
    <t>MSB24-03-528</t>
  </si>
  <si>
    <t>301</t>
  </si>
  <si>
    <t>MSB24-00-026</t>
  </si>
  <si>
    <t>302</t>
  </si>
  <si>
    <t>MSB24-03-337</t>
  </si>
  <si>
    <t>303</t>
  </si>
  <si>
    <t>MSB24-00-012</t>
  </si>
  <si>
    <t>304</t>
  </si>
  <si>
    <t>MSB24-01-135</t>
  </si>
  <si>
    <t>305</t>
  </si>
  <si>
    <t>MSB24-04-625</t>
  </si>
  <si>
    <t>306</t>
  </si>
  <si>
    <t>MSB24-03-358</t>
  </si>
  <si>
    <t>307</t>
  </si>
  <si>
    <t>MSB24-00-087</t>
  </si>
  <si>
    <t>308</t>
  </si>
  <si>
    <t>MSB24-00-102</t>
  </si>
  <si>
    <t>309</t>
  </si>
  <si>
    <t>MSB24-04-632</t>
  </si>
  <si>
    <t>310</t>
  </si>
  <si>
    <t>MSB24-00-057</t>
  </si>
  <si>
    <t>311</t>
  </si>
  <si>
    <t>MSB24-00-050</t>
  </si>
  <si>
    <t>312</t>
  </si>
  <si>
    <t>MSB24-04-626</t>
  </si>
  <si>
    <t>313</t>
  </si>
  <si>
    <t>MSB24-03-445</t>
  </si>
  <si>
    <t>314</t>
  </si>
  <si>
    <t>MSB24-02-264</t>
  </si>
  <si>
    <t>315</t>
  </si>
  <si>
    <t>MSB24-03-502</t>
  </si>
  <si>
    <t>316</t>
  </si>
  <si>
    <t>MSB24-03-492</t>
  </si>
  <si>
    <t>317</t>
  </si>
  <si>
    <t>MSB24-00-005</t>
  </si>
  <si>
    <t>318</t>
  </si>
  <si>
    <t>MSB24-00-022</t>
  </si>
  <si>
    <t>319</t>
  </si>
  <si>
    <t>MSB24-02-256</t>
  </si>
  <si>
    <t>320</t>
  </si>
  <si>
    <t>MSB24-03-508</t>
  </si>
  <si>
    <t>321</t>
  </si>
  <si>
    <t>MSB24-00-030</t>
  </si>
  <si>
    <t>322</t>
  </si>
  <si>
    <t>MSB24-03-345</t>
  </si>
  <si>
    <t>323</t>
  </si>
  <si>
    <t>MSB24-03-469</t>
  </si>
  <si>
    <t>324</t>
  </si>
  <si>
    <t>MSB24-00-104</t>
  </si>
  <si>
    <t>325</t>
  </si>
  <si>
    <t>MSB24-01-150</t>
  </si>
  <si>
    <t>326</t>
  </si>
  <si>
    <t>MSB24-03-344</t>
  </si>
  <si>
    <t>327</t>
  </si>
  <si>
    <t>MSB24-02-271</t>
  </si>
  <si>
    <t>328</t>
  </si>
  <si>
    <t>MSB24-02-275</t>
  </si>
  <si>
    <t>329</t>
  </si>
  <si>
    <t>MSB24-00-114</t>
  </si>
  <si>
    <t>330</t>
  </si>
  <si>
    <t>MSB24-03-311</t>
  </si>
  <si>
    <t>331</t>
  </si>
  <si>
    <t>MSB24-00-024</t>
  </si>
  <si>
    <t>332</t>
  </si>
  <si>
    <t>MSB24-03-327</t>
  </si>
  <si>
    <t>333</t>
  </si>
  <si>
    <t>MSB24-00-013</t>
  </si>
  <si>
    <t>334</t>
  </si>
  <si>
    <t>MSB24-03-460</t>
  </si>
  <si>
    <t>335</t>
  </si>
  <si>
    <t>MSB24-03-302</t>
  </si>
  <si>
    <t>336</t>
  </si>
  <si>
    <t>MSB24-03-513</t>
  </si>
  <si>
    <t>337</t>
  </si>
  <si>
    <t>MSB24-03-437</t>
  </si>
  <si>
    <t>338</t>
  </si>
  <si>
    <t>MSB24-03-382</t>
  </si>
  <si>
    <t>339</t>
  </si>
  <si>
    <t>MSB24-00-051</t>
  </si>
  <si>
    <t>340</t>
  </si>
  <si>
    <t>MSB24-00-080</t>
  </si>
  <si>
    <t>341</t>
  </si>
  <si>
    <t>MSB24-01-155</t>
  </si>
  <si>
    <t>342</t>
  </si>
  <si>
    <t>MSB24-00-072</t>
  </si>
  <si>
    <t>343</t>
  </si>
  <si>
    <t>MSB24-00-035</t>
  </si>
  <si>
    <t>344</t>
  </si>
  <si>
    <t>MSB24-00-085</t>
  </si>
  <si>
    <t>345</t>
  </si>
  <si>
    <t>MSB24-02-263</t>
  </si>
  <si>
    <t>346</t>
  </si>
  <si>
    <t>MSB24-00-073</t>
  </si>
  <si>
    <t>347</t>
  </si>
  <si>
    <t>MSB24-00-067</t>
  </si>
  <si>
    <t>348</t>
  </si>
  <si>
    <t>MSB24-00-076</t>
  </si>
  <si>
    <t>349</t>
  </si>
  <si>
    <t>MSB24-01-176</t>
  </si>
  <si>
    <t>350</t>
  </si>
  <si>
    <t>MSB24-03-371</t>
  </si>
  <si>
    <t>351</t>
  </si>
  <si>
    <t>MSB24-02-213</t>
  </si>
  <si>
    <t>352</t>
  </si>
  <si>
    <t>MSB24-03-494</t>
  </si>
  <si>
    <t>353</t>
  </si>
  <si>
    <t>MSB24-00-074</t>
  </si>
  <si>
    <t>354</t>
  </si>
  <si>
    <t>MSB24-00-112</t>
  </si>
  <si>
    <t>355</t>
  </si>
  <si>
    <t>MSB24-00-083</t>
  </si>
  <si>
    <t>356</t>
  </si>
  <si>
    <t>MSB24-02-260</t>
  </si>
  <si>
    <t>357</t>
  </si>
  <si>
    <t>MSB24-02-261</t>
  </si>
  <si>
    <t>358</t>
  </si>
  <si>
    <t>MSB24-03-299</t>
  </si>
  <si>
    <t>359</t>
  </si>
  <si>
    <t>MSB24-00-096</t>
  </si>
  <si>
    <t>360</t>
  </si>
  <si>
    <t>MSB24-03-292</t>
  </si>
  <si>
    <t>361</t>
  </si>
  <si>
    <t>MSB24-00-009</t>
  </si>
  <si>
    <t>362</t>
  </si>
  <si>
    <t>MSB24-03-518</t>
  </si>
  <si>
    <t>363</t>
  </si>
  <si>
    <t>MSB24-04-619</t>
  </si>
  <si>
    <t>364</t>
  </si>
  <si>
    <t>MSB24-02-201</t>
  </si>
  <si>
    <t>365</t>
  </si>
  <si>
    <t>MSB24-02-223</t>
  </si>
  <si>
    <t>366</t>
  </si>
  <si>
    <t>MSB24-02-210</t>
  </si>
  <si>
    <t>367</t>
  </si>
  <si>
    <t>MSB24-00-081</t>
  </si>
  <si>
    <t>368</t>
  </si>
  <si>
    <t>MSB24-02-255</t>
  </si>
  <si>
    <t>369</t>
  </si>
  <si>
    <t>MSB24-02-224</t>
  </si>
  <si>
    <t>370</t>
  </si>
  <si>
    <t>MSB24-03-443</t>
  </si>
  <si>
    <t>371</t>
  </si>
  <si>
    <t>MSB24-01-140</t>
  </si>
  <si>
    <t>372</t>
  </si>
  <si>
    <t>MSB24-03-520</t>
  </si>
  <si>
    <t>373</t>
  </si>
  <si>
    <t>MSB24-03-321</t>
  </si>
  <si>
    <t>374</t>
  </si>
  <si>
    <t>MSB24-00-123</t>
  </si>
  <si>
    <t>375</t>
  </si>
  <si>
    <t>MSB24-00-093</t>
  </si>
  <si>
    <t>376</t>
  </si>
  <si>
    <t>MSB24-03-373</t>
  </si>
  <si>
    <t>377</t>
  </si>
  <si>
    <t>MSB24-03-343</t>
  </si>
  <si>
    <t>378</t>
  </si>
  <si>
    <t>MSB24-03-289</t>
  </si>
  <si>
    <t>379</t>
  </si>
  <si>
    <t>MSB24-00-086</t>
  </si>
  <si>
    <t>380</t>
  </si>
  <si>
    <t>MSB24-01-142</t>
  </si>
  <si>
    <t>381</t>
  </si>
  <si>
    <t>MSB24-03-390</t>
  </si>
  <si>
    <t>382</t>
  </si>
  <si>
    <t>MSB24-00-032</t>
  </si>
  <si>
    <t>383</t>
  </si>
  <si>
    <t>MSB24-03-418</t>
  </si>
  <si>
    <t>384</t>
  </si>
  <si>
    <t>MSB24-01-178</t>
  </si>
  <si>
    <t>385</t>
  </si>
  <si>
    <t>MSB24-02-270</t>
  </si>
  <si>
    <t>386</t>
  </si>
  <si>
    <t>MSB24-03-514</t>
  </si>
  <si>
    <t>387</t>
  </si>
  <si>
    <t>MSB24-03-477</t>
  </si>
  <si>
    <t>388</t>
  </si>
  <si>
    <t>MSB24-00-108</t>
  </si>
  <si>
    <t>389</t>
  </si>
  <si>
    <t>MSB24-03-388</t>
  </si>
  <si>
    <t>390</t>
  </si>
  <si>
    <t>MSB24-01-182</t>
  </si>
  <si>
    <t>391</t>
  </si>
  <si>
    <t>MSB24-02-225</t>
  </si>
  <si>
    <t>392</t>
  </si>
  <si>
    <t>MSB24-03-552</t>
  </si>
  <si>
    <t>393</t>
  </si>
  <si>
    <t>MSB24-00-094</t>
  </si>
  <si>
    <t>394</t>
  </si>
  <si>
    <t>MSB24-00-045</t>
  </si>
  <si>
    <t>395</t>
  </si>
  <si>
    <t>MSB24-00-046</t>
  </si>
  <si>
    <t>396</t>
  </si>
  <si>
    <t>MSB24-00-059</t>
  </si>
  <si>
    <t>397</t>
  </si>
  <si>
    <t>MSB24-01-195</t>
  </si>
  <si>
    <t>398</t>
  </si>
  <si>
    <t>MSB24-01-153</t>
  </si>
  <si>
    <t>399</t>
  </si>
  <si>
    <t>MSB24-03-359</t>
  </si>
  <si>
    <t>400</t>
  </si>
  <si>
    <t>MSB24-00-090</t>
  </si>
  <si>
    <t>401</t>
  </si>
  <si>
    <t>MSB24-00-056</t>
  </si>
  <si>
    <t>402</t>
  </si>
  <si>
    <t>MSB24-00-049</t>
  </si>
  <si>
    <t>403</t>
  </si>
  <si>
    <t>MSB24-00-027</t>
  </si>
  <si>
    <t>404</t>
  </si>
  <si>
    <t>MSB24-01-189</t>
  </si>
  <si>
    <t>405</t>
  </si>
  <si>
    <t>MSB24-02-240</t>
  </si>
  <si>
    <t>406</t>
  </si>
  <si>
    <t>MSB24-01-173</t>
  </si>
  <si>
    <t>407</t>
  </si>
  <si>
    <t>MSB24-03-543</t>
  </si>
  <si>
    <t>408</t>
  </si>
  <si>
    <t>MSB24-00-089</t>
  </si>
  <si>
    <t>409</t>
  </si>
  <si>
    <t>MSB24-02-282</t>
  </si>
  <si>
    <t>410</t>
  </si>
  <si>
    <t>MSB24-00-077</t>
  </si>
  <si>
    <t>411</t>
  </si>
  <si>
    <t>MSB24-00-120</t>
  </si>
  <si>
    <t>412</t>
  </si>
  <si>
    <t>MSB24-00-095</t>
  </si>
  <si>
    <t>413</t>
  </si>
  <si>
    <t>MSB24-00-098</t>
  </si>
  <si>
    <t>414</t>
  </si>
  <si>
    <t>MSB24-02-286</t>
  </si>
  <si>
    <t>415</t>
  </si>
  <si>
    <t>MSB24-03-375</t>
  </si>
  <si>
    <t>416</t>
  </si>
  <si>
    <t>MSB24-03-597</t>
  </si>
  <si>
    <t>417</t>
  </si>
  <si>
    <t>MSB24-00-052</t>
  </si>
  <si>
    <t>418</t>
  </si>
  <si>
    <t>MSB24-03-459</t>
  </si>
  <si>
    <t>419</t>
  </si>
  <si>
    <t>MSB24-03-409</t>
  </si>
  <si>
    <t>420</t>
  </si>
  <si>
    <t>MSB24-02-202</t>
  </si>
  <si>
    <t>421</t>
  </si>
  <si>
    <t>MSB24-03-339</t>
  </si>
  <si>
    <t>422</t>
  </si>
  <si>
    <t>MSB24-02-204</t>
  </si>
  <si>
    <t>423</t>
  </si>
  <si>
    <t>MSB24-02-253</t>
  </si>
  <si>
    <t>424</t>
  </si>
  <si>
    <t>MSB24-00-016</t>
  </si>
  <si>
    <t>425</t>
  </si>
  <si>
    <t>MSB24-00-011</t>
  </si>
  <si>
    <t>426</t>
  </si>
  <si>
    <t>MSB24-00-014</t>
  </si>
  <si>
    <t>427</t>
  </si>
  <si>
    <t>MSB24-01-148</t>
  </si>
  <si>
    <t>428</t>
  </si>
  <si>
    <t>MSB24-01-165</t>
  </si>
  <si>
    <t>429</t>
  </si>
  <si>
    <t>MSB24-02-209</t>
  </si>
  <si>
    <t>430</t>
  </si>
  <si>
    <t>MSB24-02-232</t>
  </si>
  <si>
    <t>431</t>
  </si>
  <si>
    <t>MSB24-03-561</t>
  </si>
  <si>
    <t>432</t>
  </si>
  <si>
    <t>MSB24-04-630</t>
  </si>
  <si>
    <t>433</t>
  </si>
  <si>
    <t>MSB24-03-571</t>
  </si>
  <si>
    <t>434</t>
  </si>
  <si>
    <t>MSB24-03-497</t>
  </si>
  <si>
    <t>435</t>
  </si>
  <si>
    <t>MSB24-01-169</t>
  </si>
  <si>
    <t>436</t>
  </si>
  <si>
    <t>MSB24-03-320</t>
  </si>
  <si>
    <t>437</t>
  </si>
  <si>
    <t>MSB24-00-068</t>
  </si>
  <si>
    <t>438</t>
  </si>
  <si>
    <t>MSB24-03-595</t>
  </si>
  <si>
    <t>439</t>
  </si>
  <si>
    <t>MSB24-03-531</t>
  </si>
  <si>
    <t>440</t>
  </si>
  <si>
    <t>MSB24-03-539</t>
  </si>
  <si>
    <t>441</t>
  </si>
  <si>
    <t>MSB24-02-290</t>
  </si>
  <si>
    <t>442</t>
  </si>
  <si>
    <t>MSB24-03-510</t>
  </si>
  <si>
    <t>443</t>
  </si>
  <si>
    <t>MSB24-02-285</t>
  </si>
  <si>
    <t>444</t>
  </si>
  <si>
    <t>MSB24-03-323</t>
  </si>
  <si>
    <t>445</t>
  </si>
  <si>
    <t>MSB24-03-347</t>
  </si>
  <si>
    <t>446</t>
  </si>
  <si>
    <t>MSB24-01-162</t>
  </si>
  <si>
    <t>447</t>
  </si>
  <si>
    <t>MSB24-00-021</t>
  </si>
  <si>
    <t>448</t>
  </si>
  <si>
    <t>MSB24-04-635</t>
  </si>
  <si>
    <t>449</t>
  </si>
  <si>
    <t>MSB24-03-580</t>
  </si>
  <si>
    <t>450</t>
  </si>
  <si>
    <t>MSB24-00-063</t>
  </si>
  <si>
    <t>451</t>
  </si>
  <si>
    <t>MSB24-02-262</t>
  </si>
  <si>
    <t>452</t>
  </si>
  <si>
    <t>MSB24-03-590</t>
  </si>
  <si>
    <t>453</t>
  </si>
  <si>
    <t>MSB24-03-472</t>
  </si>
  <si>
    <t>454</t>
  </si>
  <si>
    <t>MSB24-04-640</t>
  </si>
  <si>
    <t>455</t>
  </si>
  <si>
    <t>MSB24-03-452</t>
  </si>
  <si>
    <t>456</t>
  </si>
  <si>
    <t>MSB24-03-579</t>
  </si>
  <si>
    <t>457</t>
  </si>
  <si>
    <t>MSB24-03-555</t>
  </si>
  <si>
    <t>458</t>
  </si>
  <si>
    <t>MSB24-03-356</t>
  </si>
  <si>
    <t>459</t>
  </si>
  <si>
    <t>MSB24-03-386</t>
  </si>
  <si>
    <t>460</t>
  </si>
  <si>
    <t>MSB24-00-062</t>
  </si>
  <si>
    <t>461</t>
  </si>
  <si>
    <t>MSB24-03-525</t>
  </si>
  <si>
    <t>462</t>
  </si>
  <si>
    <t>MSB24-03-593</t>
  </si>
  <si>
    <t>463</t>
  </si>
  <si>
    <t>MSB24-03-349</t>
  </si>
  <si>
    <t>464</t>
  </si>
  <si>
    <t>MSB24-04-621</t>
  </si>
  <si>
    <t>465</t>
  </si>
  <si>
    <t>MSB24-03-506</t>
  </si>
  <si>
    <t>466</t>
  </si>
  <si>
    <t>MSB24-04-643</t>
  </si>
  <si>
    <t>467</t>
  </si>
  <si>
    <t>MSB24-00-054</t>
  </si>
  <si>
    <t>468</t>
  </si>
  <si>
    <t>MSB24-00-125</t>
  </si>
  <si>
    <t>469</t>
  </si>
  <si>
    <t>MSB24-04-605</t>
  </si>
  <si>
    <t>470</t>
  </si>
  <si>
    <t>MSB24-03-454</t>
  </si>
  <si>
    <t>471</t>
  </si>
  <si>
    <t>MSB24-03-410</t>
  </si>
  <si>
    <t>472</t>
  </si>
  <si>
    <t>MSB24-03-341</t>
  </si>
  <si>
    <t>473</t>
  </si>
  <si>
    <t>MSB24-01-183</t>
  </si>
  <si>
    <t>474</t>
  </si>
  <si>
    <t>MSB24-03-562</t>
  </si>
  <si>
    <t>475</t>
  </si>
  <si>
    <t>MSB24-03-473</t>
  </si>
  <si>
    <t>476</t>
  </si>
  <si>
    <t>MSB24-03-326</t>
  </si>
  <si>
    <t>477</t>
  </si>
  <si>
    <t>MSB24-03-308</t>
  </si>
  <si>
    <t>478</t>
  </si>
  <si>
    <t>MSB24-04-604</t>
  </si>
  <si>
    <t>479</t>
  </si>
  <si>
    <t>MSB24-03-544</t>
  </si>
  <si>
    <t>480</t>
  </si>
  <si>
    <t>MSB24-03-416</t>
  </si>
  <si>
    <t>481</t>
  </si>
  <si>
    <t>MSB24-04-629</t>
  </si>
  <si>
    <t>482</t>
  </si>
  <si>
    <t>MSB24-03-519</t>
  </si>
  <si>
    <t>483</t>
  </si>
  <si>
    <t>MSB24-01-186</t>
  </si>
  <si>
    <t>484</t>
  </si>
  <si>
    <t>MSB24-03-589</t>
  </si>
  <si>
    <t>485</t>
  </si>
  <si>
    <t>MSB24-01-168</t>
  </si>
  <si>
    <t>486</t>
  </si>
  <si>
    <t>MSB24-04-620</t>
  </si>
  <si>
    <t>487</t>
  </si>
  <si>
    <t>MSB24-03-585</t>
  </si>
  <si>
    <t>488</t>
  </si>
  <si>
    <t>MSB24-03-537</t>
  </si>
  <si>
    <t>489</t>
  </si>
  <si>
    <t>MSB24-00-091</t>
  </si>
  <si>
    <t>490</t>
  </si>
  <si>
    <t>MSB24-00-122</t>
  </si>
  <si>
    <t>491</t>
  </si>
  <si>
    <t>MSB24-04-618</t>
  </si>
  <si>
    <t>492</t>
  </si>
  <si>
    <t>MSB24-02-248</t>
  </si>
  <si>
    <t>493</t>
  </si>
  <si>
    <t>MSB24-00-113</t>
  </si>
  <si>
    <t>494</t>
  </si>
  <si>
    <t>MSB24-04-638</t>
  </si>
  <si>
    <t>495</t>
  </si>
  <si>
    <t>MSB24-03-385</t>
  </si>
  <si>
    <t>496</t>
  </si>
  <si>
    <t>MSB24-03-484</t>
  </si>
  <si>
    <t>497</t>
  </si>
  <si>
    <t>MSB24-00-061</t>
  </si>
  <si>
    <t>498</t>
  </si>
  <si>
    <t>MSB24-00-111</t>
  </si>
  <si>
    <t>499</t>
  </si>
  <si>
    <t>MSB24-04-607</t>
  </si>
  <si>
    <t>500</t>
  </si>
  <si>
    <t>MSB24-01-198</t>
  </si>
  <si>
    <t>501</t>
  </si>
  <si>
    <t>MSB24-03-526</t>
  </si>
  <si>
    <t>502</t>
  </si>
  <si>
    <t>MSB24-01-199</t>
  </si>
  <si>
    <t>503</t>
  </si>
  <si>
    <t>MSB24-00-105</t>
  </si>
  <si>
    <t>No</t>
  </si>
  <si>
    <t>Nomor Pendaftaran</t>
  </si>
  <si>
    <t>Nama Lengkap</t>
  </si>
  <si>
    <t>Tempat Lahir</t>
  </si>
  <si>
    <t>Tangal Lahir Siswa</t>
  </si>
  <si>
    <t>JeKel</t>
  </si>
  <si>
    <t>Nama Ortu</t>
  </si>
  <si>
    <t>Pekerjaan Ortu</t>
  </si>
  <si>
    <t>Dusun</t>
  </si>
  <si>
    <t>RW</t>
  </si>
  <si>
    <t>Kelurahan</t>
  </si>
  <si>
    <t>Kecamatan</t>
  </si>
  <si>
    <t>Kabupaten</t>
  </si>
  <si>
    <t>Prov</t>
  </si>
  <si>
    <t>Asal Sekolah</t>
  </si>
  <si>
    <t>No Siswa</t>
  </si>
  <si>
    <t>No Ortu</t>
  </si>
  <si>
    <t>Pil 1</t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</si>
  <si>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</si>
  <si>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</si>
  <si>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</si>
  <si>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</si>
  <si>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</si>
  <si>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</si>
  <si>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</si>
  <si>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</si>
  <si>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</si>
  <si>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</si>
  <si>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</si>
  <si>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</si>
  <si>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</si>
  <si>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</si>
  <si>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</si>
  <si>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</si>
  <si>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</si>
  <si>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</si>
  <si>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</si>
  <si>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BANTUL</t>
  </si>
  <si>
    <t>28-08-2008</t>
  </si>
  <si>
    <t>L</t>
  </si>
  <si>
    <t>WIYANTO</t>
  </si>
  <si>
    <t>ASN</t>
  </si>
  <si>
    <t>NITIPRAYAN</t>
  </si>
  <si>
    <t>0</t>
  </si>
  <si>
    <t>NGESTIHARJO</t>
  </si>
  <si>
    <t>KASIHAN</t>
  </si>
  <si>
    <t>DIY</t>
  </si>
  <si>
    <t>SMP MUHAMMADIYAH KASIHAN</t>
  </si>
  <si>
    <t>81391810007</t>
  </si>
  <si>
    <t>RPL</t>
  </si>
  <si>
    <t>7-03-2008</t>
  </si>
  <si>
    <t>HERU SUSILO</t>
  </si>
  <si>
    <t>BURUH</t>
  </si>
  <si>
    <t>BAJANG</t>
  </si>
  <si>
    <t>WIJIREJO</t>
  </si>
  <si>
    <t>PANDAK</t>
  </si>
  <si>
    <t>SMP AL-ISLAM KARTASURA</t>
  </si>
  <si>
    <t>87817742974</t>
  </si>
  <si>
    <t>TBSM</t>
  </si>
  <si>
    <t>28-05-2008</t>
  </si>
  <si>
    <t>SUBEKTI</t>
  </si>
  <si>
    <t>WIRASWASTA</t>
  </si>
  <si>
    <t>KEPEK</t>
  </si>
  <si>
    <t>TIMBULHARJO</t>
  </si>
  <si>
    <t>SEWON</t>
  </si>
  <si>
    <t>MTS N 2 BANTUL</t>
  </si>
  <si>
    <t>088221260292</t>
  </si>
  <si>
    <t>24-09-2008</t>
  </si>
  <si>
    <t>PARJILAN</t>
  </si>
  <si>
    <t>KARYAWAN SWASTA</t>
  </si>
  <si>
    <t>JAYAN</t>
  </si>
  <si>
    <t>CANDEN</t>
  </si>
  <si>
    <t>JETIS</t>
  </si>
  <si>
    <t>SMP N 3 JETIS</t>
  </si>
  <si>
    <t>82221022299</t>
  </si>
  <si>
    <t>TKR</t>
  </si>
  <si>
    <t>13-05-2008</t>
  </si>
  <si>
    <t>ADHI PRASTOWO</t>
  </si>
  <si>
    <t>PEPE</t>
  </si>
  <si>
    <t>TRIRENGGO</t>
  </si>
  <si>
    <t>SMP N 1 BANTUL</t>
  </si>
  <si>
    <t>87700043003</t>
  </si>
  <si>
    <t>19-09-2008</t>
  </si>
  <si>
    <t>IVAN PAMUNGKAS</t>
  </si>
  <si>
    <t>083867945082</t>
  </si>
  <si>
    <t>26-08-2008</t>
  </si>
  <si>
    <t>KASIMIN</t>
  </si>
  <si>
    <t>TANGKILAN</t>
  </si>
  <si>
    <t>SUMBERMULYO</t>
  </si>
  <si>
    <t>BAMBANGLIPURO</t>
  </si>
  <si>
    <t>SMP MUHAMMADIYAH 1 BAMBANGLIPURO</t>
  </si>
  <si>
    <t>82225692182</t>
  </si>
  <si>
    <t>25-02-2009</t>
  </si>
  <si>
    <t>PONIRAN</t>
  </si>
  <si>
    <t>PANJANG</t>
  </si>
  <si>
    <t>PANJANGREJO</t>
  </si>
  <si>
    <t>PUNDONG</t>
  </si>
  <si>
    <t>SMP N 1 PUNDONG</t>
  </si>
  <si>
    <t>81804395111</t>
  </si>
  <si>
    <t>9-06-2008</t>
  </si>
  <si>
    <t>LILIN ARYANTO</t>
  </si>
  <si>
    <t>DERMOJURANG</t>
  </si>
  <si>
    <t>SELOHARJO</t>
  </si>
  <si>
    <t>85100265324</t>
  </si>
  <si>
    <t>20-02-2008</t>
  </si>
  <si>
    <t>GUNTORO</t>
  </si>
  <si>
    <t>TEGALSEMPU</t>
  </si>
  <si>
    <t>CATURHARJO</t>
  </si>
  <si>
    <t>SMP N 4 PANDAK</t>
  </si>
  <si>
    <t>83896594931</t>
  </si>
  <si>
    <t>18-02-2009</t>
  </si>
  <si>
    <t>SUTARJA</t>
  </si>
  <si>
    <t>SRIHARDONO</t>
  </si>
  <si>
    <t>SMP N 2 PUNDONG</t>
  </si>
  <si>
    <t>85647181201</t>
  </si>
  <si>
    <t>9-01-2009</t>
  </si>
  <si>
    <t>LISTYANTO</t>
  </si>
  <si>
    <t>SEYEGAN</t>
  </si>
  <si>
    <t>83824619811</t>
  </si>
  <si>
    <t>8-12-2008</t>
  </si>
  <si>
    <t>ISTADI</t>
  </si>
  <si>
    <t>SEMAMPIR</t>
  </si>
  <si>
    <t>MTS N 5 BANTUL</t>
  </si>
  <si>
    <t>81328664064</t>
  </si>
  <si>
    <t>GROBOGAN</t>
  </si>
  <si>
    <t>24-07-2008</t>
  </si>
  <si>
    <t>MARYANTO</t>
  </si>
  <si>
    <t>DEMAKAN</t>
  </si>
  <si>
    <t>GADINGSARI</t>
  </si>
  <si>
    <t>SANDEN</t>
  </si>
  <si>
    <t>MTS AL-FURQON SANDEN</t>
  </si>
  <si>
    <t>87839994299</t>
  </si>
  <si>
    <t>MSB24-00-015</t>
  </si>
  <si>
    <t>ARSHAVIN SHEVA APRILIANTO</t>
  </si>
  <si>
    <t>7-07-2008</t>
  </si>
  <si>
    <t>SUYANTA</t>
  </si>
  <si>
    <t>MANGIRAN</t>
  </si>
  <si>
    <t>TRIMURTI</t>
  </si>
  <si>
    <t>SRANDAKAN</t>
  </si>
  <si>
    <t>SMP N 1 SRANDAKAN</t>
  </si>
  <si>
    <t>85713319242</t>
  </si>
  <si>
    <t>20-06-2008</t>
  </si>
  <si>
    <t>HERI PURWANTO</t>
  </si>
  <si>
    <t>SMP N 2 PANDAK</t>
  </si>
  <si>
    <t>85227002220</t>
  </si>
  <si>
    <t>30-01-2010</t>
  </si>
  <si>
    <t>BAMBANG ISMANTO</t>
  </si>
  <si>
    <t>KUKAP</t>
  </si>
  <si>
    <t>PONCOSARI</t>
  </si>
  <si>
    <t>83877290538</t>
  </si>
  <si>
    <t>13-04-2009</t>
  </si>
  <si>
    <t>SURAMIN</t>
  </si>
  <si>
    <t>PIRING</t>
  </si>
  <si>
    <t>83145593109</t>
  </si>
  <si>
    <t>PALEMBANG</t>
  </si>
  <si>
    <t>19-02-2009</t>
  </si>
  <si>
    <t>ROHIM</t>
  </si>
  <si>
    <t>BADAN</t>
  </si>
  <si>
    <t>89603501759</t>
  </si>
  <si>
    <t>ALVIAN KURNIAWAN</t>
  </si>
  <si>
    <t>SUGIMIN</t>
  </si>
  <si>
    <t>GLUNTUNG LOR</t>
  </si>
  <si>
    <t>6-06-2008</t>
  </si>
  <si>
    <t>MARYONO</t>
  </si>
  <si>
    <t>88985702480</t>
  </si>
  <si>
    <t>TPM</t>
  </si>
  <si>
    <t>20-09-2008</t>
  </si>
  <si>
    <t>PONIMIN</t>
  </si>
  <si>
    <t>SMP N 1 SANDEN</t>
  </si>
  <si>
    <t>88983875861</t>
  </si>
  <si>
    <t>4-06-2008</t>
  </si>
  <si>
    <t>ARWAN</t>
  </si>
  <si>
    <t>KARANGGAYAM</t>
  </si>
  <si>
    <t>SMP N 3 BANTUL</t>
  </si>
  <si>
    <t>88216338945</t>
  </si>
  <si>
    <t>28-02-2009</t>
  </si>
  <si>
    <t>EKO PURWANTO</t>
  </si>
  <si>
    <t>89612622928</t>
  </si>
  <si>
    <t>27-01-2008</t>
  </si>
  <si>
    <t>SUDIYONO</t>
  </si>
  <si>
    <t>KWALANGAN</t>
  </si>
  <si>
    <t>83104044703</t>
  </si>
  <si>
    <t>27-12-2008</t>
  </si>
  <si>
    <t>SABARI</t>
  </si>
  <si>
    <t>PETANI</t>
  </si>
  <si>
    <t>SRIBIT</t>
  </si>
  <si>
    <t>MULYODADI</t>
  </si>
  <si>
    <t>SMP N 1 BAMBANGLIPURO</t>
  </si>
  <si>
    <t>88806851818</t>
  </si>
  <si>
    <t>11-07-2008</t>
  </si>
  <si>
    <t>RADEN AGUS SETYABUDI</t>
  </si>
  <si>
    <t>WIROSUTAN</t>
  </si>
  <si>
    <t>SRIGADING</t>
  </si>
  <si>
    <t>SMP N 2 SANDEN</t>
  </si>
  <si>
    <t>0882003912775</t>
  </si>
  <si>
    <t>10-10-2007</t>
  </si>
  <si>
    <t>IMAM SYAFII</t>
  </si>
  <si>
    <t>6-03-2008</t>
  </si>
  <si>
    <t>SUKAMTO</t>
  </si>
  <si>
    <t>GUNTING</t>
  </si>
  <si>
    <t>GILANGHARJO</t>
  </si>
  <si>
    <t>83150768375</t>
  </si>
  <si>
    <t>26-10-2008</t>
  </si>
  <si>
    <t>JUMADI</t>
  </si>
  <si>
    <t>MANDING</t>
  </si>
  <si>
    <t>81210114765</t>
  </si>
  <si>
    <t>29-10-2008</t>
  </si>
  <si>
    <t>RUMANTO</t>
  </si>
  <si>
    <t>SABDODADI</t>
  </si>
  <si>
    <t>MTS MUHAMMADIYAH BANTUL</t>
  </si>
  <si>
    <t>8174116504</t>
  </si>
  <si>
    <t>PRINGSEWU</t>
  </si>
  <si>
    <t>23-09-2008</t>
  </si>
  <si>
    <t>PHANPACAI SUWAN</t>
  </si>
  <si>
    <t>SIDOMUKTI 1</t>
  </si>
  <si>
    <t>ANTAR BRAK</t>
  </si>
  <si>
    <t>LIMAU</t>
  </si>
  <si>
    <t>TANGGAMUS</t>
  </si>
  <si>
    <t>LAMPUNG</t>
  </si>
  <si>
    <t>SMP ISLAM TERPADU INSAN MULIA BOARD</t>
  </si>
  <si>
    <t>89504030906</t>
  </si>
  <si>
    <t>MSB24-00-033</t>
  </si>
  <si>
    <t>MUHAMMAD FIKRI NAUFAL NADHIF</t>
  </si>
  <si>
    <t>2008-01-18</t>
  </si>
  <si>
    <t>YANTO</t>
  </si>
  <si>
    <t>JATI</t>
  </si>
  <si>
    <t>WONOKROMO</t>
  </si>
  <si>
    <t>PLERET</t>
  </si>
  <si>
    <t>SMP N 2 PLERET</t>
  </si>
  <si>
    <t>85740390657</t>
  </si>
  <si>
    <t>5-06-2008</t>
  </si>
  <si>
    <t>ISRAHADI</t>
  </si>
  <si>
    <t>SMP MUHAMMADIYAH BANTUL</t>
  </si>
  <si>
    <t>89617780005</t>
  </si>
  <si>
    <t>3-12-2008</t>
  </si>
  <si>
    <t>HANAFI HIKMAWAN</t>
  </si>
  <si>
    <t>WONOKROMO II</t>
  </si>
  <si>
    <t>SMP N 1 PLERET</t>
  </si>
  <si>
    <t>81804110331</t>
  </si>
  <si>
    <t>25-06-2008</t>
  </si>
  <si>
    <t>ENDRIYANI</t>
  </si>
  <si>
    <t>SUMURAN</t>
  </si>
  <si>
    <t>PALBAPANG</t>
  </si>
  <si>
    <t>81904022467</t>
  </si>
  <si>
    <t>MSB24-00-037</t>
  </si>
  <si>
    <t>FEBRIAN NUR SETIAWAN</t>
  </si>
  <si>
    <t>5-02-2009</t>
  </si>
  <si>
    <t>HARTONO</t>
  </si>
  <si>
    <t>PROKETEN</t>
  </si>
  <si>
    <t>83873109719</t>
  </si>
  <si>
    <t>29-01-2009</t>
  </si>
  <si>
    <t>UKHIE</t>
  </si>
  <si>
    <t>JOJORAN WETAN</t>
  </si>
  <si>
    <t>TRIWIDADI</t>
  </si>
  <si>
    <t>PAJANGAN</t>
  </si>
  <si>
    <t>SMP N 2 PAJANGAN</t>
  </si>
  <si>
    <t>89674228212</t>
  </si>
  <si>
    <t>27-03-2007</t>
  </si>
  <si>
    <t>EKO MARYANTO</t>
  </si>
  <si>
    <t>SMP N 2 SRANDAKAN</t>
  </si>
  <si>
    <t>89510339989</t>
  </si>
  <si>
    <t>23-01-2009</t>
  </si>
  <si>
    <t>SUGITO</t>
  </si>
  <si>
    <t>JUWONO</t>
  </si>
  <si>
    <t>TRIHARJO</t>
  </si>
  <si>
    <t>MTS N 4 BANTUL</t>
  </si>
  <si>
    <t>85229831578</t>
  </si>
  <si>
    <t>15-06-2009</t>
  </si>
  <si>
    <t>SARINDI</t>
  </si>
  <si>
    <t>GRUDO</t>
  </si>
  <si>
    <t>81586877477</t>
  </si>
  <si>
    <t>14-12-2008</t>
  </si>
  <si>
    <t>SUBARJONO</t>
  </si>
  <si>
    <t>BUNGAS</t>
  </si>
  <si>
    <t>SUMBERAGUNG</t>
  </si>
  <si>
    <t>SMP N 2 JETIS</t>
  </si>
  <si>
    <t>089672221636</t>
  </si>
  <si>
    <t>9-05-2009</t>
  </si>
  <si>
    <t>SUNARYO</t>
  </si>
  <si>
    <t>89653418663</t>
  </si>
  <si>
    <t>19-03-2008</t>
  </si>
  <si>
    <t>ISMANTO</t>
  </si>
  <si>
    <t>5-12-2008</t>
  </si>
  <si>
    <t>SURONTO</t>
  </si>
  <si>
    <t>GODEGAN</t>
  </si>
  <si>
    <t>8818545289</t>
  </si>
  <si>
    <t>30-07-2008</t>
  </si>
  <si>
    <t>WAKIJO</t>
  </si>
  <si>
    <t>87765850058</t>
  </si>
  <si>
    <t>METRO</t>
  </si>
  <si>
    <t>8-10-2008</t>
  </si>
  <si>
    <t>RUSDI KURNIAWAN</t>
  </si>
  <si>
    <t>KIYARAN</t>
  </si>
  <si>
    <t>81326218861</t>
  </si>
  <si>
    <t>28-10-2008</t>
  </si>
  <si>
    <t>BARINI</t>
  </si>
  <si>
    <t>MASAHAN</t>
  </si>
  <si>
    <t>7-10-2008</t>
  </si>
  <si>
    <t>SUDARMUJI</t>
  </si>
  <si>
    <t>GENTING</t>
  </si>
  <si>
    <t>TIRTOMULYO</t>
  </si>
  <si>
    <t>KRETEK</t>
  </si>
  <si>
    <t>SMP N 1 KRETEK</t>
  </si>
  <si>
    <t>83154541842</t>
  </si>
  <si>
    <t>26-07-2008</t>
  </si>
  <si>
    <t>SAGIYA</t>
  </si>
  <si>
    <t>SMP N 2 BAMBANGLIPURO</t>
  </si>
  <si>
    <t>88220293064</t>
  </si>
  <si>
    <t>SUTARTO</t>
  </si>
  <si>
    <t>BURUHAN</t>
  </si>
  <si>
    <t>TIRTOSARI</t>
  </si>
  <si>
    <t>SMP MUHAMMADIYAH KRETEK</t>
  </si>
  <si>
    <t>GUNUNGKIDUL</t>
  </si>
  <si>
    <t>9-10-2008</t>
  </si>
  <si>
    <t>FAUZAN</t>
  </si>
  <si>
    <t>KORIPAN</t>
  </si>
  <si>
    <t>83863538975</t>
  </si>
  <si>
    <t>MSB24-00-053</t>
  </si>
  <si>
    <t>RIFQI BUSTAN ARIFIN</t>
  </si>
  <si>
    <t>2008-03-03</t>
  </si>
  <si>
    <t>TATIK KOMARYATI</t>
  </si>
  <si>
    <t>81952015585</t>
  </si>
  <si>
    <t>25-05-2008</t>
  </si>
  <si>
    <t>INDARTO</t>
  </si>
  <si>
    <t>083895369043/0859188354152</t>
  </si>
  <si>
    <t>MSB24-00-055</t>
  </si>
  <si>
    <t>RAFKA BRILLIANT ALVARO PUTRA HERMANSYAH</t>
  </si>
  <si>
    <t>YOGYAKARTA</t>
  </si>
  <si>
    <t>1-07-2009</t>
  </si>
  <si>
    <t>HERMANSYAH</t>
  </si>
  <si>
    <t>POLRI</t>
  </si>
  <si>
    <t>JOMBLANG</t>
  </si>
  <si>
    <t>87719751800</t>
  </si>
  <si>
    <t>22-04-2009</t>
  </si>
  <si>
    <t>IMAM ZAMRONI</t>
  </si>
  <si>
    <t>8995896420</t>
  </si>
  <si>
    <t>14-05-2009</t>
  </si>
  <si>
    <t>SUMIDI</t>
  </si>
  <si>
    <t>NOGOSARI</t>
  </si>
  <si>
    <t>SMP N 1 PANDAK</t>
  </si>
  <si>
    <t>81215680049</t>
  </si>
  <si>
    <t>ENDANG WINARTI</t>
  </si>
  <si>
    <t>JOPAITAN</t>
  </si>
  <si>
    <t>SERUT</t>
  </si>
  <si>
    <t>SMP MUHAMMADIYAH 2 BAMBANGLIPURO</t>
  </si>
  <si>
    <t>08812469482</t>
  </si>
  <si>
    <t>11-05-2008</t>
  </si>
  <si>
    <t>SUPARDI</t>
  </si>
  <si>
    <t>82134360877</t>
  </si>
  <si>
    <t>1-07-2008</t>
  </si>
  <si>
    <t>INFATOLLAH</t>
  </si>
  <si>
    <t>DAGEN</t>
  </si>
  <si>
    <t>RINGINHARJO</t>
  </si>
  <si>
    <t>81903919306</t>
  </si>
  <si>
    <t>2-02-2008</t>
  </si>
  <si>
    <t>ANGGA INDRIAWAN P</t>
  </si>
  <si>
    <t>KADISORO</t>
  </si>
  <si>
    <t>SMP N 3 PANDAK</t>
  </si>
  <si>
    <t>85228636179</t>
  </si>
  <si>
    <t>25-06-2007</t>
  </si>
  <si>
    <t>MUKTI</t>
  </si>
  <si>
    <t>IROYUDAN</t>
  </si>
  <si>
    <t>GUWOSARI</t>
  </si>
  <si>
    <t>89529990406</t>
  </si>
  <si>
    <t>7-07-2007</t>
  </si>
  <si>
    <t>NOR RUCHMAN</t>
  </si>
  <si>
    <t>DERESAN</t>
  </si>
  <si>
    <t>10-05-2009</t>
  </si>
  <si>
    <t>AGUS SETIAWAN</t>
  </si>
  <si>
    <t>IRT</t>
  </si>
  <si>
    <t>BAYURAN</t>
  </si>
  <si>
    <t>83105113905</t>
  </si>
  <si>
    <t>8-07-2008</t>
  </si>
  <si>
    <t>ANJAR WIDIYANTO</t>
  </si>
  <si>
    <t>DALEMAN</t>
  </si>
  <si>
    <t>GADINGHARJO</t>
  </si>
  <si>
    <t>87839586585</t>
  </si>
  <si>
    <t>2-11-2008</t>
  </si>
  <si>
    <t>SUJIMAN</t>
  </si>
  <si>
    <t>TIRTO</t>
  </si>
  <si>
    <t>BANGUNJIWO</t>
  </si>
  <si>
    <t>SMP N 4 SEWON</t>
  </si>
  <si>
    <t>85848616702</t>
  </si>
  <si>
    <t>MAJALENGKA</t>
  </si>
  <si>
    <t>IYUS HERYANA</t>
  </si>
  <si>
    <t>8992529891</t>
  </si>
  <si>
    <t>14-06-2008</t>
  </si>
  <si>
    <t>RIDAWALA</t>
  </si>
  <si>
    <t>SMP N 2 BANTUL</t>
  </si>
  <si>
    <t>81802787093</t>
  </si>
  <si>
    <t>6-12-2008</t>
  </si>
  <si>
    <t>HARNA</t>
  </si>
  <si>
    <t>SEROPAN III</t>
  </si>
  <si>
    <t>MUNTUK</t>
  </si>
  <si>
    <t>DLINGO</t>
  </si>
  <si>
    <t>087839616444</t>
  </si>
  <si>
    <t>BEKASI</t>
  </si>
  <si>
    <t>29-12-2008</t>
  </si>
  <si>
    <t>DARMANTO</t>
  </si>
  <si>
    <t>JELAPAN</t>
  </si>
  <si>
    <t>81215527532</t>
  </si>
  <si>
    <t>15-05-2008</t>
  </si>
  <si>
    <t>LAMIJO</t>
  </si>
  <si>
    <t>PETE</t>
  </si>
  <si>
    <t>83147854731</t>
  </si>
  <si>
    <t>2-07-2009</t>
  </si>
  <si>
    <t>SUNTARA</t>
  </si>
  <si>
    <t>TEGALSARI</t>
  </si>
  <si>
    <t>81328154090</t>
  </si>
  <si>
    <t>11-08-2008</t>
  </si>
  <si>
    <t>SAMINI</t>
  </si>
  <si>
    <t>JODOG</t>
  </si>
  <si>
    <t>85641537634</t>
  </si>
  <si>
    <t>4-11-2008</t>
  </si>
  <si>
    <t>KELIK SUHARI</t>
  </si>
  <si>
    <t>GESIKAN III</t>
  </si>
  <si>
    <t>85800727642</t>
  </si>
  <si>
    <t>22-09-2008</t>
  </si>
  <si>
    <t>DARIYANTO</t>
  </si>
  <si>
    <t>8886490998</t>
  </si>
  <si>
    <t>14-07-2008</t>
  </si>
  <si>
    <t>NUROCHMAN</t>
  </si>
  <si>
    <t>85712974629</t>
  </si>
  <si>
    <t>19-10-2008</t>
  </si>
  <si>
    <t>PANGGUNG SANTOSO</t>
  </si>
  <si>
    <t>NGENTAK</t>
  </si>
  <si>
    <t>88233794356</t>
  </si>
  <si>
    <t>HUMAM</t>
  </si>
  <si>
    <t>GESIKAN</t>
  </si>
  <si>
    <t>89674670535</t>
  </si>
  <si>
    <t>21-04-2009</t>
  </si>
  <si>
    <t>ANDREAN</t>
  </si>
  <si>
    <t>81804064081</t>
  </si>
  <si>
    <t>21-06-2008</t>
  </si>
  <si>
    <t>DIAN RAHMADI</t>
  </si>
  <si>
    <t>0882006351779/0882006959834</t>
  </si>
  <si>
    <t>29-11-2008</t>
  </si>
  <si>
    <t>DWI ARI SANJAYA</t>
  </si>
  <si>
    <t>SLANGGEN</t>
  </si>
  <si>
    <t>85100584225</t>
  </si>
  <si>
    <t>20-03-2009</t>
  </si>
  <si>
    <t>NGADIYONO</t>
  </si>
  <si>
    <t>NGAMBAH</t>
  </si>
  <si>
    <t>88239623063</t>
  </si>
  <si>
    <t>14-08-2008</t>
  </si>
  <si>
    <t>RIPTO LANGGENG</t>
  </si>
  <si>
    <t>BERGAN</t>
  </si>
  <si>
    <t>8882647477</t>
  </si>
  <si>
    <t>8-03-2009</t>
  </si>
  <si>
    <t>SUHARTA</t>
  </si>
  <si>
    <t>PLUMBUNGAN</t>
  </si>
  <si>
    <t>85828397864</t>
  </si>
  <si>
    <t>21-01-2008</t>
  </si>
  <si>
    <t>TUKILAH</t>
  </si>
  <si>
    <t>TULASAN</t>
  </si>
  <si>
    <t>87762394607</t>
  </si>
  <si>
    <t>SLEMAN</t>
  </si>
  <si>
    <t>18-01-2009</t>
  </si>
  <si>
    <t>DENY FERDIYANTO</t>
  </si>
  <si>
    <t>BATANG GEDE</t>
  </si>
  <si>
    <t>TAMBAKREJO</t>
  </si>
  <si>
    <t>TEMPEL</t>
  </si>
  <si>
    <t>83105002308</t>
  </si>
  <si>
    <t>PAIJAN</t>
  </si>
  <si>
    <t>CANGKRING</t>
  </si>
  <si>
    <t>SMP MUHAMMADIYAH JETIS</t>
  </si>
  <si>
    <t>85867789386</t>
  </si>
  <si>
    <t>30-03-2008</t>
  </si>
  <si>
    <t>PURWONO</t>
  </si>
  <si>
    <t>KUROBOYO</t>
  </si>
  <si>
    <t>0895414314755</t>
  </si>
  <si>
    <t>23-02-2008</t>
  </si>
  <si>
    <t>PURWANTO</t>
  </si>
  <si>
    <t>CELEP</t>
  </si>
  <si>
    <t>81931726444</t>
  </si>
  <si>
    <t>RAJABASA BARU</t>
  </si>
  <si>
    <t>4-05-2009</t>
  </si>
  <si>
    <t>PURNOMO</t>
  </si>
  <si>
    <t>82134922083</t>
  </si>
  <si>
    <t>10-06-2008</t>
  </si>
  <si>
    <t>ROHADI</t>
  </si>
  <si>
    <t>CENGKIRAN</t>
  </si>
  <si>
    <t>89652968104</t>
  </si>
  <si>
    <t>MSB24-00-092</t>
  </si>
  <si>
    <t>MUHAMMAD AINUL YAQIN</t>
  </si>
  <si>
    <t>RANTAU INDAH</t>
  </si>
  <si>
    <t>2009-03-18</t>
  </si>
  <si>
    <t>RASMONO</t>
  </si>
  <si>
    <t>RANTAU INDAH DENDANG</t>
  </si>
  <si>
    <t>DENDANG</t>
  </si>
  <si>
    <t>TANJUNG JABUNG TIMUR</t>
  </si>
  <si>
    <t>JAMBI</t>
  </si>
  <si>
    <t>MTS AL-MAHALI</t>
  </si>
  <si>
    <t>082232244455/083844300812</t>
  </si>
  <si>
    <t>7-08-2008</t>
  </si>
  <si>
    <t>SUROJO</t>
  </si>
  <si>
    <t>85877230286</t>
  </si>
  <si>
    <t>12-03-2009</t>
  </si>
  <si>
    <t>KELIK SUMARYANTO</t>
  </si>
  <si>
    <t>DUKUNAN</t>
  </si>
  <si>
    <t>85801125968</t>
  </si>
  <si>
    <t>SURYADI</t>
  </si>
  <si>
    <t>PANGKAH</t>
  </si>
  <si>
    <t>SMP N 1 JETIS</t>
  </si>
  <si>
    <t>81392037934</t>
  </si>
  <si>
    <t>PRASETYO PAMBUDI</t>
  </si>
  <si>
    <t>ROGOITAN</t>
  </si>
  <si>
    <t>PENDOWOHARJO</t>
  </si>
  <si>
    <t>85695347393</t>
  </si>
  <si>
    <t>12-09-2008</t>
  </si>
  <si>
    <t>TRIYADI</t>
  </si>
  <si>
    <t>83144799150</t>
  </si>
  <si>
    <t>18-12-2008</t>
  </si>
  <si>
    <t>SUPRIADI</t>
  </si>
  <si>
    <t>SIYANGAN</t>
  </si>
  <si>
    <t>MTS AL-FALAAH</t>
  </si>
  <si>
    <t>82226676320</t>
  </si>
  <si>
    <t>MSB24-00-099</t>
  </si>
  <si>
    <t>TASYA SEPTIANI TUGIRAN</t>
  </si>
  <si>
    <t>JAKARTA</t>
  </si>
  <si>
    <t>22-09-2006</t>
  </si>
  <si>
    <t>P</t>
  </si>
  <si>
    <t>TUGIRAN</t>
  </si>
  <si>
    <t>PENGKOL</t>
  </si>
  <si>
    <t>GULUREJO</t>
  </si>
  <si>
    <t>LENDAH</t>
  </si>
  <si>
    <t>KULON PROGO</t>
  </si>
  <si>
    <t>SMP N 2 LENDAH</t>
  </si>
  <si>
    <t>085624106469</t>
  </si>
  <si>
    <t>MSB24-00-100</t>
  </si>
  <si>
    <t>AZIZAH NURINDAH MAYSAROH</t>
  </si>
  <si>
    <t>PONIJAN</t>
  </si>
  <si>
    <t>MENDIRO</t>
  </si>
  <si>
    <t>81229964515</t>
  </si>
  <si>
    <t>7-01-2009</t>
  </si>
  <si>
    <t>HARWANTA</t>
  </si>
  <si>
    <t>BANGI</t>
  </si>
  <si>
    <t>SMP N 1 SEWON</t>
  </si>
  <si>
    <t>87838556067</t>
  </si>
  <si>
    <t>2-10-2008</t>
  </si>
  <si>
    <t>WAGIYANTO</t>
  </si>
  <si>
    <t>BOTO</t>
  </si>
  <si>
    <t>PATALAN</t>
  </si>
  <si>
    <t>819614889</t>
  </si>
  <si>
    <t>4-12-2008</t>
  </si>
  <si>
    <t>MUJI SANTOSO</t>
  </si>
  <si>
    <t>JL. CIMANDIRI RAYA N</t>
  </si>
  <si>
    <t>MLATIHARJO</t>
  </si>
  <si>
    <t>SEMARANG TIMUR</t>
  </si>
  <si>
    <t>JAWA TENGAH</t>
  </si>
  <si>
    <t>SMP MUHAMMADIYAH SEWON</t>
  </si>
  <si>
    <t>081226512520/0895323091560</t>
  </si>
  <si>
    <t>5-09-2008</t>
  </si>
  <si>
    <t>SURAJI / AMIN YUNI ASTUTI</t>
  </si>
  <si>
    <t>JAMBU</t>
  </si>
  <si>
    <t>GIRICAHYO</t>
  </si>
  <si>
    <t>PURWOSARI</t>
  </si>
  <si>
    <t>SMP N 1 PURWOSARI</t>
  </si>
  <si>
    <t>083840508997</t>
  </si>
  <si>
    <t>16-04-2008</t>
  </si>
  <si>
    <t>HADI MARWANTA</t>
  </si>
  <si>
    <t>KLEGEN</t>
  </si>
  <si>
    <t>082221149233</t>
  </si>
  <si>
    <t>-</t>
  </si>
  <si>
    <t>6-04-2009</t>
  </si>
  <si>
    <t>WALUYO ATMOJO</t>
  </si>
  <si>
    <t>085643433205</t>
  </si>
  <si>
    <t>30-12-2008</t>
  </si>
  <si>
    <t>SLAMET SUPRIYADI / PAMUNGKAS WIJAYANTI</t>
  </si>
  <si>
    <t>GUNTURAN</t>
  </si>
  <si>
    <t>SMP UNGGULAN AISYIYAH</t>
  </si>
  <si>
    <t>081548606501</t>
  </si>
  <si>
    <t>085640834965</t>
  </si>
  <si>
    <t>26-04-2009</t>
  </si>
  <si>
    <t>ELAN SETIAWAN / YULIANTI</t>
  </si>
  <si>
    <t>KORIPAN I</t>
  </si>
  <si>
    <t>SMP N 1 IMOGIRI</t>
  </si>
  <si>
    <t>08170428657</t>
  </si>
  <si>
    <t>081393796653</t>
  </si>
  <si>
    <t>10-01-2009</t>
  </si>
  <si>
    <t>NURYATI</t>
  </si>
  <si>
    <t>SITEN</t>
  </si>
  <si>
    <t>083872864739</t>
  </si>
  <si>
    <t>13-10-2008</t>
  </si>
  <si>
    <t>KATIMAN</t>
  </si>
  <si>
    <t>KEPUH WETAN</t>
  </si>
  <si>
    <t>WIROKERTEN</t>
  </si>
  <si>
    <t>BANGUNTAPAN</t>
  </si>
  <si>
    <t>SMP MUHAMMADIYAH PLERET</t>
  </si>
  <si>
    <t>0895710077711</t>
  </si>
  <si>
    <t>17-02-2009</t>
  </si>
  <si>
    <t>ISMUNANDAR</t>
  </si>
  <si>
    <t>NENGAHAN</t>
  </si>
  <si>
    <t>088216647137</t>
  </si>
  <si>
    <t>21-12-2008</t>
  </si>
  <si>
    <t>ROBI NURDIANSAH</t>
  </si>
  <si>
    <t>SUDIMORO</t>
  </si>
  <si>
    <t>0895339926692</t>
  </si>
  <si>
    <t>SUWANTO</t>
  </si>
  <si>
    <t>GENDENG</t>
  </si>
  <si>
    <t>MTS MUHAMMADIYAH KASIHAN</t>
  </si>
  <si>
    <t>081804388666</t>
  </si>
  <si>
    <t>23-11-2008</t>
  </si>
  <si>
    <t>SUGENG ROHMADI</t>
  </si>
  <si>
    <t>088226891774</t>
  </si>
  <si>
    <t>7-09-2008</t>
  </si>
  <si>
    <t>BUNTAS WARSITO</t>
  </si>
  <si>
    <t>NYEMENGAN</t>
  </si>
  <si>
    <t>TIRTONIRMOLO</t>
  </si>
  <si>
    <t>082138255511</t>
  </si>
  <si>
    <t>1-09-2008</t>
  </si>
  <si>
    <t>KATIMAH</t>
  </si>
  <si>
    <t>085876049524</t>
  </si>
  <si>
    <t>MSB24-00-117</t>
  </si>
  <si>
    <t>HAZKA RADITYA PERMANA</t>
  </si>
  <si>
    <t>10-10-2008</t>
  </si>
  <si>
    <t>RETNO WIDIASTUTI</t>
  </si>
  <si>
    <t>GUMUK</t>
  </si>
  <si>
    <t>PKPPS HARUN ASY-SYAFI'I</t>
  </si>
  <si>
    <t>081226460265</t>
  </si>
  <si>
    <t>26-10-2009</t>
  </si>
  <si>
    <t>TARYANA / LANJAR LESTARI</t>
  </si>
  <si>
    <t>087715608232</t>
  </si>
  <si>
    <t>MSB24-00-119</t>
  </si>
  <si>
    <t>RENNO BAGUS WICAKSONO</t>
  </si>
  <si>
    <t>2-03-2009</t>
  </si>
  <si>
    <t>BUDI SARWONO</t>
  </si>
  <si>
    <t>KWEDEN</t>
  </si>
  <si>
    <t>0895366035848</t>
  </si>
  <si>
    <t>081215693766</t>
  </si>
  <si>
    <t>19-08-2007</t>
  </si>
  <si>
    <t>KARANGJATI</t>
  </si>
  <si>
    <t>TAMANTIRTO</t>
  </si>
  <si>
    <t>0895423045910</t>
  </si>
  <si>
    <t>29-07-2008</t>
  </si>
  <si>
    <t>SONI SANJAYA / ANDRI KURNIYANTI</t>
  </si>
  <si>
    <t>PASUTAN</t>
  </si>
  <si>
    <t>SMP PATRIA BANTUL</t>
  </si>
  <si>
    <t>083840373387</t>
  </si>
  <si>
    <t>17-09-2007</t>
  </si>
  <si>
    <t>SAFRIDONI/WIJI LESTARI</t>
  </si>
  <si>
    <t>POTROBAYAN</t>
  </si>
  <si>
    <t>SMP Baitul Quran Cendekia</t>
  </si>
  <si>
    <t>082137188517</t>
  </si>
  <si>
    <t>28-12-2008</t>
  </si>
  <si>
    <t>WARSIDI</t>
  </si>
  <si>
    <t>03</t>
  </si>
  <si>
    <t>081779215161</t>
  </si>
  <si>
    <t>27-04-2009</t>
  </si>
  <si>
    <t>083133501959</t>
  </si>
  <si>
    <t>17-11-2008</t>
  </si>
  <si>
    <t>FITRIANA</t>
  </si>
  <si>
    <t>IBU RUMAH TANGGA</t>
  </si>
  <si>
    <t>BANTENGAN</t>
  </si>
  <si>
    <t>BROSOT</t>
  </si>
  <si>
    <t>GALUR</t>
  </si>
  <si>
    <t>SMP N 2 GALUR</t>
  </si>
  <si>
    <t>088216517217</t>
  </si>
  <si>
    <t>088215456640</t>
  </si>
  <si>
    <t>3-04-2008</t>
  </si>
  <si>
    <t>HERI SUBAGIYO KISWANTORO</t>
  </si>
  <si>
    <t>081546583209</t>
  </si>
  <si>
    <t>085869703713</t>
  </si>
  <si>
    <t>17-03-2009</t>
  </si>
  <si>
    <t>SEPTIANA DEWI</t>
  </si>
  <si>
    <t>PNS</t>
  </si>
  <si>
    <t>BEJEN</t>
  </si>
  <si>
    <t>04</t>
  </si>
  <si>
    <t>08112635121</t>
  </si>
  <si>
    <t>082220944825</t>
  </si>
  <si>
    <t>NGAWI</t>
  </si>
  <si>
    <t>5-07-2009</t>
  </si>
  <si>
    <t>AGUNG WIDODO</t>
  </si>
  <si>
    <t>087713415888</t>
  </si>
  <si>
    <t>083103420008</t>
  </si>
  <si>
    <t>28-06-2009</t>
  </si>
  <si>
    <t>TRI UNTORO</t>
  </si>
  <si>
    <t>KRAJAN</t>
  </si>
  <si>
    <t>083102859732</t>
  </si>
  <si>
    <t>25-11-2008</t>
  </si>
  <si>
    <t>KUSDIHARJO</t>
  </si>
  <si>
    <t>NGLEBAK</t>
  </si>
  <si>
    <t>082327771817</t>
  </si>
  <si>
    <t>3-03-2009</t>
  </si>
  <si>
    <t>MARIYANI</t>
  </si>
  <si>
    <t>082135305260</t>
  </si>
  <si>
    <t>23-03-2009</t>
  </si>
  <si>
    <t>ASRI ROHMANI</t>
  </si>
  <si>
    <t>JEDIGAN</t>
  </si>
  <si>
    <t>088232301249</t>
  </si>
  <si>
    <t>MSB24-01-133</t>
  </si>
  <si>
    <t>MIKO AHMAD NIRWANSYAH</t>
  </si>
  <si>
    <t>11/03/2009</t>
  </si>
  <si>
    <t>BAYU SAPUTRA</t>
  </si>
  <si>
    <t>SANGKEH</t>
  </si>
  <si>
    <t>085759980271</t>
  </si>
  <si>
    <t>085640442905</t>
  </si>
  <si>
    <t>28-09-2008</t>
  </si>
  <si>
    <t>SUSI SUHARYATI</t>
  </si>
  <si>
    <t>JALAKAN</t>
  </si>
  <si>
    <t>0895402627804</t>
  </si>
  <si>
    <t>10-09-2008</t>
  </si>
  <si>
    <t>ARIYANTO</t>
  </si>
  <si>
    <t>SMP N 5 PANGGANG</t>
  </si>
  <si>
    <t>081311156963</t>
  </si>
  <si>
    <t>MSB24-01-136</t>
  </si>
  <si>
    <t>FEBRI ARDIAN SAPUTRA</t>
  </si>
  <si>
    <t>21/02/2008</t>
  </si>
  <si>
    <t>SUKIRMAN</t>
  </si>
  <si>
    <t>KAYEN</t>
  </si>
  <si>
    <t>SENDANGSARI</t>
  </si>
  <si>
    <t>SMP N 3 PAJANGAN</t>
  </si>
  <si>
    <t>088980642199</t>
  </si>
  <si>
    <t>083103691189</t>
  </si>
  <si>
    <t>JAKARTA SELATAN</t>
  </si>
  <si>
    <t>27-07-2008</t>
  </si>
  <si>
    <t>YULI ASTUTI</t>
  </si>
  <si>
    <t>MANDING KIDUL</t>
  </si>
  <si>
    <t>085727673286</t>
  </si>
  <si>
    <t>MSB24-01-138</t>
  </si>
  <si>
    <t>FAIZ RIZQI QURUNUL BAHRI</t>
  </si>
  <si>
    <t>29/01/2009</t>
  </si>
  <si>
    <t>NUH ZAIDAN</t>
  </si>
  <si>
    <t>BENDO</t>
  </si>
  <si>
    <t>WUKIRSARI</t>
  </si>
  <si>
    <t>IMOGIRI</t>
  </si>
  <si>
    <t>085715288313</t>
  </si>
  <si>
    <t>085869251701</t>
  </si>
  <si>
    <t>29-04-2008</t>
  </si>
  <si>
    <t>MASJONI</t>
  </si>
  <si>
    <t>PLURUGAN</t>
  </si>
  <si>
    <t>085214908577</t>
  </si>
  <si>
    <t>13-06-2008</t>
  </si>
  <si>
    <t>SUMARDIYONO</t>
  </si>
  <si>
    <t>085820798697</t>
  </si>
  <si>
    <t>18-09-2008</t>
  </si>
  <si>
    <t>SUSANTO</t>
  </si>
  <si>
    <t>TARUNGAN</t>
  </si>
  <si>
    <t>089675721155</t>
  </si>
  <si>
    <t>12-12-2008</t>
  </si>
  <si>
    <t>SUPRIYONO</t>
  </si>
  <si>
    <t>BANARAN</t>
  </si>
  <si>
    <t>081228492952</t>
  </si>
  <si>
    <t>27-02-2009</t>
  </si>
  <si>
    <t>SURAJIMAN</t>
  </si>
  <si>
    <t>CODE</t>
  </si>
  <si>
    <t>089517292438</t>
  </si>
  <si>
    <t>8-02-2009</t>
  </si>
  <si>
    <t>ROBI KISWANTO</t>
  </si>
  <si>
    <t>087839018033</t>
  </si>
  <si>
    <t>ASIH MULYANI</t>
  </si>
  <si>
    <t>DAGAN</t>
  </si>
  <si>
    <t>SIDOMULYO</t>
  </si>
  <si>
    <t>08175428592</t>
  </si>
  <si>
    <t>30-01-2008</t>
  </si>
  <si>
    <t>SARJITO</t>
  </si>
  <si>
    <t>083172149564</t>
  </si>
  <si>
    <t>16-01-2009</t>
  </si>
  <si>
    <t>SUGENG RAHARJO</t>
  </si>
  <si>
    <t>DONGKELAN</t>
  </si>
  <si>
    <t>02</t>
  </si>
  <si>
    <t>_</t>
  </si>
  <si>
    <t>PANGGUNGHARJO</t>
  </si>
  <si>
    <t>087836428929</t>
  </si>
  <si>
    <t>085964420899</t>
  </si>
  <si>
    <t>15-10-2006</t>
  </si>
  <si>
    <t>KELIK SANJAYA</t>
  </si>
  <si>
    <t>LEMAHDADI</t>
  </si>
  <si>
    <t>083836774440</t>
  </si>
  <si>
    <t>SUHARJANA</t>
  </si>
  <si>
    <t>PERANGKAT DESA</t>
  </si>
  <si>
    <t>BONGOS II</t>
  </si>
  <si>
    <t>085102518281</t>
  </si>
  <si>
    <t>23-04-2009</t>
  </si>
  <si>
    <t>NURDATIN</t>
  </si>
  <si>
    <t>085236925647</t>
  </si>
  <si>
    <t>MSB24-01-151</t>
  </si>
  <si>
    <t>'AFWAN ARMANDO</t>
  </si>
  <si>
    <t>ALI NURDIN</t>
  </si>
  <si>
    <t>COLO</t>
  </si>
  <si>
    <t>DONOTIRTO</t>
  </si>
  <si>
    <t>089669601229</t>
  </si>
  <si>
    <t>19-01-2009</t>
  </si>
  <si>
    <t>YULIANTO</t>
  </si>
  <si>
    <t>BANDUNG</t>
  </si>
  <si>
    <t>082136177831</t>
  </si>
  <si>
    <t>15-08-2008</t>
  </si>
  <si>
    <t>JUMINTO</t>
  </si>
  <si>
    <t>087836168088</t>
  </si>
  <si>
    <t>MSB24-01-154</t>
  </si>
  <si>
    <t>ADYANDRA RESTU SANUBARI</t>
  </si>
  <si>
    <t>1/01/2009</t>
  </si>
  <si>
    <t>SUMARWANTO</t>
  </si>
  <si>
    <t>PARANGTRITIS</t>
  </si>
  <si>
    <t>SMP N 2 KRETEK</t>
  </si>
  <si>
    <t>085740005594</t>
  </si>
  <si>
    <t>13-01-2009</t>
  </si>
  <si>
    <t>MOHAMMAD SIDIK</t>
  </si>
  <si>
    <t>SINDET</t>
  </si>
  <si>
    <t>SMP IT SALSABILA</t>
  </si>
  <si>
    <t>081317711909</t>
  </si>
  <si>
    <t>26-08-2009</t>
  </si>
  <si>
    <t>HARTANA</t>
  </si>
  <si>
    <t>GOWOKAN</t>
  </si>
  <si>
    <t>08996625504</t>
  </si>
  <si>
    <t>089650434180</t>
  </si>
  <si>
    <t>21-01-2009</t>
  </si>
  <si>
    <t>SUYADI</t>
  </si>
  <si>
    <t>GERJEN</t>
  </si>
  <si>
    <t>SIDOREJO</t>
  </si>
  <si>
    <t>083856437334</t>
  </si>
  <si>
    <t>18-01-2008</t>
  </si>
  <si>
    <t>WAGIMAN</t>
  </si>
  <si>
    <t>CABEYAN</t>
  </si>
  <si>
    <t>085842094320</t>
  </si>
  <si>
    <t>MSB24-01-159</t>
  </si>
  <si>
    <t>BISMA LINGGA PRATAMA</t>
  </si>
  <si>
    <t>26-11-2008</t>
  </si>
  <si>
    <t>RETNO SULISTIYANI</t>
  </si>
  <si>
    <t>PRANCAK GLONDONG</t>
  </si>
  <si>
    <t>SMP N 2 SEWON</t>
  </si>
  <si>
    <t>081227271986</t>
  </si>
  <si>
    <t>16-04-2009</t>
  </si>
  <si>
    <t>EMA SEPTIANA</t>
  </si>
  <si>
    <t>085600473224</t>
  </si>
  <si>
    <t>WALIYUL AMRI</t>
  </si>
  <si>
    <t>MELIKAN LOR</t>
  </si>
  <si>
    <t>089606792636</t>
  </si>
  <si>
    <t>27-08-2007</t>
  </si>
  <si>
    <t>SUPRIYADI</t>
  </si>
  <si>
    <t>GEMAHAN</t>
  </si>
  <si>
    <t>SMP IT ALAM INSAN MULIA</t>
  </si>
  <si>
    <t>082137633926</t>
  </si>
  <si>
    <t>MSB24-01-163</t>
  </si>
  <si>
    <t>HASAN ABDURRAHMAN</t>
  </si>
  <si>
    <t>19-07-2008</t>
  </si>
  <si>
    <t>TONI SUNARKO</t>
  </si>
  <si>
    <t>BASEN KG III/87</t>
  </si>
  <si>
    <t>PURBAYANG</t>
  </si>
  <si>
    <t>KOTAGEDE</t>
  </si>
  <si>
    <t>KOTA YOGYAKARTA</t>
  </si>
  <si>
    <t>089652301147</t>
  </si>
  <si>
    <t>27-11-2008</t>
  </si>
  <si>
    <t>RISWANTI</t>
  </si>
  <si>
    <t>KERSAN</t>
  </si>
  <si>
    <t>089517227525</t>
  </si>
  <si>
    <t>1212121</t>
  </si>
  <si>
    <t>SURABAYA</t>
  </si>
  <si>
    <t>19-06-2008</t>
  </si>
  <si>
    <t>BAKDO HADI MULYO</t>
  </si>
  <si>
    <t>JL. GAYUNGAN 03-A/14</t>
  </si>
  <si>
    <t>GAYUNGAN</t>
  </si>
  <si>
    <t>KOTA SURABAYA</t>
  </si>
  <si>
    <t>JAWA TIMUR</t>
  </si>
  <si>
    <t>SMP N 36 SURABAYA</t>
  </si>
  <si>
    <t>0817460511/089674396550</t>
  </si>
  <si>
    <t>27-09-2008</t>
  </si>
  <si>
    <t>TRI MUJIYONO</t>
  </si>
  <si>
    <t>KALIPAKIS</t>
  </si>
  <si>
    <t>SMP MATARAM</t>
  </si>
  <si>
    <t>08986672185</t>
  </si>
  <si>
    <t>089603895731</t>
  </si>
  <si>
    <t>9-04-2008</t>
  </si>
  <si>
    <t>SUMADI</t>
  </si>
  <si>
    <t>BANTUL TIMUR</t>
  </si>
  <si>
    <t>PKBM BINA SEKAR MELATI</t>
  </si>
  <si>
    <t>082314025501</t>
  </si>
  <si>
    <t>15-11-2005</t>
  </si>
  <si>
    <t>MOHAMMAD ISRO HARIYADI</t>
  </si>
  <si>
    <t>GESIKAN 3</t>
  </si>
  <si>
    <t>001</t>
  </si>
  <si>
    <t>pANDAK</t>
  </si>
  <si>
    <t>087877924571/081314385501</t>
  </si>
  <si>
    <t>089526717873</t>
  </si>
  <si>
    <t>SULARNO</t>
  </si>
  <si>
    <t>KEMBARAN</t>
  </si>
  <si>
    <t>085392164756</t>
  </si>
  <si>
    <t>MSB24-01-170</t>
  </si>
  <si>
    <t>DEDY LITHON AGUSTIAR</t>
  </si>
  <si>
    <t>SRAGEN</t>
  </si>
  <si>
    <t>18-08-2008</t>
  </si>
  <si>
    <t>BATHIN WINARSIH</t>
  </si>
  <si>
    <t>081229885199</t>
  </si>
  <si>
    <t>28-10-2007</t>
  </si>
  <si>
    <t>SUPRIYANTO</t>
  </si>
  <si>
    <t>PRINGGAN</t>
  </si>
  <si>
    <t>KARANGTALUN</t>
  </si>
  <si>
    <t>SMP N 2 IMOGIRI</t>
  </si>
  <si>
    <t>08882884427</t>
  </si>
  <si>
    <t>28-07-2008</t>
  </si>
  <si>
    <t>JOKO SUSELO</t>
  </si>
  <si>
    <t>PRIYAN</t>
  </si>
  <si>
    <t>088215453902</t>
  </si>
  <si>
    <t>3-06-2009</t>
  </si>
  <si>
    <t>SUGENG RIYADI</t>
  </si>
  <si>
    <t>GURU HONORER</t>
  </si>
  <si>
    <t>NGAJARAN</t>
  </si>
  <si>
    <t>083840420083</t>
  </si>
  <si>
    <t>17-04-2009</t>
  </si>
  <si>
    <t>NUR ROHMAH MAYASARI</t>
  </si>
  <si>
    <t>GURU</t>
  </si>
  <si>
    <t>GESIKAN IV</t>
  </si>
  <si>
    <t>081329650694</t>
  </si>
  <si>
    <t>28-04-2008</t>
  </si>
  <si>
    <t>MUHDI NURYANTO</t>
  </si>
  <si>
    <t>JOMBORAN</t>
  </si>
  <si>
    <t>087738667300</t>
  </si>
  <si>
    <t>21-05-2007</t>
  </si>
  <si>
    <t>Yuni Kuswati</t>
  </si>
  <si>
    <t>Pensiunan</t>
  </si>
  <si>
    <t>00</t>
  </si>
  <si>
    <t>MTs Al-Hadi II</t>
  </si>
  <si>
    <t>081215927123</t>
  </si>
  <si>
    <t>087716569522</t>
  </si>
  <si>
    <t>MSB24-01-177</t>
  </si>
  <si>
    <t>RAFI BAGAS WIDAYANTO</t>
  </si>
  <si>
    <t>Wanto</t>
  </si>
  <si>
    <t>NOGOSARI II</t>
  </si>
  <si>
    <t>08</t>
  </si>
  <si>
    <t>MTS N 3 BANTUL</t>
  </si>
  <si>
    <t>082246283010</t>
  </si>
  <si>
    <t>082226357545</t>
  </si>
  <si>
    <t>20-11-2008</t>
  </si>
  <si>
    <t>Juwariyanti</t>
  </si>
  <si>
    <t>NGASEM</t>
  </si>
  <si>
    <t>05</t>
  </si>
  <si>
    <t>088225086045</t>
  </si>
  <si>
    <t>088232433615</t>
  </si>
  <si>
    <t>8-06-2007</t>
  </si>
  <si>
    <t>PARTINEM</t>
  </si>
  <si>
    <t>TRUKAN</t>
  </si>
  <si>
    <t>SRIHARJO</t>
  </si>
  <si>
    <t>SMP MA'ARIF IMOGIRI</t>
  </si>
  <si>
    <t>085692577008</t>
  </si>
  <si>
    <t>088215915188</t>
  </si>
  <si>
    <t>Ami warifah</t>
  </si>
  <si>
    <t>MIRI</t>
  </si>
  <si>
    <t>087852070143/087852070143</t>
  </si>
  <si>
    <t>089527603733</t>
  </si>
  <si>
    <t>28-11-2008</t>
  </si>
  <si>
    <t>Sugeng Riswanto</t>
  </si>
  <si>
    <t>Buruh</t>
  </si>
  <si>
    <t>0895381506786</t>
  </si>
  <si>
    <t>0895377301416</t>
  </si>
  <si>
    <t>8-09-2008</t>
  </si>
  <si>
    <t>Supriyanto</t>
  </si>
  <si>
    <t>SMP N 3 KASIHAN</t>
  </si>
  <si>
    <t>08974332560</t>
  </si>
  <si>
    <t>089616350010</t>
  </si>
  <si>
    <t>ROHMAT</t>
  </si>
  <si>
    <t>KLAGARAN</t>
  </si>
  <si>
    <t>082220049298</t>
  </si>
  <si>
    <t>34433224423</t>
  </si>
  <si>
    <t>5-10-2008</t>
  </si>
  <si>
    <t>RAHAYU</t>
  </si>
  <si>
    <t>TLENGGONGAN</t>
  </si>
  <si>
    <t>KEBONAGUNG</t>
  </si>
  <si>
    <t>083863536861</t>
  </si>
  <si>
    <t>088232552851</t>
  </si>
  <si>
    <t>1-08-2008</t>
  </si>
  <si>
    <t>MITA NUR WULANDARI</t>
  </si>
  <si>
    <t>GUNTURGENI</t>
  </si>
  <si>
    <t>088988300968</t>
  </si>
  <si>
    <t>08883908536</t>
  </si>
  <si>
    <t>21-08-2008</t>
  </si>
  <si>
    <t>Budi Suprayogi</t>
  </si>
  <si>
    <t>Karyawan Swasta</t>
  </si>
  <si>
    <t>SAMPANGAN</t>
  </si>
  <si>
    <t>SMP Muhammadiyah 7 Yogyakarta</t>
  </si>
  <si>
    <t>082328424620</t>
  </si>
  <si>
    <t>5-03-2008</t>
  </si>
  <si>
    <t>OLIV UNTORO WARSO</t>
  </si>
  <si>
    <t>CEPOR LOR</t>
  </si>
  <si>
    <t>087838229090</t>
  </si>
  <si>
    <t>085713636603</t>
  </si>
  <si>
    <t>IKA APRIYANTI</t>
  </si>
  <si>
    <t>JOGODAYOH</t>
  </si>
  <si>
    <t>085821900710</t>
  </si>
  <si>
    <t>089527416263</t>
  </si>
  <si>
    <t>MSB24-01-190</t>
  </si>
  <si>
    <t>DAVI GALIH PRATAMA</t>
  </si>
  <si>
    <t>6-05-2009</t>
  </si>
  <si>
    <t>FARIT BARUDIN</t>
  </si>
  <si>
    <t>SELO</t>
  </si>
  <si>
    <t>085742620970</t>
  </si>
  <si>
    <t>085743737032</t>
  </si>
  <si>
    <t>MSB24-01-194</t>
  </si>
  <si>
    <t>ANDHIKA RAHARDIAN PRADIPTA</t>
  </si>
  <si>
    <t>NITEN</t>
  </si>
  <si>
    <t>06</t>
  </si>
  <si>
    <t>081548564698</t>
  </si>
  <si>
    <t>085642752672</t>
  </si>
  <si>
    <t>Suyatno</t>
  </si>
  <si>
    <t>Wiraswasta/buruh</t>
  </si>
  <si>
    <t>O3</t>
  </si>
  <si>
    <t>088298328643</t>
  </si>
  <si>
    <t>08989265632</t>
  </si>
  <si>
    <t>murti ismawati</t>
  </si>
  <si>
    <t>081393993455</t>
  </si>
  <si>
    <t>0895422394340</t>
  </si>
  <si>
    <t>MSB24-01-197</t>
  </si>
  <si>
    <t>MUHAMMAD PUTRA SATRIO PAMUNGKAS</t>
  </si>
  <si>
    <t>23-11-2006</t>
  </si>
  <si>
    <t>MUHAMMAD ASROFI</t>
  </si>
  <si>
    <t>TITANG</t>
  </si>
  <si>
    <t>08895907698</t>
  </si>
  <si>
    <t>7-12-2008</t>
  </si>
  <si>
    <t>Slamet widodo</t>
  </si>
  <si>
    <t>SUKORAME</t>
  </si>
  <si>
    <t>020</t>
  </si>
  <si>
    <t>MANGUNAN</t>
  </si>
  <si>
    <t>SMP Muhammadiyah 2 Dlingo</t>
  </si>
  <si>
    <t>085927487315</t>
  </si>
  <si>
    <t>082326059380</t>
  </si>
  <si>
    <t>1-01-2007</t>
  </si>
  <si>
    <t>Tri Riyanto</t>
  </si>
  <si>
    <t>PLEMBUTAN</t>
  </si>
  <si>
    <t>081903748688</t>
  </si>
  <si>
    <t>8-01-2008</t>
  </si>
  <si>
    <t>ARI WIBAWANTI</t>
  </si>
  <si>
    <t>SRIBITAN</t>
  </si>
  <si>
    <t>MTS AL-HADI II</t>
  </si>
  <si>
    <t>085643204399</t>
  </si>
  <si>
    <t>PURWADI</t>
  </si>
  <si>
    <t>SUREN</t>
  </si>
  <si>
    <t>SMP N 3 PLERET</t>
  </si>
  <si>
    <t>085326225933</t>
  </si>
  <si>
    <t>24-12-2008</t>
  </si>
  <si>
    <t>Sulistya</t>
  </si>
  <si>
    <t>089687617151</t>
  </si>
  <si>
    <t>Davit efendi</t>
  </si>
  <si>
    <t>KOWEN 2</t>
  </si>
  <si>
    <t>+6289646317521</t>
  </si>
  <si>
    <t>+6282138730557</t>
  </si>
  <si>
    <t>MSB24-02-207</t>
  </si>
  <si>
    <t>NUR WAKHID</t>
  </si>
  <si>
    <t>19-12-2008</t>
  </si>
  <si>
    <t>Kuariyanto</t>
  </si>
  <si>
    <t>MONGGANG</t>
  </si>
  <si>
    <t>0895336747426</t>
  </si>
  <si>
    <t>2-09-2008</t>
  </si>
  <si>
    <t>RIRIN MIDAYANTI</t>
  </si>
  <si>
    <t>PRINGGADING</t>
  </si>
  <si>
    <t>SMP N 1 WIROSARI</t>
  </si>
  <si>
    <t>088233012295</t>
  </si>
  <si>
    <t>083109679747</t>
  </si>
  <si>
    <t>SEMARANG</t>
  </si>
  <si>
    <t>10-04-2008</t>
  </si>
  <si>
    <t>JUMALI</t>
  </si>
  <si>
    <t>KIRINGAN</t>
  </si>
  <si>
    <t>085326233383</t>
  </si>
  <si>
    <t>SUMARNO</t>
  </si>
  <si>
    <t>083131675822</t>
  </si>
  <si>
    <t>1-01-2009</t>
  </si>
  <si>
    <t>CATUR ROHADI</t>
  </si>
  <si>
    <t>BEKELAN</t>
  </si>
  <si>
    <t>089674426647</t>
  </si>
  <si>
    <t>089657640005</t>
  </si>
  <si>
    <t>18-07-2008</t>
  </si>
  <si>
    <t>RINTEN WINARSIH</t>
  </si>
  <si>
    <t>087848115661</t>
  </si>
  <si>
    <t>Tri Siswanto</t>
  </si>
  <si>
    <t>081908443532</t>
  </si>
  <si>
    <t>089527602722</t>
  </si>
  <si>
    <t>6-11-2008</t>
  </si>
  <si>
    <t>SAMSUDI</t>
  </si>
  <si>
    <t>MANGIR LOR</t>
  </si>
  <si>
    <t>SMP N 1 PAJANGAN</t>
  </si>
  <si>
    <t>083863621045</t>
  </si>
  <si>
    <t>0882008071843</t>
  </si>
  <si>
    <t>6-01-2009</t>
  </si>
  <si>
    <t>MARYADI</t>
  </si>
  <si>
    <t>SRATEN</t>
  </si>
  <si>
    <t>08884017240</t>
  </si>
  <si>
    <t>089671431200</t>
  </si>
  <si>
    <t>MSB24-02-216</t>
  </si>
  <si>
    <t>TRIA JATI PAMUNGKAS</t>
  </si>
  <si>
    <t>1/01/2005</t>
  </si>
  <si>
    <t>SURADIMAN</t>
  </si>
  <si>
    <t>BANYON</t>
  </si>
  <si>
    <t>7-05-2008</t>
  </si>
  <si>
    <t>TRI HARYANTO</t>
  </si>
  <si>
    <t>KADEKROWO</t>
  </si>
  <si>
    <t>0882003458682</t>
  </si>
  <si>
    <t>08995118131</t>
  </si>
  <si>
    <t>MSB24-02-218</t>
  </si>
  <si>
    <t>MUHAMMAD ADNAN AL GHIFARI</t>
  </si>
  <si>
    <t>21/04/2009</t>
  </si>
  <si>
    <t>ISTI WARSIATI</t>
  </si>
  <si>
    <t>082137106861</t>
  </si>
  <si>
    <t>08999378682</t>
  </si>
  <si>
    <t>Sri Rahayu</t>
  </si>
  <si>
    <t>PALANGJIWAN</t>
  </si>
  <si>
    <t>083871025813</t>
  </si>
  <si>
    <t>082334623783</t>
  </si>
  <si>
    <t>MSB24-02-220</t>
  </si>
  <si>
    <t>BIMA JONA RIANJAYA</t>
  </si>
  <si>
    <t>SUMARJANA</t>
  </si>
  <si>
    <t>081378547246</t>
  </si>
  <si>
    <t>082242038178</t>
  </si>
  <si>
    <t>MSB24-02-221</t>
  </si>
  <si>
    <t>MUHAMMAD ENGGAR WICAKSANA</t>
  </si>
  <si>
    <t>14-05-2008</t>
  </si>
  <si>
    <t>Sumardi</t>
  </si>
  <si>
    <t>KASIAN 2</t>
  </si>
  <si>
    <t>NGENTAKREJO</t>
  </si>
  <si>
    <t>SMP MUHAMMADIYAH 2 LENDAH</t>
  </si>
  <si>
    <t>083873873035</t>
  </si>
  <si>
    <t>MSB24-02-222</t>
  </si>
  <si>
    <t>ABDURRASYID HUSAIN</t>
  </si>
  <si>
    <t>17/12/2008</t>
  </si>
  <si>
    <t>SUKRISTANTA</t>
  </si>
  <si>
    <t>082112757397</t>
  </si>
  <si>
    <t>081326614850</t>
  </si>
  <si>
    <t>TEBING JAYA II</t>
  </si>
  <si>
    <t>SURYANTO</t>
  </si>
  <si>
    <t>089687744958</t>
  </si>
  <si>
    <t>088233104247</t>
  </si>
  <si>
    <t>SUBARSONO</t>
  </si>
  <si>
    <t>081915552174/0895377242521</t>
  </si>
  <si>
    <t>NURYANTI</t>
  </si>
  <si>
    <t>CIKALAN</t>
  </si>
  <si>
    <t>088901253925</t>
  </si>
  <si>
    <t>MSB24-02-226</t>
  </si>
  <si>
    <t>IMAM FITRIAN AKBAR</t>
  </si>
  <si>
    <t>21-10-2008</t>
  </si>
  <si>
    <t>PARGIYONO</t>
  </si>
  <si>
    <t>0895355952225</t>
  </si>
  <si>
    <t>08995884561</t>
  </si>
  <si>
    <t>4-01-2009</t>
  </si>
  <si>
    <t>SUBROTO</t>
  </si>
  <si>
    <t>SOROTOPO</t>
  </si>
  <si>
    <t>SMP MUHAMMADIYAH 1 PUNDONG</t>
  </si>
  <si>
    <t>085876334893</t>
  </si>
  <si>
    <t>085879217902</t>
  </si>
  <si>
    <t>15-12-2007</t>
  </si>
  <si>
    <t>ARIEF SUBEKTI</t>
  </si>
  <si>
    <t>GUYANGAN</t>
  </si>
  <si>
    <t>WONOLELO</t>
  </si>
  <si>
    <t>081229971176</t>
  </si>
  <si>
    <t>MSB24-02-230</t>
  </si>
  <si>
    <t>ARFA SATYA PRATAMA</t>
  </si>
  <si>
    <t>6-07-2009</t>
  </si>
  <si>
    <t>ARIS FEBIYANTO</t>
  </si>
  <si>
    <t>CANDI</t>
  </si>
  <si>
    <t>005</t>
  </si>
  <si>
    <t>087739705962</t>
  </si>
  <si>
    <t>089529987080</t>
  </si>
  <si>
    <t>16-09-2008</t>
  </si>
  <si>
    <t>ANTON SUKIRNO</t>
  </si>
  <si>
    <t>KRESEN</t>
  </si>
  <si>
    <t>087838895654</t>
  </si>
  <si>
    <t>081228212607</t>
  </si>
  <si>
    <t>Candra Wirawan</t>
  </si>
  <si>
    <t>MURTIGADING</t>
  </si>
  <si>
    <t>081904199929</t>
  </si>
  <si>
    <t>082127899919</t>
  </si>
  <si>
    <t>10-02-2009</t>
  </si>
  <si>
    <t>Uci Rambono</t>
  </si>
  <si>
    <t>SAMBENG 1</t>
  </si>
  <si>
    <t>01</t>
  </si>
  <si>
    <t>+62 882-0066-31299</t>
  </si>
  <si>
    <t>088215695917</t>
  </si>
  <si>
    <t>29-04-2009</t>
  </si>
  <si>
    <t>DANUN</t>
  </si>
  <si>
    <t>WEDUSAN</t>
  </si>
  <si>
    <t>083867150505</t>
  </si>
  <si>
    <t>15-10-2008</t>
  </si>
  <si>
    <t>RINI ASTUTI</t>
  </si>
  <si>
    <t>SEMAIL</t>
  </si>
  <si>
    <t>BANGUNHARJO</t>
  </si>
  <si>
    <t>SMP MUHAMMADIYAH 9 YOGYAKARTA</t>
  </si>
  <si>
    <t>089636700122</t>
  </si>
  <si>
    <t>08989228699</t>
  </si>
  <si>
    <t>TANGERANG</t>
  </si>
  <si>
    <t>PONIYEM</t>
  </si>
  <si>
    <t>SMP N 3 SEWON</t>
  </si>
  <si>
    <t>081384091435</t>
  </si>
  <si>
    <t>Umi asry</t>
  </si>
  <si>
    <t>GROGOL 7</t>
  </si>
  <si>
    <t>085641198611</t>
  </si>
  <si>
    <t>3-02-2009</t>
  </si>
  <si>
    <t>Gunarto</t>
  </si>
  <si>
    <t>087838708661</t>
  </si>
  <si>
    <t>0882006215191</t>
  </si>
  <si>
    <t>26-09-2008</t>
  </si>
  <si>
    <t>Miskiren/waljiyem</t>
  </si>
  <si>
    <t>KALIWIRU</t>
  </si>
  <si>
    <t>TUKSONO</t>
  </si>
  <si>
    <t>SENTOLO</t>
  </si>
  <si>
    <t>0859160016687</t>
  </si>
  <si>
    <t>085729973662</t>
  </si>
  <si>
    <t>24-05-2008</t>
  </si>
  <si>
    <t>TRIYATNO</t>
  </si>
  <si>
    <t>KALIMUNDU</t>
  </si>
  <si>
    <t>081578828979</t>
  </si>
  <si>
    <t>082137208309</t>
  </si>
  <si>
    <t>17-01-2009</t>
  </si>
  <si>
    <t>PARJIYANTI</t>
  </si>
  <si>
    <t>081326626662</t>
  </si>
  <si>
    <t>081229781811</t>
  </si>
  <si>
    <t>Dwi yuniastuti</t>
  </si>
  <si>
    <t>sanden DK. XV</t>
  </si>
  <si>
    <t>085793374213</t>
  </si>
  <si>
    <t>085869668077</t>
  </si>
  <si>
    <t>MSB24-02-243</t>
  </si>
  <si>
    <t>ARI SATRIYO WIBOWO</t>
  </si>
  <si>
    <t>31-05-2009</t>
  </si>
  <si>
    <t>ARI WIBOWO</t>
  </si>
  <si>
    <t>PERUM PENDOWO ASRI B</t>
  </si>
  <si>
    <t>081235512034</t>
  </si>
  <si>
    <t>081227995267</t>
  </si>
  <si>
    <t>AFRIANTO</t>
  </si>
  <si>
    <t>089699568973</t>
  </si>
  <si>
    <t>089699568964</t>
  </si>
  <si>
    <t>2-07-2008</t>
  </si>
  <si>
    <t>ISKAK MARYONO</t>
  </si>
  <si>
    <t>SENGGOTAN</t>
  </si>
  <si>
    <t>089616104824</t>
  </si>
  <si>
    <t>089506484147</t>
  </si>
  <si>
    <t>8-11-2008</t>
  </si>
  <si>
    <t>KAMSUGUWARSA</t>
  </si>
  <si>
    <t>087838517582</t>
  </si>
  <si>
    <t>MSB24-02-247</t>
  </si>
  <si>
    <t>BIRUL ROHMAN</t>
  </si>
  <si>
    <t>KALANGAN</t>
  </si>
  <si>
    <t>TIRTOHARGO</t>
  </si>
  <si>
    <t>081326545054</t>
  </si>
  <si>
    <t>081325330060</t>
  </si>
  <si>
    <t>RATIJAH</t>
  </si>
  <si>
    <t>SELOBENTAR</t>
  </si>
  <si>
    <t>082230510426</t>
  </si>
  <si>
    <t>085967055628</t>
  </si>
  <si>
    <t>26-01-2009</t>
  </si>
  <si>
    <t>Wahyudi / Rini suwanti</t>
  </si>
  <si>
    <t>BAKULAN WETAN</t>
  </si>
  <si>
    <t>0896 4688 8878</t>
  </si>
  <si>
    <t>0817 1737 2057</t>
  </si>
  <si>
    <t>9-04-2009</t>
  </si>
  <si>
    <t>SUWALJINAH</t>
  </si>
  <si>
    <t>SINGGELO</t>
  </si>
  <si>
    <t>082138830971</t>
  </si>
  <si>
    <t>ZENI PURNAMA</t>
  </si>
  <si>
    <t>NGLARANG</t>
  </si>
  <si>
    <t>089649284198</t>
  </si>
  <si>
    <t>089687601350</t>
  </si>
  <si>
    <t>20-12-2008</t>
  </si>
  <si>
    <t>AGUS TRI KUNCORO</t>
  </si>
  <si>
    <t>WONOLOPO</t>
  </si>
  <si>
    <t>081326388413</t>
  </si>
  <si>
    <t>ASIYAH</t>
  </si>
  <si>
    <t>JATIREJO</t>
  </si>
  <si>
    <t>081229054581</t>
  </si>
  <si>
    <t>085729547825</t>
  </si>
  <si>
    <t>16-12-2008</t>
  </si>
  <si>
    <t>RULLY ZUSTANTI</t>
  </si>
  <si>
    <t>089523588464</t>
  </si>
  <si>
    <t>23-05-2008</t>
  </si>
  <si>
    <t>Muhammad akhlis</t>
  </si>
  <si>
    <t>Sopir ambulans lazismu</t>
  </si>
  <si>
    <t>KRAPYAK WETAN</t>
  </si>
  <si>
    <t>Mts Darul Qur'an wal Irsyad</t>
  </si>
  <si>
    <t>081327512382</t>
  </si>
  <si>
    <t>085869274155</t>
  </si>
  <si>
    <t>27-05-2008</t>
  </si>
  <si>
    <t>SURATMAT</t>
  </si>
  <si>
    <t>JETAK MREDRO</t>
  </si>
  <si>
    <t>088215673385</t>
  </si>
  <si>
    <t>088238848765</t>
  </si>
  <si>
    <t>MSB24-02-258</t>
  </si>
  <si>
    <t>ADNAN RIDHO</t>
  </si>
  <si>
    <t>14/03/2009</t>
  </si>
  <si>
    <t>NAHDHOTUL ISLAMIYATI</t>
  </si>
  <si>
    <t>KARANG KAUMAN</t>
  </si>
  <si>
    <t>08976852767</t>
  </si>
  <si>
    <t>089607716938</t>
  </si>
  <si>
    <t>30-09-2008</t>
  </si>
  <si>
    <t>IRKHAM YULIANTORO</t>
  </si>
  <si>
    <t>DAGARAN</t>
  </si>
  <si>
    <t>SMP N 2 AMBARAWA</t>
  </si>
  <si>
    <t>081211575715</t>
  </si>
  <si>
    <t>081646826014</t>
  </si>
  <si>
    <t>19-08-2008</t>
  </si>
  <si>
    <t>SUTIKO</t>
  </si>
  <si>
    <t>MENANG</t>
  </si>
  <si>
    <t>000</t>
  </si>
  <si>
    <t>087765042265</t>
  </si>
  <si>
    <t>083822249493</t>
  </si>
  <si>
    <t>15-12-2008</t>
  </si>
  <si>
    <t>HADI</t>
  </si>
  <si>
    <t>085228094260</t>
  </si>
  <si>
    <t>Dwi Andriyanto / Ima Ramtuti</t>
  </si>
  <si>
    <t>Buruh dan wiraswata</t>
  </si>
  <si>
    <t>GENENG</t>
  </si>
  <si>
    <t>087723788378</t>
  </si>
  <si>
    <t>085702048539</t>
  </si>
  <si>
    <t>11-01-2009</t>
  </si>
  <si>
    <t>Supar duwi yanti</t>
  </si>
  <si>
    <t>MANDING TENGAH</t>
  </si>
  <si>
    <t>083144665201</t>
  </si>
  <si>
    <t>085747291590</t>
  </si>
  <si>
    <t>KEDIRI</t>
  </si>
  <si>
    <t>28-06-2008</t>
  </si>
  <si>
    <t>RIDHOHAN</t>
  </si>
  <si>
    <t>BLALI</t>
  </si>
  <si>
    <t>081226227745</t>
  </si>
  <si>
    <t>23-03-2008</t>
  </si>
  <si>
    <t>MARGIYANTO</t>
  </si>
  <si>
    <t>SMP Dharma Bhakti Bambanglipuro</t>
  </si>
  <si>
    <t>081311217690</t>
  </si>
  <si>
    <t>MSB24-02-267</t>
  </si>
  <si>
    <t>ALIFFIO ADHITYA KURNIAWAN</t>
  </si>
  <si>
    <t>WAWAN</t>
  </si>
  <si>
    <t>LOPUTIH</t>
  </si>
  <si>
    <t>JATIMULYO</t>
  </si>
  <si>
    <t>MTs MAARIF DLINGO</t>
  </si>
  <si>
    <t>0882007608074</t>
  </si>
  <si>
    <t>SUROTO</t>
  </si>
  <si>
    <t>GEMPOLAN KULON</t>
  </si>
  <si>
    <t>089644624664</t>
  </si>
  <si>
    <t>089688431070</t>
  </si>
  <si>
    <t>MSB24-02-269</t>
  </si>
  <si>
    <t>ADLIG IRYA RAMADHAN</t>
  </si>
  <si>
    <t>BREBES</t>
  </si>
  <si>
    <t>Irwanto / Lokalni</t>
  </si>
  <si>
    <t>MTS N 2 BREBES</t>
  </si>
  <si>
    <t>087818544963</t>
  </si>
  <si>
    <t>08979340806</t>
  </si>
  <si>
    <t>26-02-2009</t>
  </si>
  <si>
    <t>Purwanti</t>
  </si>
  <si>
    <t>085742549275</t>
  </si>
  <si>
    <t>085876340295</t>
  </si>
  <si>
    <t>Giat pujiarto</t>
  </si>
  <si>
    <t>DENGKENG</t>
  </si>
  <si>
    <t>SMP MUHAMMADIYAH IMOGIRI</t>
  </si>
  <si>
    <t>081392539267</t>
  </si>
  <si>
    <t>MSB24-02-274</t>
  </si>
  <si>
    <t>KEVIN BIMA AKBAR RADIANDITO</t>
  </si>
  <si>
    <t>DWIYANTO</t>
  </si>
  <si>
    <t>LOPATI</t>
  </si>
  <si>
    <t>089681503771</t>
  </si>
  <si>
    <t>081215082238</t>
  </si>
  <si>
    <t>22-04-2008</t>
  </si>
  <si>
    <t>SUTRISNO</t>
  </si>
  <si>
    <t>DODOTAN</t>
  </si>
  <si>
    <t>0882008066542/0882003315352</t>
  </si>
  <si>
    <t>1-03-2009</t>
  </si>
  <si>
    <t>SARYONO</t>
  </si>
  <si>
    <t>085691475952</t>
  </si>
  <si>
    <t>MSB24-02-277</t>
  </si>
  <si>
    <t>OKTA SYAIFUDIN</t>
  </si>
  <si>
    <t>12-10-2008</t>
  </si>
  <si>
    <t>SURATIYEM</t>
  </si>
  <si>
    <t>0895394460336/083189919315</t>
  </si>
  <si>
    <t>Pracaya</t>
  </si>
  <si>
    <t>BARAN</t>
  </si>
  <si>
    <t>004</t>
  </si>
  <si>
    <t>083893325428</t>
  </si>
  <si>
    <t>082324405759</t>
  </si>
  <si>
    <t>6-09-2008</t>
  </si>
  <si>
    <t>Eko nuryanto /yuli astuti</t>
  </si>
  <si>
    <t>085810211787</t>
  </si>
  <si>
    <t>085800328295</t>
  </si>
  <si>
    <t>SUNARDI</t>
  </si>
  <si>
    <t>085800353351</t>
  </si>
  <si>
    <t>083147481122</t>
  </si>
  <si>
    <t>20-05-2009</t>
  </si>
  <si>
    <t>HARYANTO</t>
  </si>
  <si>
    <t>WEDUSAN MAYUNGAN</t>
  </si>
  <si>
    <t>088225178495</t>
  </si>
  <si>
    <t>088980829927</t>
  </si>
  <si>
    <t>CHOIRUL MUSTAQIM</t>
  </si>
  <si>
    <t>GEDONGAN</t>
  </si>
  <si>
    <t>08995537995</t>
  </si>
  <si>
    <t>0895403147733</t>
  </si>
  <si>
    <t>6-05-2008</t>
  </si>
  <si>
    <t>EKO YULIATI</t>
  </si>
  <si>
    <t>085697340107</t>
  </si>
  <si>
    <t>1-06-2008</t>
  </si>
  <si>
    <t>TONO</t>
  </si>
  <si>
    <t>SWASTA</t>
  </si>
  <si>
    <t>07</t>
  </si>
  <si>
    <t>085726355944</t>
  </si>
  <si>
    <t>083141464014</t>
  </si>
  <si>
    <t>BOGOR</t>
  </si>
  <si>
    <t>3-06-2008</t>
  </si>
  <si>
    <t>DEDY YOSEPUDIN</t>
  </si>
  <si>
    <t>JAMPRIT</t>
  </si>
  <si>
    <t>081331335942</t>
  </si>
  <si>
    <t>088238645830</t>
  </si>
  <si>
    <t>22-05-2009</t>
  </si>
  <si>
    <t>081392472024</t>
  </si>
  <si>
    <t>ANJAR ROHADI</t>
  </si>
  <si>
    <t>JARANAN</t>
  </si>
  <si>
    <t>0888227996778</t>
  </si>
  <si>
    <t>08992690309</t>
  </si>
  <si>
    <t>19-06-2009</t>
  </si>
  <si>
    <t>NUNGKI MURWATI</t>
  </si>
  <si>
    <t>NGAGLIK</t>
  </si>
  <si>
    <t>SMP MUHAMMADIYAH 1 JETIS</t>
  </si>
  <si>
    <t>085693538183</t>
  </si>
  <si>
    <t>0895414324479</t>
  </si>
  <si>
    <t>MSB24-03-291</t>
  </si>
  <si>
    <t>MUHAMMAD IRSYAD BURHANUDIN</t>
  </si>
  <si>
    <t>14-03-2009</t>
  </si>
  <si>
    <t>AHMADI</t>
  </si>
  <si>
    <t>085842680085</t>
  </si>
  <si>
    <t>NOVIA MAHARANI</t>
  </si>
  <si>
    <t>PEGAWAI SWASTA</t>
  </si>
  <si>
    <t>BOGORAN</t>
  </si>
  <si>
    <t>SMP N 1 BAWANG</t>
  </si>
  <si>
    <t>089606919793</t>
  </si>
  <si>
    <t>082138667303</t>
  </si>
  <si>
    <t>MAWARDI</t>
  </si>
  <si>
    <t>TAJEN PENI</t>
  </si>
  <si>
    <t>085786762293</t>
  </si>
  <si>
    <t>085607440248</t>
  </si>
  <si>
    <t>30-03-2009</t>
  </si>
  <si>
    <t>KARYADI</t>
  </si>
  <si>
    <t>087817100509</t>
  </si>
  <si>
    <t>089673336188</t>
  </si>
  <si>
    <t>KRISWANDARI</t>
  </si>
  <si>
    <t>088902968426</t>
  </si>
  <si>
    <t>0882003986232</t>
  </si>
  <si>
    <t>Supratman</t>
  </si>
  <si>
    <t>WONOBROTO</t>
  </si>
  <si>
    <t>085729973665</t>
  </si>
  <si>
    <t>085600677855</t>
  </si>
  <si>
    <t>31-07-2009</t>
  </si>
  <si>
    <t>Waldiyana/adik lestari</t>
  </si>
  <si>
    <t>Tani/pedagang</t>
  </si>
  <si>
    <t>085150770297</t>
  </si>
  <si>
    <t>085157145332</t>
  </si>
  <si>
    <t>RAJAB</t>
  </si>
  <si>
    <t>JIPANGAN</t>
  </si>
  <si>
    <t>085878500874</t>
  </si>
  <si>
    <t>085641093226</t>
  </si>
  <si>
    <t>SUJANI</t>
  </si>
  <si>
    <t>SELOPAMIORO</t>
  </si>
  <si>
    <t>083133522448</t>
  </si>
  <si>
    <t>085712215667</t>
  </si>
  <si>
    <t>29-09-2008</t>
  </si>
  <si>
    <t>SULISTIOWATI</t>
  </si>
  <si>
    <t>MUTIHAN</t>
  </si>
  <si>
    <t>MTS N 6 BANTUL</t>
  </si>
  <si>
    <t>089512562441</t>
  </si>
  <si>
    <t>0895385373885</t>
  </si>
  <si>
    <t>Supriyo</t>
  </si>
  <si>
    <t>089608576500</t>
  </si>
  <si>
    <t>0895375009500</t>
  </si>
  <si>
    <t>PURWOREJO</t>
  </si>
  <si>
    <t>PONIDI</t>
  </si>
  <si>
    <t>BOBOK TEMPEL</t>
  </si>
  <si>
    <t>082322487769</t>
  </si>
  <si>
    <t>088225424039</t>
  </si>
  <si>
    <t>14-09-2009</t>
  </si>
  <si>
    <t>NURYANTO</t>
  </si>
  <si>
    <t>KARIYAWAN SWASTA</t>
  </si>
  <si>
    <t>SMP IT ULUL ALBAB</t>
  </si>
  <si>
    <t>089502123158</t>
  </si>
  <si>
    <t>081585210732</t>
  </si>
  <si>
    <t>1-02-2008</t>
  </si>
  <si>
    <t>PARYANTA</t>
  </si>
  <si>
    <t>MTS N 2 LAMPUNG UTARA</t>
  </si>
  <si>
    <t>085728923252</t>
  </si>
  <si>
    <t>083863266884</t>
  </si>
  <si>
    <t>SAMARINDA</t>
  </si>
  <si>
    <t>21-07-2008</t>
  </si>
  <si>
    <t>sigit triyono</t>
  </si>
  <si>
    <t>0857-5342-7423</t>
  </si>
  <si>
    <t>085741182438</t>
  </si>
  <si>
    <t>MSB24-03-306</t>
  </si>
  <si>
    <t>ABDULLOH MAHBUBI</t>
  </si>
  <si>
    <t>KHOSIM</t>
  </si>
  <si>
    <t>TUNJUNGAN</t>
  </si>
  <si>
    <t>085340650821</t>
  </si>
  <si>
    <t>085728035284</t>
  </si>
  <si>
    <t>30-04-2008</t>
  </si>
  <si>
    <t>SUJADi</t>
  </si>
  <si>
    <t>CEGOKAN</t>
  </si>
  <si>
    <t>002</t>
  </si>
  <si>
    <t>08999165910</t>
  </si>
  <si>
    <t>PEKALONGAN</t>
  </si>
  <si>
    <t>25-03-2009</t>
  </si>
  <si>
    <t>Suyarto</t>
  </si>
  <si>
    <t>KENALAN</t>
  </si>
  <si>
    <t>089513245509</t>
  </si>
  <si>
    <t>089531064224</t>
  </si>
  <si>
    <t>MSB24-03-309</t>
  </si>
  <si>
    <t>AHMAD BILAL RAMADHANI</t>
  </si>
  <si>
    <t>Jumadi / siti rejeki</t>
  </si>
  <si>
    <t>TRAYEMAN</t>
  </si>
  <si>
    <t>081290337576</t>
  </si>
  <si>
    <t>088216264152</t>
  </si>
  <si>
    <t>22-02-2009</t>
  </si>
  <si>
    <t>Sarjito</t>
  </si>
  <si>
    <t>0882008169635</t>
  </si>
  <si>
    <t>Siti Aminah</t>
  </si>
  <si>
    <t>BULUS KULON</t>
  </si>
  <si>
    <t>089508052991</t>
  </si>
  <si>
    <t>083163028564</t>
  </si>
  <si>
    <t>Sarjanadi</t>
  </si>
  <si>
    <t>081903717325</t>
  </si>
  <si>
    <t>08976844527</t>
  </si>
  <si>
    <t>14-04-2008</t>
  </si>
  <si>
    <t>Kawitri</t>
  </si>
  <si>
    <t>083142364378/0895418949437</t>
  </si>
  <si>
    <t>083159428953</t>
  </si>
  <si>
    <t>Sarjiman</t>
  </si>
  <si>
    <t>087838885805</t>
  </si>
  <si>
    <t>085246527204</t>
  </si>
  <si>
    <t>7-03-2003</t>
  </si>
  <si>
    <t>Suroto</t>
  </si>
  <si>
    <t>KUWON</t>
  </si>
  <si>
    <t>003</t>
  </si>
  <si>
    <t>SMP IT AL MULTAZAM 2 KUNINGAN</t>
  </si>
  <si>
    <t>0895330758656</t>
  </si>
  <si>
    <t>MSB24-03-319</t>
  </si>
  <si>
    <t>NAUFAL AZRA FIKRIANSYAH</t>
  </si>
  <si>
    <t>TRI SARJONO</t>
  </si>
  <si>
    <t>SEMBUNGAN</t>
  </si>
  <si>
    <t>0895423045980</t>
  </si>
  <si>
    <t>0895372286688</t>
  </si>
  <si>
    <t>27-03-2008</t>
  </si>
  <si>
    <t>SURADI</t>
  </si>
  <si>
    <t>GATAK</t>
  </si>
  <si>
    <t>082221360028</t>
  </si>
  <si>
    <t>TRI ESTIYANTO</t>
  </si>
  <si>
    <t>KARYAWAN HONORER</t>
  </si>
  <si>
    <t>PONDOK 1 SRANDAKAN</t>
  </si>
  <si>
    <t>008</t>
  </si>
  <si>
    <t>082225826667</t>
  </si>
  <si>
    <t>089687434067</t>
  </si>
  <si>
    <t>MSB24-03-322</t>
  </si>
  <si>
    <t>DEO SAPUTRA</t>
  </si>
  <si>
    <t>25-03-2008</t>
  </si>
  <si>
    <t>SUKASIH</t>
  </si>
  <si>
    <t>SENTANAN</t>
  </si>
  <si>
    <t>081953388025</t>
  </si>
  <si>
    <t>BURUH HARIAN</t>
  </si>
  <si>
    <t>JEBLOG</t>
  </si>
  <si>
    <t>087738808422</t>
  </si>
  <si>
    <t>0881025877125</t>
  </si>
  <si>
    <t>2-04-2008</t>
  </si>
  <si>
    <t>MUJIYONO</t>
  </si>
  <si>
    <t>BURUH HARIAN LEPAS</t>
  </si>
  <si>
    <t>083865636950</t>
  </si>
  <si>
    <t>083834624795</t>
  </si>
  <si>
    <t>21-05-2009</t>
  </si>
  <si>
    <t>YEANIEK YULYARTI HAPSARI</t>
  </si>
  <si>
    <t>KARANGNONGKO</t>
  </si>
  <si>
    <t>0811283083</t>
  </si>
  <si>
    <t>088227996531</t>
  </si>
  <si>
    <t>18-03-2009</t>
  </si>
  <si>
    <t>KRISDIARNO</t>
  </si>
  <si>
    <t>081227333125</t>
  </si>
  <si>
    <t>0895614688855</t>
  </si>
  <si>
    <t>MURYANI</t>
  </si>
  <si>
    <t>PECIRO</t>
  </si>
  <si>
    <t>0813275888877</t>
  </si>
  <si>
    <t>089525308092</t>
  </si>
  <si>
    <t>IRVAN PONIDI ANDRIANSYAH</t>
  </si>
  <si>
    <t>SOKA</t>
  </si>
  <si>
    <t>085740551044</t>
  </si>
  <si>
    <t>085643793197</t>
  </si>
  <si>
    <t>SRI PURWANTI</t>
  </si>
  <si>
    <t>KEDATON</t>
  </si>
  <si>
    <t>081350510600</t>
  </si>
  <si>
    <t>0895359028507</t>
  </si>
  <si>
    <t>MSB24-03-330</t>
  </si>
  <si>
    <t>MUHAMMAD ZAIN KAMALUDIN</t>
  </si>
  <si>
    <t>3-04-2009</t>
  </si>
  <si>
    <t>sUPRIYONO</t>
  </si>
  <si>
    <t>NYAMPLUNG LOR</t>
  </si>
  <si>
    <t>BALECATUR</t>
  </si>
  <si>
    <t>GAMPING</t>
  </si>
  <si>
    <t>RIYAADHUL QUR'AN</t>
  </si>
  <si>
    <t>085101452030</t>
  </si>
  <si>
    <t>085727879697</t>
  </si>
  <si>
    <t>15-07-2007</t>
  </si>
  <si>
    <t>ISTINAH</t>
  </si>
  <si>
    <t>PURON</t>
  </si>
  <si>
    <t>046</t>
  </si>
  <si>
    <t>089649389088</t>
  </si>
  <si>
    <t>081575603259</t>
  </si>
  <si>
    <t>8-07-2009</t>
  </si>
  <si>
    <t>MURTINI</t>
  </si>
  <si>
    <t>087738315911</t>
  </si>
  <si>
    <t>0882003946354</t>
  </si>
  <si>
    <t>Murtini</t>
  </si>
  <si>
    <t>BUTUH KIDUL</t>
  </si>
  <si>
    <t>030</t>
  </si>
  <si>
    <t>088215785169</t>
  </si>
  <si>
    <t>088295362802</t>
  </si>
  <si>
    <t>MSB24-03-335</t>
  </si>
  <si>
    <t>ERWIN TRI WICAKSANA</t>
  </si>
  <si>
    <t>paijo</t>
  </si>
  <si>
    <t>085325952385</t>
  </si>
  <si>
    <t>085713305733</t>
  </si>
  <si>
    <t>MAGELANG</t>
  </si>
  <si>
    <t>Sayyidatissorayya Primastuti</t>
  </si>
  <si>
    <t>NGIJO</t>
  </si>
  <si>
    <t>081327921173</t>
  </si>
  <si>
    <t>082335825034</t>
  </si>
  <si>
    <t>HERMAWAN</t>
  </si>
  <si>
    <t>BONGGALAN</t>
  </si>
  <si>
    <t>012</t>
  </si>
  <si>
    <t>083801915123</t>
  </si>
  <si>
    <t>083836772827</t>
  </si>
  <si>
    <t>MSB24-03-338</t>
  </si>
  <si>
    <t>ANDIKA PUTRA PRATAMA</t>
  </si>
  <si>
    <t>21-03-2009</t>
  </si>
  <si>
    <t>ISTI WINARSIH</t>
  </si>
  <si>
    <t>PELEMSEWU</t>
  </si>
  <si>
    <t>085724515756</t>
  </si>
  <si>
    <t>089648524768</t>
  </si>
  <si>
    <t>24-08-2008</t>
  </si>
  <si>
    <t>SRI REJEKI</t>
  </si>
  <si>
    <t>WIRAUSAHA</t>
  </si>
  <si>
    <t>087719638439</t>
  </si>
  <si>
    <t>089646316058</t>
  </si>
  <si>
    <t>TARUDAN</t>
  </si>
  <si>
    <t>SMP AL MA'ARIF BANTUL</t>
  </si>
  <si>
    <t>083104326549</t>
  </si>
  <si>
    <t>083134979238</t>
  </si>
  <si>
    <t>12-07-2008</t>
  </si>
  <si>
    <t>Samidi</t>
  </si>
  <si>
    <t>BEJI KULON</t>
  </si>
  <si>
    <t>0895423048257</t>
  </si>
  <si>
    <t>08989285403</t>
  </si>
  <si>
    <t>MSB24-03-342</t>
  </si>
  <si>
    <t>RAFI ALAN PRAMUDITO</t>
  </si>
  <si>
    <t>DJOKO TEDJO RIJANTO</t>
  </si>
  <si>
    <t>PURN TNI</t>
  </si>
  <si>
    <t>087738827433</t>
  </si>
  <si>
    <t>082231693933</t>
  </si>
  <si>
    <t>14-10-2008</t>
  </si>
  <si>
    <t>PUNGKUR KULON DUSUN</t>
  </si>
  <si>
    <t>08974344665/0882006192253</t>
  </si>
  <si>
    <t>08974344665</t>
  </si>
  <si>
    <t>RAHMANTO</t>
  </si>
  <si>
    <t>CIREN</t>
  </si>
  <si>
    <t>083144745777</t>
  </si>
  <si>
    <t>088980956177</t>
  </si>
  <si>
    <t>24-08-2009</t>
  </si>
  <si>
    <t>RATIH BUDIYANTO</t>
  </si>
  <si>
    <t>WONOREJO I</t>
  </si>
  <si>
    <t>081326222893</t>
  </si>
  <si>
    <t>082231035942</t>
  </si>
  <si>
    <t>5-01-2009</t>
  </si>
  <si>
    <t>BARDIYONO</t>
  </si>
  <si>
    <t>DEMANGAN</t>
  </si>
  <si>
    <t>088802538488</t>
  </si>
  <si>
    <t>089630356477</t>
  </si>
  <si>
    <t>30-01-2009</t>
  </si>
  <si>
    <t>ANI WATI</t>
  </si>
  <si>
    <t>GANDEKAN</t>
  </si>
  <si>
    <t>SMP CIKAL CENDEKIA</t>
  </si>
  <si>
    <t>081999341785</t>
  </si>
  <si>
    <t>08138445012</t>
  </si>
  <si>
    <t>MSB24-03-348</t>
  </si>
  <si>
    <t>DAEHAN NIZARUL YOGA RAMADHANI</t>
  </si>
  <si>
    <t>Subagya</t>
  </si>
  <si>
    <t>082241811587</t>
  </si>
  <si>
    <t>082136289305</t>
  </si>
  <si>
    <t>23-06-2008</t>
  </si>
  <si>
    <t>NOVIANA</t>
  </si>
  <si>
    <t>SMP MUHAMMADIYAH 1 SANDEN</t>
  </si>
  <si>
    <t>085339119110</t>
  </si>
  <si>
    <t>082135459253</t>
  </si>
  <si>
    <t>17-05-2008</t>
  </si>
  <si>
    <t>FITRIA NASTITI</t>
  </si>
  <si>
    <t>083871847878</t>
  </si>
  <si>
    <t>083164924767</t>
  </si>
  <si>
    <t>28-08-2009</t>
  </si>
  <si>
    <t>Sulistiyantoro</t>
  </si>
  <si>
    <t>087736012981</t>
  </si>
  <si>
    <t>MSB24-03-352</t>
  </si>
  <si>
    <t>RAKHA AFIF ARYANTA</t>
  </si>
  <si>
    <t>28-01-2009</t>
  </si>
  <si>
    <t>Sukisdiono</t>
  </si>
  <si>
    <t>PADOKAN KIDUL</t>
  </si>
  <si>
    <t>089678995120</t>
  </si>
  <si>
    <t>0895363271585</t>
  </si>
  <si>
    <t>PENSIUNAN</t>
  </si>
  <si>
    <t>088216069698</t>
  </si>
  <si>
    <t>0895807476090</t>
  </si>
  <si>
    <t>SIGIT</t>
  </si>
  <si>
    <t>TEMBI</t>
  </si>
  <si>
    <t>08175480182</t>
  </si>
  <si>
    <t>089528226627</t>
  </si>
  <si>
    <t>088215435439</t>
  </si>
  <si>
    <t>31-05-2008</t>
  </si>
  <si>
    <t>Slamet</t>
  </si>
  <si>
    <t>NOGOSARI I</t>
  </si>
  <si>
    <t>0882008634931</t>
  </si>
  <si>
    <t>EKO DESI ATMOJO</t>
  </si>
  <si>
    <t>GADHINGHARJO</t>
  </si>
  <si>
    <t>081247872866</t>
  </si>
  <si>
    <t>089527641540</t>
  </si>
  <si>
    <t>9-12-2008</t>
  </si>
  <si>
    <t>MRISI</t>
  </si>
  <si>
    <t>08995040556</t>
  </si>
  <si>
    <t>088233134989</t>
  </si>
  <si>
    <t>20-05-2008</t>
  </si>
  <si>
    <t>WAJIMIN</t>
  </si>
  <si>
    <t>KEDUNG</t>
  </si>
  <si>
    <t>089518560076</t>
  </si>
  <si>
    <t>083846378430</t>
  </si>
  <si>
    <t>21-05-2006</t>
  </si>
  <si>
    <t>JUMIATI</t>
  </si>
  <si>
    <t>BIBIS</t>
  </si>
  <si>
    <t>085225888023</t>
  </si>
  <si>
    <t>0895806402914</t>
  </si>
  <si>
    <t>15-02-2009</t>
  </si>
  <si>
    <t>MARJIYEM</t>
  </si>
  <si>
    <t>083815689658</t>
  </si>
  <si>
    <t>SAMIATI</t>
  </si>
  <si>
    <t>SONOPAKIS KIDUL</t>
  </si>
  <si>
    <t>SMP ISLAM YOGYAKARTA</t>
  </si>
  <si>
    <t>0882006075058</t>
  </si>
  <si>
    <t>08990980665</t>
  </si>
  <si>
    <t>SUPRIHATIN</t>
  </si>
  <si>
    <t>PENSIUNAN PNS</t>
  </si>
  <si>
    <t>PUCUNG</t>
  </si>
  <si>
    <t>082138274472</t>
  </si>
  <si>
    <t>CILACAP</t>
  </si>
  <si>
    <t>4-07-2006</t>
  </si>
  <si>
    <t>HARRY APRIANTONY</t>
  </si>
  <si>
    <t>MANDING SERUT</t>
  </si>
  <si>
    <t>085870346822</t>
  </si>
  <si>
    <t>085869707104</t>
  </si>
  <si>
    <t>24-07-2009</t>
  </si>
  <si>
    <t>HARI SUSBIYANTORO</t>
  </si>
  <si>
    <t>PERUM KARANGJATI IND</t>
  </si>
  <si>
    <t>081804212155</t>
  </si>
  <si>
    <t>081229889363</t>
  </si>
  <si>
    <t>30-11-2008</t>
  </si>
  <si>
    <t>MUHAMMAD GUNARTO</t>
  </si>
  <si>
    <t>085228491405</t>
  </si>
  <si>
    <t>08507638982</t>
  </si>
  <si>
    <t>1-11-2008</t>
  </si>
  <si>
    <t>KOLIS PAMUJI</t>
  </si>
  <si>
    <t>087888846582</t>
  </si>
  <si>
    <t>087894457000</t>
  </si>
  <si>
    <t>SUPRATNO</t>
  </si>
  <si>
    <t>SAMBIKEREP</t>
  </si>
  <si>
    <t>085228972855</t>
  </si>
  <si>
    <t>089507627858</t>
  </si>
  <si>
    <t>MSB24-03-369</t>
  </si>
  <si>
    <t>MUHAMMAD ALIF KURNIAWAN</t>
  </si>
  <si>
    <t>CIMAHI</t>
  </si>
  <si>
    <t>24-11-2008</t>
  </si>
  <si>
    <t>Supriyatna</t>
  </si>
  <si>
    <t>LANTENG 1</t>
  </si>
  <si>
    <t>SMP N 3 IMOGIRI</t>
  </si>
  <si>
    <t>08813867850</t>
  </si>
  <si>
    <t>083821281481</t>
  </si>
  <si>
    <t>MSB24-03-370</t>
  </si>
  <si>
    <t>DHANI NUR PERMADI</t>
  </si>
  <si>
    <t>Sulendra</t>
  </si>
  <si>
    <t>MRIYAN</t>
  </si>
  <si>
    <t>08157935954</t>
  </si>
  <si>
    <t>PURBALINGGA</t>
  </si>
  <si>
    <t>SLAMET</t>
  </si>
  <si>
    <t>PERUM TIMUR PG MADUK</t>
  </si>
  <si>
    <t>SMP MATARAM KASIHAN</t>
  </si>
  <si>
    <t>085842644800</t>
  </si>
  <si>
    <t>085800318933</t>
  </si>
  <si>
    <t>MSB24-03-372</t>
  </si>
  <si>
    <t>MUHAMMAD HAAFIZ YOGA ARIYANTO</t>
  </si>
  <si>
    <t>16-11-2008</t>
  </si>
  <si>
    <t>BUDI SUSANTO</t>
  </si>
  <si>
    <t>NGENTAK KAUMAN</t>
  </si>
  <si>
    <t>081325527593</t>
  </si>
  <si>
    <t>087778926224</t>
  </si>
  <si>
    <t>20-01-2009</t>
  </si>
  <si>
    <t>FATIMAH</t>
  </si>
  <si>
    <t>SANGRAHAN DK. BANTUL</t>
  </si>
  <si>
    <t>SMP MUHAMMADIYAH 1 MOYUDAN</t>
  </si>
  <si>
    <t>083172149140</t>
  </si>
  <si>
    <t>08213455316</t>
  </si>
  <si>
    <t>13-11-2008</t>
  </si>
  <si>
    <t>MARYANA</t>
  </si>
  <si>
    <t>088233755256</t>
  </si>
  <si>
    <t>0882006802719</t>
  </si>
  <si>
    <t>28-03-2008</t>
  </si>
  <si>
    <t>ISMANTA</t>
  </si>
  <si>
    <t>GADINGDATON</t>
  </si>
  <si>
    <t>081226129807</t>
  </si>
  <si>
    <t>3-05-2009</t>
  </si>
  <si>
    <t>Siti ardaniyati</t>
  </si>
  <si>
    <t>SMP ma'arif Borobudur</t>
  </si>
  <si>
    <t>082323213171</t>
  </si>
  <si>
    <t>085800136857</t>
  </si>
  <si>
    <t>WENNI RAHMA PRAMUSITA</t>
  </si>
  <si>
    <t>aSN</t>
  </si>
  <si>
    <t>KEMBANGSONGO</t>
  </si>
  <si>
    <t>TRIMULYO</t>
  </si>
  <si>
    <t>PKBM SAPULIDI</t>
  </si>
  <si>
    <t>081382011152</t>
  </si>
  <si>
    <t>082328427320</t>
  </si>
  <si>
    <t>MSB24-03-378</t>
  </si>
  <si>
    <t>JODI BELA PUTRA</t>
  </si>
  <si>
    <t>30-07-2009</t>
  </si>
  <si>
    <t>Yuliyanto</t>
  </si>
  <si>
    <t>SMP PGRI 1 MERBAU MATARAM</t>
  </si>
  <si>
    <t>085716323611</t>
  </si>
  <si>
    <t>083892219057</t>
  </si>
  <si>
    <t>17-07-2008</t>
  </si>
  <si>
    <t>NUR SAMSIATI</t>
  </si>
  <si>
    <t>MONGGANG KIDUL</t>
  </si>
  <si>
    <t>0878-4729-0588</t>
  </si>
  <si>
    <t>MSB24-03-380</t>
  </si>
  <si>
    <t>SINATHRIA DHIAS ALMESSI</t>
  </si>
  <si>
    <t>GUNUNG KIDUL</t>
  </si>
  <si>
    <t>BRAJAN</t>
  </si>
  <si>
    <t>SMP ALAM NURUL FURQON</t>
  </si>
  <si>
    <t>+6282224145405</t>
  </si>
  <si>
    <t>+6289985814719</t>
  </si>
  <si>
    <t>MSB24-03-381</t>
  </si>
  <si>
    <t>CHAIRUL DWI UTAMA</t>
  </si>
  <si>
    <t>12-11-2008</t>
  </si>
  <si>
    <t>Mujiyono</t>
  </si>
  <si>
    <t>087843140614</t>
  </si>
  <si>
    <t>089510231182</t>
  </si>
  <si>
    <t>YULIANTI</t>
  </si>
  <si>
    <t>006</t>
  </si>
  <si>
    <t>081 779 234 777</t>
  </si>
  <si>
    <t>0878-1903-2600</t>
  </si>
  <si>
    <t>MSB24-03-383</t>
  </si>
  <si>
    <t>MUHAMMAD RIFQI AL JAVIER</t>
  </si>
  <si>
    <t>Wahyu nurcholisah</t>
  </si>
  <si>
    <t>LIDAH KULON</t>
  </si>
  <si>
    <t>LAKARSANTRI</t>
  </si>
  <si>
    <t>SMP LABSCHOOL UNESA 3</t>
  </si>
  <si>
    <t>0895326965501</t>
  </si>
  <si>
    <t>0895364705830</t>
  </si>
  <si>
    <t>Samijan</t>
  </si>
  <si>
    <t>08886585528</t>
  </si>
  <si>
    <t>1-10-2007</t>
  </si>
  <si>
    <t>KARWATI</t>
  </si>
  <si>
    <t>TEGAL DOWO</t>
  </si>
  <si>
    <t>089632313761/089636391551</t>
  </si>
  <si>
    <t>08963639155</t>
  </si>
  <si>
    <t>14-09-2007</t>
  </si>
  <si>
    <t>Gunawan</t>
  </si>
  <si>
    <t>MOJOLEGI</t>
  </si>
  <si>
    <t>KARANGTENGAH</t>
  </si>
  <si>
    <t>083838623885</t>
  </si>
  <si>
    <t>083151427716</t>
  </si>
  <si>
    <t>ELIYA ROHKHANIKEN</t>
  </si>
  <si>
    <t>SMP MUHAMMADIYAH SANDEN</t>
  </si>
  <si>
    <t>081392944077</t>
  </si>
  <si>
    <t>Purwanto</t>
  </si>
  <si>
    <t>CANGAPAN</t>
  </si>
  <si>
    <t>071</t>
  </si>
  <si>
    <t>088228858259</t>
  </si>
  <si>
    <t>0882007388686</t>
  </si>
  <si>
    <t>KEBUMEN</t>
  </si>
  <si>
    <t>20-03-2008</t>
  </si>
  <si>
    <t>susila wibawa</t>
  </si>
  <si>
    <t>DUKUHAN</t>
  </si>
  <si>
    <t>081284747455</t>
  </si>
  <si>
    <t>085869003469</t>
  </si>
  <si>
    <t>Harsi Guntarini</t>
  </si>
  <si>
    <t>Ibu Rumah Tangga</t>
  </si>
  <si>
    <t>JADAN</t>
  </si>
  <si>
    <t>SMP N 2 KASIHAN</t>
  </si>
  <si>
    <t>085712974645</t>
  </si>
  <si>
    <t>085876222721</t>
  </si>
  <si>
    <t>1-10-2008</t>
  </si>
  <si>
    <t>YULI RIYANTA</t>
  </si>
  <si>
    <t>PAKER</t>
  </si>
  <si>
    <t>082220944742</t>
  </si>
  <si>
    <t>088200574474</t>
  </si>
  <si>
    <t>MAGETAN</t>
  </si>
  <si>
    <t>23-07-2009</t>
  </si>
  <si>
    <t>Ratu Langi</t>
  </si>
  <si>
    <t>0821-4271-0990</t>
  </si>
  <si>
    <t>081228746506</t>
  </si>
  <si>
    <t>MSB24-03-393</t>
  </si>
  <si>
    <t>AHMAD SHOHIBUL ASROR</t>
  </si>
  <si>
    <t>DEMAK</t>
  </si>
  <si>
    <t>6-10-2009</t>
  </si>
  <si>
    <t>NUR WAHIDAH</t>
  </si>
  <si>
    <t>0853-2663-1658</t>
  </si>
  <si>
    <t>0882-2673-2387</t>
  </si>
  <si>
    <t>Kliwon</t>
  </si>
  <si>
    <t>+62 895-3863-08235</t>
  </si>
  <si>
    <t>081383016962</t>
  </si>
  <si>
    <t>MSB24-03-397</t>
  </si>
  <si>
    <t>ZIDNI IMAWAN PRAKOSO</t>
  </si>
  <si>
    <t>4-07-2008</t>
  </si>
  <si>
    <t>Buang</t>
  </si>
  <si>
    <t>TEMBEN</t>
  </si>
  <si>
    <t>085642672093</t>
  </si>
  <si>
    <t>085647744841</t>
  </si>
  <si>
    <t>PARDASUKA KATIBUNG</t>
  </si>
  <si>
    <t>6-05-2007</t>
  </si>
  <si>
    <t>RUBIYANTO</t>
  </si>
  <si>
    <t>KARANG</t>
  </si>
  <si>
    <t>SINGOSAREN</t>
  </si>
  <si>
    <t>MTS N 1 BANTUL</t>
  </si>
  <si>
    <t>087812419780</t>
  </si>
  <si>
    <t>0882008278919</t>
  </si>
  <si>
    <t>12-08-2008</t>
  </si>
  <si>
    <t>Bambang wijanarko</t>
  </si>
  <si>
    <t>TEMUWUH KIDUL</t>
  </si>
  <si>
    <t>007</t>
  </si>
  <si>
    <t>031</t>
  </si>
  <si>
    <t>+62 895-3590-47244</t>
  </si>
  <si>
    <t>+62 898-9240-66</t>
  </si>
  <si>
    <t>Dedi widayana</t>
  </si>
  <si>
    <t>PALIHAN</t>
  </si>
  <si>
    <t>085747443330</t>
  </si>
  <si>
    <t>085712690141</t>
  </si>
  <si>
    <t>28-05-2009</t>
  </si>
  <si>
    <t>Muhammad fuad</t>
  </si>
  <si>
    <t>KRANDOHAN</t>
  </si>
  <si>
    <t>019</t>
  </si>
  <si>
    <t>MTs N 6 BANTUL</t>
  </si>
  <si>
    <t>082327930700</t>
  </si>
  <si>
    <t>0895403430205</t>
  </si>
  <si>
    <t>26-02-2008</t>
  </si>
  <si>
    <t>ALFI ANTORO</t>
  </si>
  <si>
    <t>SWASTA ( SOPIR)</t>
  </si>
  <si>
    <t>DAGEN, GUMUK</t>
  </si>
  <si>
    <t>082135340660</t>
  </si>
  <si>
    <t>085229529454</t>
  </si>
  <si>
    <t>Bantul</t>
  </si>
  <si>
    <t>30-12-2007</t>
  </si>
  <si>
    <t>PARDI</t>
  </si>
  <si>
    <t>BALAKAN</t>
  </si>
  <si>
    <t>088237143915</t>
  </si>
  <si>
    <t>0895363563902</t>
  </si>
  <si>
    <t>SRI LESTARI</t>
  </si>
  <si>
    <t>KRINJING</t>
  </si>
  <si>
    <t>081325168231</t>
  </si>
  <si>
    <t>083895363313</t>
  </si>
  <si>
    <t>MUH SHOHIB</t>
  </si>
  <si>
    <t>085842736579</t>
  </si>
  <si>
    <t>089687714274</t>
  </si>
  <si>
    <t>MSB24-03-406</t>
  </si>
  <si>
    <t>MUHAMMAD ZIDAN</t>
  </si>
  <si>
    <t>SUKENDAR</t>
  </si>
  <si>
    <t>SAMAN</t>
  </si>
  <si>
    <t>0882007766015</t>
  </si>
  <si>
    <t>089518561993</t>
  </si>
  <si>
    <t>MUHAMMAD UMAR SAHID</t>
  </si>
  <si>
    <t>KENTOLAN LOR</t>
  </si>
  <si>
    <t>085225806069</t>
  </si>
  <si>
    <t>0895424319494</t>
  </si>
  <si>
    <t>16-03-2009</t>
  </si>
  <si>
    <t>IKA HANDAYANI W</t>
  </si>
  <si>
    <t>TEGAL BELAN</t>
  </si>
  <si>
    <t>081327571950</t>
  </si>
  <si>
    <t>089519417947</t>
  </si>
  <si>
    <t>KLATEN</t>
  </si>
  <si>
    <t>SUJARNO</t>
  </si>
  <si>
    <t>PEDAGANG</t>
  </si>
  <si>
    <t>KEPUH KULON</t>
  </si>
  <si>
    <t>085710157771/088233869169</t>
  </si>
  <si>
    <t>085710157771</t>
  </si>
  <si>
    <t>17-10-2007</t>
  </si>
  <si>
    <t>SUAMRIYAH</t>
  </si>
  <si>
    <t>NGRAME DUSUN.DK.IV</t>
  </si>
  <si>
    <t>+62 878-3994-6105</t>
  </si>
  <si>
    <t>08994855234</t>
  </si>
  <si>
    <t>10-05-2008</t>
  </si>
  <si>
    <t>KALONGAN</t>
  </si>
  <si>
    <t>085786431365</t>
  </si>
  <si>
    <t>085727695835</t>
  </si>
  <si>
    <t>DANI SETIAWAN</t>
  </si>
  <si>
    <t>JETIS GLONDONG</t>
  </si>
  <si>
    <t>0895379684803</t>
  </si>
  <si>
    <t>082003529073</t>
  </si>
  <si>
    <t>13-08-2006</t>
  </si>
  <si>
    <t>Ari Kustanto</t>
  </si>
  <si>
    <t>081383391600</t>
  </si>
  <si>
    <t>8-04-2009</t>
  </si>
  <si>
    <t>ARIFIN SUSANTO</t>
  </si>
  <si>
    <t>088216270664</t>
  </si>
  <si>
    <t>082216270664</t>
  </si>
  <si>
    <t>MSB24-03-415</t>
  </si>
  <si>
    <t>SYAIFUL HAQ ARRAYA</t>
  </si>
  <si>
    <t>KHAIRUDDIN</t>
  </si>
  <si>
    <t>0895392847047</t>
  </si>
  <si>
    <t>0895324980900</t>
  </si>
  <si>
    <t>24-01-2009</t>
  </si>
  <si>
    <t>Mardi Purnomo</t>
  </si>
  <si>
    <t>Sopir</t>
  </si>
  <si>
    <t>KEPUTREN</t>
  </si>
  <si>
    <t>085974889156</t>
  </si>
  <si>
    <t>083869978598</t>
  </si>
  <si>
    <t>MSB24-03-417</t>
  </si>
  <si>
    <t>GALANG RIO SAPUTRA</t>
  </si>
  <si>
    <t>20-08-2008</t>
  </si>
  <si>
    <t>Muhammad japruddin</t>
  </si>
  <si>
    <t>KABROKAN WETAN</t>
  </si>
  <si>
    <t>0882007121158</t>
  </si>
  <si>
    <t>11-06-2008</t>
  </si>
  <si>
    <t>Nandang Pratungko</t>
  </si>
  <si>
    <t>PERUM KASONGAN PERMA</t>
  </si>
  <si>
    <t>08214355851</t>
  </si>
  <si>
    <t>085643618184</t>
  </si>
  <si>
    <t>18-03-2008</t>
  </si>
  <si>
    <t>PURWANTANA</t>
  </si>
  <si>
    <t>TEGALREJO</t>
  </si>
  <si>
    <t>BAWURAN</t>
  </si>
  <si>
    <t>08121583155</t>
  </si>
  <si>
    <t>089531063610</t>
  </si>
  <si>
    <t>MSB24-03-432</t>
  </si>
  <si>
    <t>ATHA RASYID RIZQI</t>
  </si>
  <si>
    <t>BABULU</t>
  </si>
  <si>
    <t>Ponco sukiyono</t>
  </si>
  <si>
    <t>Muallimin Muhammadiyah Yogyakarta</t>
  </si>
  <si>
    <t>081347688702/081328845283</t>
  </si>
  <si>
    <t>082136016252</t>
  </si>
  <si>
    <t>11-03-2009</t>
  </si>
  <si>
    <t>Paryoto/umi kiswariyah</t>
  </si>
  <si>
    <t>081391871052</t>
  </si>
  <si>
    <t>085742570376</t>
  </si>
  <si>
    <t>Jamirin</t>
  </si>
  <si>
    <t>PONGGOK I</t>
  </si>
  <si>
    <t>+62 878-3950-7574</t>
  </si>
  <si>
    <t>+62 878-3950-75</t>
  </si>
  <si>
    <t>Zuhdi sakuri</t>
  </si>
  <si>
    <t>KANGGOTAN</t>
  </si>
  <si>
    <t>087785266765</t>
  </si>
  <si>
    <t>088216348436</t>
  </si>
  <si>
    <t>Dk BERAN</t>
  </si>
  <si>
    <t>Ariyanto/Widiati</t>
  </si>
  <si>
    <t>085701118130</t>
  </si>
  <si>
    <t>9-07-2008</t>
  </si>
  <si>
    <t>SRI NURYANI</t>
  </si>
  <si>
    <t>TIRTONORMOLO</t>
  </si>
  <si>
    <t>083113132506</t>
  </si>
  <si>
    <t>083187460212</t>
  </si>
  <si>
    <t>23-08-2009</t>
  </si>
  <si>
    <t>DAWAM</t>
  </si>
  <si>
    <t>081575913831</t>
  </si>
  <si>
    <t>SUPIYATI</t>
  </si>
  <si>
    <t>BEDUKAN</t>
  </si>
  <si>
    <t>MTS TQ AR-RISALAH</t>
  </si>
  <si>
    <t>082135231297</t>
  </si>
  <si>
    <t>13-12-2006</t>
  </si>
  <si>
    <t>LOTIJAN</t>
  </si>
  <si>
    <t>DUKUH</t>
  </si>
  <si>
    <t>SMP MUHAMMADIYAH KALASAN</t>
  </si>
  <si>
    <t>085725911032</t>
  </si>
  <si>
    <t>0882008145851</t>
  </si>
  <si>
    <t>9-09-2008</t>
  </si>
  <si>
    <t>Tukijan</t>
  </si>
  <si>
    <t>Sumberagung</t>
  </si>
  <si>
    <t>Pule</t>
  </si>
  <si>
    <t>Jetis</t>
  </si>
  <si>
    <t>081224623568</t>
  </si>
  <si>
    <t>0895630376364</t>
  </si>
  <si>
    <t>20-06-2009</t>
  </si>
  <si>
    <t>AGUS HARYANTO</t>
  </si>
  <si>
    <t>TANJUNGNLOR</t>
  </si>
  <si>
    <t>0882003766394</t>
  </si>
  <si>
    <t>0895422802063</t>
  </si>
  <si>
    <t>22-07-2009</t>
  </si>
  <si>
    <t>RIYANTO</t>
  </si>
  <si>
    <t>Cempluk</t>
  </si>
  <si>
    <t>SMP N 2 DLINGO</t>
  </si>
  <si>
    <t>+6288221828604</t>
  </si>
  <si>
    <t>081215088719</t>
  </si>
  <si>
    <t>5-04-2009</t>
  </si>
  <si>
    <t>SUGIYANTO / SUYANTI</t>
  </si>
  <si>
    <t>085713199166</t>
  </si>
  <si>
    <t>083821997495</t>
  </si>
  <si>
    <t>Wartana</t>
  </si>
  <si>
    <t>SOGE</t>
  </si>
  <si>
    <t>085338375503</t>
  </si>
  <si>
    <t>082325623503</t>
  </si>
  <si>
    <t>18-10-2008</t>
  </si>
  <si>
    <t>DWI JAYANTI</t>
  </si>
  <si>
    <t>NGRANCAH</t>
  </si>
  <si>
    <t>081804056243</t>
  </si>
  <si>
    <t>11-04-2009</t>
  </si>
  <si>
    <t>MARSINAH</t>
  </si>
  <si>
    <t>KWENI</t>
  </si>
  <si>
    <t>081391439461</t>
  </si>
  <si>
    <t>082134337977</t>
  </si>
  <si>
    <t>19-04-2008</t>
  </si>
  <si>
    <t>Iwan Budi Antoro</t>
  </si>
  <si>
    <t>Tidak Bekerja</t>
  </si>
  <si>
    <t>tembi</t>
  </si>
  <si>
    <t>08174100225</t>
  </si>
  <si>
    <t>08998463953</t>
  </si>
  <si>
    <t>SAPTO MARETIYANTO</t>
  </si>
  <si>
    <t>SOMPOK</t>
  </si>
  <si>
    <t>089648906321</t>
  </si>
  <si>
    <t>083844893405</t>
  </si>
  <si>
    <t>27-10-2008</t>
  </si>
  <si>
    <t>Muhammad Zaenal Arif</t>
  </si>
  <si>
    <t>kerten</t>
  </si>
  <si>
    <t>imogiri</t>
  </si>
  <si>
    <t>Imogiri</t>
  </si>
  <si>
    <t>SMP Muhammadiyah Imogiri</t>
  </si>
  <si>
    <t>089668742534</t>
  </si>
  <si>
    <t>SUMARYANTO</t>
  </si>
  <si>
    <t>SMP MUHAMMADIYAH 5 YOGYAKARTA</t>
  </si>
  <si>
    <t>089648669140</t>
  </si>
  <si>
    <t>089612656522</t>
  </si>
  <si>
    <t>MSB24-03-453</t>
  </si>
  <si>
    <t>MUHAMMAD ABDUL AZIZ LUTFIYANTO</t>
  </si>
  <si>
    <t>0895391876329</t>
  </si>
  <si>
    <t>0895622413907</t>
  </si>
  <si>
    <t>4-04-2007</t>
  </si>
  <si>
    <t>BINTI MARYATUN</t>
  </si>
  <si>
    <t>GERSIK</t>
  </si>
  <si>
    <t>082226764082</t>
  </si>
  <si>
    <t>DWI ARYANTO</t>
  </si>
  <si>
    <t>swasta</t>
  </si>
  <si>
    <t>Gesikan</t>
  </si>
  <si>
    <t>Panggungharjo</t>
  </si>
  <si>
    <t>Sewon</t>
  </si>
  <si>
    <t>SMP N 2 Bantul</t>
  </si>
  <si>
    <t>082133556811</t>
  </si>
  <si>
    <t>7-05-2007</t>
  </si>
  <si>
    <t>Kadekrowo</t>
  </si>
  <si>
    <t>0895375752582</t>
  </si>
  <si>
    <t>088232664895</t>
  </si>
  <si>
    <t>Tri Sunu</t>
  </si>
  <si>
    <t>PHL</t>
  </si>
  <si>
    <t>Sawahan</t>
  </si>
  <si>
    <t>o1</t>
  </si>
  <si>
    <t>088215663056</t>
  </si>
  <si>
    <t>Muhammad Aris</t>
  </si>
  <si>
    <t>089635275531</t>
  </si>
  <si>
    <t>089613971357</t>
  </si>
  <si>
    <t>SUPARJAN</t>
  </si>
  <si>
    <t>085600064009</t>
  </si>
  <si>
    <t>13-03-2007</t>
  </si>
  <si>
    <t>Gunungkelir</t>
  </si>
  <si>
    <t>Pleret</t>
  </si>
  <si>
    <t>Daerah istimewa Yogy</t>
  </si>
  <si>
    <t>SMP N 2 Pleret</t>
  </si>
  <si>
    <t>08995493560</t>
  </si>
  <si>
    <t>0895337100869</t>
  </si>
  <si>
    <t>27-10-2007</t>
  </si>
  <si>
    <t>YULIA WULANDARI</t>
  </si>
  <si>
    <t>082136838721</t>
  </si>
  <si>
    <t>081393192003</t>
  </si>
  <si>
    <t>F LINDA HIROYUKI</t>
  </si>
  <si>
    <t>JL. IMOGIRI TIMUR KM</t>
  </si>
  <si>
    <t>082220368153</t>
  </si>
  <si>
    <t>085747287806</t>
  </si>
  <si>
    <t>PANDEYAN</t>
  </si>
  <si>
    <t>085803789981</t>
  </si>
  <si>
    <t>082137755475</t>
  </si>
  <si>
    <t>1-05-2009</t>
  </si>
  <si>
    <t>WARDOYO</t>
  </si>
  <si>
    <t>NGABEAN</t>
  </si>
  <si>
    <t>sMP N 4 PANDAK</t>
  </si>
  <si>
    <t>085712072420</t>
  </si>
  <si>
    <t>08895049878</t>
  </si>
  <si>
    <t>19-04-2009</t>
  </si>
  <si>
    <t>SUPANGAT</t>
  </si>
  <si>
    <t>081226211864</t>
  </si>
  <si>
    <t>08813761852</t>
  </si>
  <si>
    <t>11-09-2008</t>
  </si>
  <si>
    <t>PARJILAH</t>
  </si>
  <si>
    <t>088983255878</t>
  </si>
  <si>
    <t>13-11-2006</t>
  </si>
  <si>
    <t>MUKIBAR</t>
  </si>
  <si>
    <t>TANI</t>
  </si>
  <si>
    <t>KARANGANYAR</t>
  </si>
  <si>
    <t>082134835099</t>
  </si>
  <si>
    <t>CEME</t>
  </si>
  <si>
    <t>SA NDEN</t>
  </si>
  <si>
    <t>083131675526</t>
  </si>
  <si>
    <t>083159126625</t>
  </si>
  <si>
    <t>10-03-2008</t>
  </si>
  <si>
    <t>Haris prabowo</t>
  </si>
  <si>
    <t>Cembing</t>
  </si>
  <si>
    <t>RT 04</t>
  </si>
  <si>
    <t>+62 889-8386-0713</t>
  </si>
  <si>
    <t>+62 882-0067-77</t>
  </si>
  <si>
    <t>rR. SRI SADNAWA AMBAR NINGSIH</t>
  </si>
  <si>
    <t>PANDES</t>
  </si>
  <si>
    <t>08974320424</t>
  </si>
  <si>
    <t>BUDI SANTOSO</t>
  </si>
  <si>
    <t>022</t>
  </si>
  <si>
    <t>089674692990</t>
  </si>
  <si>
    <t>SUGIYANTO</t>
  </si>
  <si>
    <t>085725624973</t>
  </si>
  <si>
    <t>085640115122</t>
  </si>
  <si>
    <t>30-06-2009</t>
  </si>
  <si>
    <t>Nur Wahyu / Teti Eliyana</t>
  </si>
  <si>
    <t>Nulis Geblagan</t>
  </si>
  <si>
    <t>081237498878 / 081326015008</t>
  </si>
  <si>
    <t>089671711842</t>
  </si>
  <si>
    <t>SLAMET RIYADI</t>
  </si>
  <si>
    <t>PANDES II</t>
  </si>
  <si>
    <t>081328652083</t>
  </si>
  <si>
    <t>081233465030</t>
  </si>
  <si>
    <t>18-11-2008</t>
  </si>
  <si>
    <t>Siti Wahyuni</t>
  </si>
  <si>
    <t>Buruh harian lepas</t>
  </si>
  <si>
    <t>Banyudono</t>
  </si>
  <si>
    <t>Canden</t>
  </si>
  <si>
    <t>Daerah Istimewa Yogy</t>
  </si>
  <si>
    <t>085868828119</t>
  </si>
  <si>
    <t>MSB24-03-482</t>
  </si>
  <si>
    <t>NAVIGA ADILLA CHANDRA</t>
  </si>
  <si>
    <t>Wigiharto</t>
  </si>
  <si>
    <t>081215047013</t>
  </si>
  <si>
    <t>088222877968</t>
  </si>
  <si>
    <t>MARYATI</t>
  </si>
  <si>
    <t>GESIKAN JARANAN</t>
  </si>
  <si>
    <t>081909979649</t>
  </si>
  <si>
    <t>0882998947473</t>
  </si>
  <si>
    <t>MUHAMAD SUBKHAN</t>
  </si>
  <si>
    <t>085103536350</t>
  </si>
  <si>
    <t>0882006985378</t>
  </si>
  <si>
    <t>Banyidono</t>
  </si>
  <si>
    <t>081228901390</t>
  </si>
  <si>
    <t>085643365818</t>
  </si>
  <si>
    <t>1-12-2008</t>
  </si>
  <si>
    <t>Sudalyani</t>
  </si>
  <si>
    <t>Numpukan</t>
  </si>
  <si>
    <t>085640859959</t>
  </si>
  <si>
    <t>085742971917</t>
  </si>
  <si>
    <t>17-02-2008</t>
  </si>
  <si>
    <t>Sri Juliani</t>
  </si>
  <si>
    <t>Dukuh</t>
  </si>
  <si>
    <t>081990413393</t>
  </si>
  <si>
    <t>08895520181</t>
  </si>
  <si>
    <t>Kebumen</t>
  </si>
  <si>
    <t>DARTO</t>
  </si>
  <si>
    <t>Wiraswasta</t>
  </si>
  <si>
    <t>Nogosari</t>
  </si>
  <si>
    <t>Trirenggo</t>
  </si>
  <si>
    <t>DI YOGYAKARTA</t>
  </si>
  <si>
    <t>081548559688</t>
  </si>
  <si>
    <t>085779563233</t>
  </si>
  <si>
    <t>Sarinten</t>
  </si>
  <si>
    <t>dukuh</t>
  </si>
  <si>
    <t>088221427010</t>
  </si>
  <si>
    <t>08818564018</t>
  </si>
  <si>
    <t>10-04-2009</t>
  </si>
  <si>
    <t>TRI JAWANTO</t>
  </si>
  <si>
    <t>NELAYAN</t>
  </si>
  <si>
    <t>NGEPET</t>
  </si>
  <si>
    <t>081227932532</t>
  </si>
  <si>
    <t>MUH SAHID</t>
  </si>
  <si>
    <t>DRUWO</t>
  </si>
  <si>
    <t>085869146877</t>
  </si>
  <si>
    <t>MSB24-03-495</t>
  </si>
  <si>
    <t>SENO DWI NUGROHO</t>
  </si>
  <si>
    <t>12/01/2009</t>
  </si>
  <si>
    <t>GOMBLOH WARDANI</t>
  </si>
  <si>
    <t>KLOMPEAN</t>
  </si>
  <si>
    <t>085641584321</t>
  </si>
  <si>
    <t>088980463297</t>
  </si>
  <si>
    <t>2-01-2008</t>
  </si>
  <si>
    <t>Maryadi</t>
  </si>
  <si>
    <t>Pungkuran</t>
  </si>
  <si>
    <t>087839967167</t>
  </si>
  <si>
    <t>0838-5213-6810</t>
  </si>
  <si>
    <t>TRI PUJI LESTARI</t>
  </si>
  <si>
    <t>Pucanganom</t>
  </si>
  <si>
    <t>Mutigading</t>
  </si>
  <si>
    <t>Sanden</t>
  </si>
  <si>
    <t>087823938921</t>
  </si>
  <si>
    <t>088980835951</t>
  </si>
  <si>
    <t>11-06-2007</t>
  </si>
  <si>
    <t>Tentrem</t>
  </si>
  <si>
    <t>Metes</t>
  </si>
  <si>
    <t>ARGOREJO</t>
  </si>
  <si>
    <t>SEDAYU</t>
  </si>
  <si>
    <t>SMP N 2 SEDAYU</t>
  </si>
  <si>
    <t>081238028465</t>
  </si>
  <si>
    <t>082134932186</t>
  </si>
  <si>
    <t>MSB24-03-501</t>
  </si>
  <si>
    <t>MUHAMMAD FAUZAN AZIM SIREGAR</t>
  </si>
  <si>
    <t>Kepahiang</t>
  </si>
  <si>
    <t>Ucok Setia Siregae</t>
  </si>
  <si>
    <t>Guru</t>
  </si>
  <si>
    <t>Berajan</t>
  </si>
  <si>
    <t>Tamantirto</t>
  </si>
  <si>
    <t>Yogyakarta</t>
  </si>
  <si>
    <t>PPTQ Harun Asy Syafi'i</t>
  </si>
  <si>
    <t>+62 831-8142-0110</t>
  </si>
  <si>
    <t>085758020276</t>
  </si>
  <si>
    <t>BANDAR LAMPUNG</t>
  </si>
  <si>
    <t>TRI HARTANTO</t>
  </si>
  <si>
    <t>Ngijo</t>
  </si>
  <si>
    <t>Bangunharjo</t>
  </si>
  <si>
    <t>082182711134</t>
  </si>
  <si>
    <t>1-04-2008</t>
  </si>
  <si>
    <t>tukija</t>
  </si>
  <si>
    <t>candi</t>
  </si>
  <si>
    <t>SMP ISLAM AR-RISALAH</t>
  </si>
  <si>
    <t>081575475075</t>
  </si>
  <si>
    <t>4-04-2008</t>
  </si>
  <si>
    <t>Ponidi</t>
  </si>
  <si>
    <t>0882008894310</t>
  </si>
  <si>
    <t>6-03-2009</t>
  </si>
  <si>
    <t>ALIP PRIYANTO</t>
  </si>
  <si>
    <t>PATRAN</t>
  </si>
  <si>
    <t>082131906445</t>
  </si>
  <si>
    <t>081991081576</t>
  </si>
  <si>
    <t>ARIF SUBEKTI</t>
  </si>
  <si>
    <t>085800080005</t>
  </si>
  <si>
    <t>08980000045</t>
  </si>
  <si>
    <t>10-07-2008</t>
  </si>
  <si>
    <t>SURYANTA</t>
  </si>
  <si>
    <t>sMP N 1 BANTUL</t>
  </si>
  <si>
    <t>087838998204</t>
  </si>
  <si>
    <t>089612673924</t>
  </si>
  <si>
    <t>15-06-2008</t>
  </si>
  <si>
    <t>MURGIYANTI</t>
  </si>
  <si>
    <t>081228148917</t>
  </si>
  <si>
    <t>085602727695</t>
  </si>
  <si>
    <t>23-07-2006</t>
  </si>
  <si>
    <t>HANATIQ</t>
  </si>
  <si>
    <t>JATEN</t>
  </si>
  <si>
    <t>083895368270</t>
  </si>
  <si>
    <t>083149680364</t>
  </si>
  <si>
    <t>27-07-2007</t>
  </si>
  <si>
    <t>SARJIYEM</t>
  </si>
  <si>
    <t>DUKUH JATEN</t>
  </si>
  <si>
    <t>08886855010</t>
  </si>
  <si>
    <t>BURHANUDIN MAHMUDI</t>
  </si>
  <si>
    <t>PENJUAL SAYUR</t>
  </si>
  <si>
    <t>NGIBIKAN</t>
  </si>
  <si>
    <t>085225421313</t>
  </si>
  <si>
    <t>085727440121</t>
  </si>
  <si>
    <t>BATAM</t>
  </si>
  <si>
    <t>22-10-2008</t>
  </si>
  <si>
    <t>DRS MUJANI</t>
  </si>
  <si>
    <t>OJEK ONLINE</t>
  </si>
  <si>
    <t>089687704288</t>
  </si>
  <si>
    <t>0895424191080</t>
  </si>
  <si>
    <t>SITI FATIMAH</t>
  </si>
  <si>
    <t>BONDALEM</t>
  </si>
  <si>
    <t>081228925206</t>
  </si>
  <si>
    <t>082325498132</t>
  </si>
  <si>
    <t>15-04-2009</t>
  </si>
  <si>
    <t>SUMARWAN</t>
  </si>
  <si>
    <t>SEGOROYOSO</t>
  </si>
  <si>
    <t>089501104712</t>
  </si>
  <si>
    <t>0895387893500</t>
  </si>
  <si>
    <t>30-11-2007</t>
  </si>
  <si>
    <t>SURAJA</t>
  </si>
  <si>
    <t>TARUBAN DK. NGRINGIN</t>
  </si>
  <si>
    <t>089646569951</t>
  </si>
  <si>
    <t>089620915192</t>
  </si>
  <si>
    <t>MSB24-03-521</t>
  </si>
  <si>
    <t>MUHAMMAD ZIDAN PRATAMA</t>
  </si>
  <si>
    <t>Wintolo susilo</t>
  </si>
  <si>
    <t>Bungas</t>
  </si>
  <si>
    <t>089618510370</t>
  </si>
  <si>
    <t>0882008882050</t>
  </si>
  <si>
    <t>7-10-2007</t>
  </si>
  <si>
    <t>sUSANTO</t>
  </si>
  <si>
    <t>087810659178</t>
  </si>
  <si>
    <t>085643642390</t>
  </si>
  <si>
    <t>24-10-2008</t>
  </si>
  <si>
    <t>TRI MURHAYATI</t>
  </si>
  <si>
    <t>BURUH JAHIT</t>
  </si>
  <si>
    <t>089507708827</t>
  </si>
  <si>
    <t>0895355095040</t>
  </si>
  <si>
    <t>MARJUKI</t>
  </si>
  <si>
    <t>MONTIR</t>
  </si>
  <si>
    <t>TANUBAYAN</t>
  </si>
  <si>
    <t>089421898043</t>
  </si>
  <si>
    <t>0895327552143</t>
  </si>
  <si>
    <t>YETIK YULIANTI</t>
  </si>
  <si>
    <t>SAMEN</t>
  </si>
  <si>
    <t>083125339359</t>
  </si>
  <si>
    <t>0895397338030</t>
  </si>
  <si>
    <t>25-09-2008</t>
  </si>
  <si>
    <t>YUNIATI</t>
  </si>
  <si>
    <t>PEGAWAI PABRIK</t>
  </si>
  <si>
    <t>BULU</t>
  </si>
  <si>
    <t>088980738038</t>
  </si>
  <si>
    <t>0882005858497</t>
  </si>
  <si>
    <t>SARYANTA</t>
  </si>
  <si>
    <t>PULE KERTAN</t>
  </si>
  <si>
    <t>089523846622</t>
  </si>
  <si>
    <t>0895339276884</t>
  </si>
  <si>
    <t>WISNU UTOMO</t>
  </si>
  <si>
    <t>BURUH TETAP</t>
  </si>
  <si>
    <t>JOGONALAN LOR</t>
  </si>
  <si>
    <t>081226849306</t>
  </si>
  <si>
    <t>0895611014020</t>
  </si>
  <si>
    <t>MSB24-03-529</t>
  </si>
  <si>
    <t>AFIRIZI ANHAR</t>
  </si>
  <si>
    <t>12-04-2008</t>
  </si>
  <si>
    <t>DALSIRAN</t>
  </si>
  <si>
    <t>055</t>
  </si>
  <si>
    <t>SMP AL MAARIF</t>
  </si>
  <si>
    <t>085220565408</t>
  </si>
  <si>
    <t>0895387922444</t>
  </si>
  <si>
    <t>WIDODO BASUKI</t>
  </si>
  <si>
    <t>0895364426969</t>
  </si>
  <si>
    <t>0895321269745</t>
  </si>
  <si>
    <t>NAWARTI</t>
  </si>
  <si>
    <t>085876209045</t>
  </si>
  <si>
    <t>085727437926</t>
  </si>
  <si>
    <t>MSB24-03-533</t>
  </si>
  <si>
    <t>MEIZAR RISABA PRATAMA</t>
  </si>
  <si>
    <t>25/05/2009</t>
  </si>
  <si>
    <t>NANANG RULIA VITANTO</t>
  </si>
  <si>
    <t>TNI</t>
  </si>
  <si>
    <t>PONGGOK 1</t>
  </si>
  <si>
    <t>MTs DARUL QURAN</t>
  </si>
  <si>
    <t>0877-3521-9577 / 085726815858</t>
  </si>
  <si>
    <t>085726815858</t>
  </si>
  <si>
    <t>17-08-2008</t>
  </si>
  <si>
    <t>WIDIYASTUTI</t>
  </si>
  <si>
    <t>BURUH LEPAS</t>
  </si>
  <si>
    <t>RENDENG WETAN</t>
  </si>
  <si>
    <t>0895402622970</t>
  </si>
  <si>
    <t>7-04-2009</t>
  </si>
  <si>
    <t>NGATINO</t>
  </si>
  <si>
    <t>081931723301</t>
  </si>
  <si>
    <t>08998426252</t>
  </si>
  <si>
    <t>3-07-2009</t>
  </si>
  <si>
    <t>PRIYANTO</t>
  </si>
  <si>
    <t>SILUK 1</t>
  </si>
  <si>
    <t>087871171553</t>
  </si>
  <si>
    <t>083131488697</t>
  </si>
  <si>
    <t>18-04-2008</t>
  </si>
  <si>
    <t>SRIYAMTINI</t>
  </si>
  <si>
    <t>JEJERAN I</t>
  </si>
  <si>
    <t>0882006517817</t>
  </si>
  <si>
    <t>08827949981</t>
  </si>
  <si>
    <t>9-08-2008</t>
  </si>
  <si>
    <t>SUYATNO</t>
  </si>
  <si>
    <t>083144926555</t>
  </si>
  <si>
    <t>083852556256</t>
  </si>
  <si>
    <t>1-12-2009</t>
  </si>
  <si>
    <t>AGUNG KRISNANTO</t>
  </si>
  <si>
    <t>bEJI</t>
  </si>
  <si>
    <t>082134900990</t>
  </si>
  <si>
    <t>0895385376275</t>
  </si>
  <si>
    <t>SUBIMAN</t>
  </si>
  <si>
    <t>087731056553</t>
  </si>
  <si>
    <t>087888761615</t>
  </si>
  <si>
    <t>20-02-2009</t>
  </si>
  <si>
    <t>KRISNAWATI</t>
  </si>
  <si>
    <t>BANGUN HARJO</t>
  </si>
  <si>
    <t>0895421839340</t>
  </si>
  <si>
    <t>085727103425</t>
  </si>
  <si>
    <t>6-04-2008</t>
  </si>
  <si>
    <t>08985837703</t>
  </si>
  <si>
    <t>D</t>
  </si>
  <si>
    <t>081336943478</t>
  </si>
  <si>
    <t>SUKASMIYATI</t>
  </si>
  <si>
    <t>KARYAWAN</t>
  </si>
  <si>
    <t>0895392515509</t>
  </si>
  <si>
    <t>0895421636860</t>
  </si>
  <si>
    <t>3-05-2008</t>
  </si>
  <si>
    <t>PARTINI</t>
  </si>
  <si>
    <t>PENDOWO</t>
  </si>
  <si>
    <t>086</t>
  </si>
  <si>
    <t>085946688794</t>
  </si>
  <si>
    <t>085947701164</t>
  </si>
  <si>
    <t>504</t>
  </si>
  <si>
    <t>PURWANDI</t>
  </si>
  <si>
    <t>085643267872/08157907639</t>
  </si>
  <si>
    <t>085643267872</t>
  </si>
  <si>
    <t>505</t>
  </si>
  <si>
    <t>MSB24-03-548</t>
  </si>
  <si>
    <t>MUHAMMAD BINTANG ALFAREZA</t>
  </si>
  <si>
    <t>WIJONARKO</t>
  </si>
  <si>
    <t>TEGALAYANG</t>
  </si>
  <si>
    <t>085725772827</t>
  </si>
  <si>
    <t>085725347086</t>
  </si>
  <si>
    <t>506</t>
  </si>
  <si>
    <t>SUJAT MARWANTO</t>
  </si>
  <si>
    <t>BAKALAN LOR SAWAHAN</t>
  </si>
  <si>
    <t>051</t>
  </si>
  <si>
    <t>081903745594</t>
  </si>
  <si>
    <t>081292397612</t>
  </si>
  <si>
    <t>507</t>
  </si>
  <si>
    <t>21-03-2007</t>
  </si>
  <si>
    <t>MUNDHOFAR</t>
  </si>
  <si>
    <t>BAKALAN LOR</t>
  </si>
  <si>
    <t>082329548524</t>
  </si>
  <si>
    <t>085877512896</t>
  </si>
  <si>
    <t>508</t>
  </si>
  <si>
    <t>LILIK HERIYANTO</t>
  </si>
  <si>
    <t>KEYONGAN KIDUL</t>
  </si>
  <si>
    <t>081228654917</t>
  </si>
  <si>
    <t>085860903901</t>
  </si>
  <si>
    <t>509</t>
  </si>
  <si>
    <t>11-11-2008</t>
  </si>
  <si>
    <t>RAHMAD SAMSUDIN W</t>
  </si>
  <si>
    <t>DEMI BENDO</t>
  </si>
  <si>
    <t>085726496707</t>
  </si>
  <si>
    <t>085728920081</t>
  </si>
  <si>
    <t>510</t>
  </si>
  <si>
    <t>YULI LESTARI</t>
  </si>
  <si>
    <t>BURUH TIDAK TETAP</t>
  </si>
  <si>
    <t>PEDAK</t>
  </si>
  <si>
    <t>082316591245</t>
  </si>
  <si>
    <t>081390800485</t>
  </si>
  <si>
    <t>511</t>
  </si>
  <si>
    <t>27-03-2009</t>
  </si>
  <si>
    <t>ATIN KOMALASARI</t>
  </si>
  <si>
    <t>081393912565</t>
  </si>
  <si>
    <t>512</t>
  </si>
  <si>
    <t>25-10-2008</t>
  </si>
  <si>
    <t>SMP YP BANTUL</t>
  </si>
  <si>
    <t>085868866523</t>
  </si>
  <si>
    <t>513</t>
  </si>
  <si>
    <t>13-01-2008</t>
  </si>
  <si>
    <t>NUR CAHYO NOVIANTO</t>
  </si>
  <si>
    <t>DIRO</t>
  </si>
  <si>
    <t>083154542685</t>
  </si>
  <si>
    <t>514</t>
  </si>
  <si>
    <t>SUKARTINI</t>
  </si>
  <si>
    <t>087843111421</t>
  </si>
  <si>
    <t>089510777654</t>
  </si>
  <si>
    <t>515</t>
  </si>
  <si>
    <t>BURUH TANI</t>
  </si>
  <si>
    <t>WARUNG PRING</t>
  </si>
  <si>
    <t>SMP MUHAMMADIYAH 1 BAMBANG LIPURO</t>
  </si>
  <si>
    <t>083154712589/083117403914</t>
  </si>
  <si>
    <t>0895417647444</t>
  </si>
  <si>
    <t>516</t>
  </si>
  <si>
    <t>29-12-2006</t>
  </si>
  <si>
    <t>MUJI LESTARI</t>
  </si>
  <si>
    <t>GUNUNG BUTAK DK. GUM</t>
  </si>
  <si>
    <t>083104594453</t>
  </si>
  <si>
    <t>08891761849</t>
  </si>
  <si>
    <t>517</t>
  </si>
  <si>
    <t>HERI WIDODO</t>
  </si>
  <si>
    <t>SUPIR</t>
  </si>
  <si>
    <t>087739858722</t>
  </si>
  <si>
    <t>081323918224</t>
  </si>
  <si>
    <t>518</t>
  </si>
  <si>
    <t>23-05-2009</t>
  </si>
  <si>
    <t>KLIMAN</t>
  </si>
  <si>
    <t>021</t>
  </si>
  <si>
    <t>089945555521</t>
  </si>
  <si>
    <t>08997462404</t>
  </si>
  <si>
    <t>519</t>
  </si>
  <si>
    <t>3-09-2008</t>
  </si>
  <si>
    <t>NGAJIYEM</t>
  </si>
  <si>
    <t>085640956004</t>
  </si>
  <si>
    <t>085727697610</t>
  </si>
  <si>
    <t>520</t>
  </si>
  <si>
    <t>4-09-2008</t>
  </si>
  <si>
    <t>ARIS NURYANTO</t>
  </si>
  <si>
    <t>089658356902</t>
  </si>
  <si>
    <t>0895386259626</t>
  </si>
  <si>
    <t>521</t>
  </si>
  <si>
    <t>MSB24-03-567</t>
  </si>
  <si>
    <t>AHMAD ZIDAN NUR WAHID</t>
  </si>
  <si>
    <t>Mistakul khabibah</t>
  </si>
  <si>
    <t>Kendungrejo</t>
  </si>
  <si>
    <t>087713711177</t>
  </si>
  <si>
    <t>087796885661</t>
  </si>
  <si>
    <t>522</t>
  </si>
  <si>
    <t>MSB24-03-568</t>
  </si>
  <si>
    <t>MUHAMMAD FARID KURNIAWAN</t>
  </si>
  <si>
    <t>2-02-2009</t>
  </si>
  <si>
    <t>ULIL ABSOR</t>
  </si>
  <si>
    <t>089618950392</t>
  </si>
  <si>
    <t>089506867217</t>
  </si>
  <si>
    <t>523</t>
  </si>
  <si>
    <t>YULI KRIS BIYANTORO</t>
  </si>
  <si>
    <t>KARANGMOJO</t>
  </si>
  <si>
    <t>MTS N 1 SUMEDANG</t>
  </si>
  <si>
    <t>082117112552</t>
  </si>
  <si>
    <t>081392457029</t>
  </si>
  <si>
    <t>524</t>
  </si>
  <si>
    <t>NUR NANANG HERMANTO</t>
  </si>
  <si>
    <t>089527073044</t>
  </si>
  <si>
    <t>089636855773</t>
  </si>
  <si>
    <t>525</t>
  </si>
  <si>
    <t>4-03-2009</t>
  </si>
  <si>
    <t>SUJIO</t>
  </si>
  <si>
    <t>WIRA USAHA</t>
  </si>
  <si>
    <t>JONGGRANGAN</t>
  </si>
  <si>
    <t>082337018804</t>
  </si>
  <si>
    <t>089652970550</t>
  </si>
  <si>
    <t>526</t>
  </si>
  <si>
    <t>28-09-2007</t>
  </si>
  <si>
    <t>PONIYAH</t>
  </si>
  <si>
    <t>KERTO</t>
  </si>
  <si>
    <t>010</t>
  </si>
  <si>
    <t>083867687537</t>
  </si>
  <si>
    <t>089687894888</t>
  </si>
  <si>
    <t>527</t>
  </si>
  <si>
    <t>13-03-2009</t>
  </si>
  <si>
    <t>Ismanto</t>
  </si>
  <si>
    <t>Glugo</t>
  </si>
  <si>
    <t>0895337689587</t>
  </si>
  <si>
    <t>528</t>
  </si>
  <si>
    <t>MAKMUN AFANDI</t>
  </si>
  <si>
    <t>089650651117</t>
  </si>
  <si>
    <t>089649596622</t>
  </si>
  <si>
    <t>529</t>
  </si>
  <si>
    <t>MAISAROH</t>
  </si>
  <si>
    <t>JEJERAN iI</t>
  </si>
  <si>
    <t>085227091770</t>
  </si>
  <si>
    <t>088228401429</t>
  </si>
  <si>
    <t>530</t>
  </si>
  <si>
    <t>Saifuddin</t>
  </si>
  <si>
    <t>Sulang Lor</t>
  </si>
  <si>
    <t>087738471187</t>
  </si>
  <si>
    <t>085952895831</t>
  </si>
  <si>
    <t>531</t>
  </si>
  <si>
    <t>10-12-2008</t>
  </si>
  <si>
    <t>Heri Surono/Dewi Wulandari</t>
  </si>
  <si>
    <t>Kepek</t>
  </si>
  <si>
    <t>089607099604/0895405055223</t>
  </si>
  <si>
    <t>085641800221</t>
  </si>
  <si>
    <t>532</t>
  </si>
  <si>
    <t>26-06-2008</t>
  </si>
  <si>
    <t>Siti wardatul imroh</t>
  </si>
  <si>
    <t>Iroyudan</t>
  </si>
  <si>
    <t>082242751433</t>
  </si>
  <si>
    <t>533</t>
  </si>
  <si>
    <t>21-11-2008</t>
  </si>
  <si>
    <t>MIARTA / TRI MARDIKA RINI</t>
  </si>
  <si>
    <t>PACETAN</t>
  </si>
  <si>
    <t>089510423097</t>
  </si>
  <si>
    <t>0882006998341</t>
  </si>
  <si>
    <t>534</t>
  </si>
  <si>
    <t>535</t>
  </si>
  <si>
    <t>Blunyahan</t>
  </si>
  <si>
    <t>085729846105</t>
  </si>
  <si>
    <t>536</t>
  </si>
  <si>
    <t>16-06-2008</t>
  </si>
  <si>
    <t>siti nariyah</t>
  </si>
  <si>
    <t>0895421188596</t>
  </si>
  <si>
    <t>089506473141</t>
  </si>
  <si>
    <t>537</t>
  </si>
  <si>
    <t>SUPOMO</t>
  </si>
  <si>
    <t>NOGOSARI 1</t>
  </si>
  <si>
    <t>083892198552</t>
  </si>
  <si>
    <t>083114823539</t>
  </si>
  <si>
    <t>538</t>
  </si>
  <si>
    <t>FENNI PANCASUKMA</t>
  </si>
  <si>
    <t>08976846411</t>
  </si>
  <si>
    <t>081229506366</t>
  </si>
  <si>
    <t>539</t>
  </si>
  <si>
    <t>NGADIKIN</t>
  </si>
  <si>
    <t>0895385376756</t>
  </si>
  <si>
    <t>540</t>
  </si>
  <si>
    <t>PUJI LESTARI</t>
  </si>
  <si>
    <t>SOROBAYAN</t>
  </si>
  <si>
    <t>08773217045</t>
  </si>
  <si>
    <t>083131803331</t>
  </si>
  <si>
    <t>541</t>
  </si>
  <si>
    <t>3-08-2008</t>
  </si>
  <si>
    <t>ISWAHYUDI</t>
  </si>
  <si>
    <t>0895622776004</t>
  </si>
  <si>
    <t>081952731811</t>
  </si>
  <si>
    <t>542</t>
  </si>
  <si>
    <t>SUMSDI</t>
  </si>
  <si>
    <t>SKB BANTUL</t>
  </si>
  <si>
    <t>088985877403</t>
  </si>
  <si>
    <t>081575655510</t>
  </si>
  <si>
    <t>543</t>
  </si>
  <si>
    <t>TANJUNG LOR</t>
  </si>
  <si>
    <t>089649279106</t>
  </si>
  <si>
    <t>085697300665</t>
  </si>
  <si>
    <t>544</t>
  </si>
  <si>
    <t>Gito Widodo</t>
  </si>
  <si>
    <t>Mekanik Motor</t>
  </si>
  <si>
    <t>054</t>
  </si>
  <si>
    <t>089658504144</t>
  </si>
  <si>
    <t>0895391383831</t>
  </si>
  <si>
    <t>545</t>
  </si>
  <si>
    <t>3-11-2008</t>
  </si>
  <si>
    <t>SURADAL</t>
  </si>
  <si>
    <t>KULI BANGUNAN</t>
  </si>
  <si>
    <t>087826910868</t>
  </si>
  <si>
    <t>088229503965</t>
  </si>
  <si>
    <t>546</t>
  </si>
  <si>
    <t>RUSDA FAUZAN</t>
  </si>
  <si>
    <t>BEMBEM</t>
  </si>
  <si>
    <t>085158898920</t>
  </si>
  <si>
    <t>081228682344</t>
  </si>
  <si>
    <t>547</t>
  </si>
  <si>
    <t>5-07-2008</t>
  </si>
  <si>
    <t>SLAMET RIYANTO</t>
  </si>
  <si>
    <t>MEDELAN</t>
  </si>
  <si>
    <t>0895324105514</t>
  </si>
  <si>
    <t>083144641181</t>
  </si>
  <si>
    <t>548</t>
  </si>
  <si>
    <t>30-04-2007</t>
  </si>
  <si>
    <t>TRI ZULIYANTI</t>
  </si>
  <si>
    <t>JEJERAN 1</t>
  </si>
  <si>
    <t>0895320882517</t>
  </si>
  <si>
    <t>549</t>
  </si>
  <si>
    <t>MSB24-03-599</t>
  </si>
  <si>
    <t>HERWAN ILHAM PRATAMA</t>
  </si>
  <si>
    <t>15-04-2008</t>
  </si>
  <si>
    <t>WANTI</t>
  </si>
  <si>
    <t>DOLIKAN</t>
  </si>
  <si>
    <t>08882670256</t>
  </si>
  <si>
    <t>0882003185159</t>
  </si>
  <si>
    <t>550</t>
  </si>
  <si>
    <t>MSB24-03-600</t>
  </si>
  <si>
    <t>GALANG ADITYA NUR ANTORO</t>
  </si>
  <si>
    <t>Antoro</t>
  </si>
  <si>
    <t>087745418232</t>
  </si>
  <si>
    <t>089523152627</t>
  </si>
  <si>
    <t>551</t>
  </si>
  <si>
    <t>MSB24-04-602</t>
  </si>
  <si>
    <t>SALMA ASYIFA</t>
  </si>
  <si>
    <t>Gito</t>
  </si>
  <si>
    <t>KALIDADAP 2</t>
  </si>
  <si>
    <t>088983995830</t>
  </si>
  <si>
    <t>552</t>
  </si>
  <si>
    <t>ARI PURWANTO</t>
  </si>
  <si>
    <t>TALKONDO</t>
  </si>
  <si>
    <t>085226216621</t>
  </si>
  <si>
    <t>081225323377</t>
  </si>
  <si>
    <t>553</t>
  </si>
  <si>
    <t>2-02-2007</t>
  </si>
  <si>
    <t>MUKRI PURWANTO</t>
  </si>
  <si>
    <t>KEDUNGPRING</t>
  </si>
  <si>
    <t>SMP N 3 Pleret</t>
  </si>
  <si>
    <t>085747257928</t>
  </si>
  <si>
    <t>085869620297</t>
  </si>
  <si>
    <t>554</t>
  </si>
  <si>
    <t>CHOIRUL HUDA</t>
  </si>
  <si>
    <t>0895325442806</t>
  </si>
  <si>
    <t>0882003405812</t>
  </si>
  <si>
    <t>555</t>
  </si>
  <si>
    <t>29-08-2008</t>
  </si>
  <si>
    <t>MURSIDI</t>
  </si>
  <si>
    <t>LANTENG 2</t>
  </si>
  <si>
    <t>083126193252</t>
  </si>
  <si>
    <t>556</t>
  </si>
  <si>
    <t>22-01-2009</t>
  </si>
  <si>
    <t>AFRIZAL ZASKY</t>
  </si>
  <si>
    <t>VIDIO EDITOR</t>
  </si>
  <si>
    <t>JURON</t>
  </si>
  <si>
    <t>085158852289</t>
  </si>
  <si>
    <t>0895379139524</t>
  </si>
  <si>
    <t>557</t>
  </si>
  <si>
    <t>SUHARYADI</t>
  </si>
  <si>
    <t>TANUDITAN</t>
  </si>
  <si>
    <t>089510344688</t>
  </si>
  <si>
    <t>085747808730</t>
  </si>
  <si>
    <t>558</t>
  </si>
  <si>
    <t>RUMIJO</t>
  </si>
  <si>
    <t>JOMBLANG NGIRENGIREN</t>
  </si>
  <si>
    <t>087838561950</t>
  </si>
  <si>
    <t>083123723640</t>
  </si>
  <si>
    <t>559</t>
  </si>
  <si>
    <t>SURAJI</t>
  </si>
  <si>
    <t>KAJEN</t>
  </si>
  <si>
    <t>085728048102</t>
  </si>
  <si>
    <t>089620874274</t>
  </si>
  <si>
    <t>560</t>
  </si>
  <si>
    <t>25-06-2009</t>
  </si>
  <si>
    <t>SUHARTO</t>
  </si>
  <si>
    <t>08979785361</t>
  </si>
  <si>
    <t>085726344819</t>
  </si>
  <si>
    <t>561</t>
  </si>
  <si>
    <t>MSB24-04-613</t>
  </si>
  <si>
    <t>DEVAN ZAID BENIANSA</t>
  </si>
  <si>
    <t>25/06/2008</t>
  </si>
  <si>
    <t>ROHMAD SASMITO</t>
  </si>
  <si>
    <t>0882008634600</t>
  </si>
  <si>
    <t>088225238246</t>
  </si>
  <si>
    <t>562</t>
  </si>
  <si>
    <t>PARJIMAN</t>
  </si>
  <si>
    <t>GANGIN</t>
  </si>
  <si>
    <t>083137333331</t>
  </si>
  <si>
    <t>083890218414</t>
  </si>
  <si>
    <t>563</t>
  </si>
  <si>
    <t>ISNAINI</t>
  </si>
  <si>
    <t>Kanggotan</t>
  </si>
  <si>
    <t>0882005054248</t>
  </si>
  <si>
    <t>088902984275</t>
  </si>
  <si>
    <t>564</t>
  </si>
  <si>
    <t>MSB24-04-616</t>
  </si>
  <si>
    <t>ERDI RIZKY ALIF NUR RIFAI</t>
  </si>
  <si>
    <t>18-12-2009</t>
  </si>
  <si>
    <t>Budi Santoso</t>
  </si>
  <si>
    <t>08566566824</t>
  </si>
  <si>
    <t>0899-4164-234</t>
  </si>
  <si>
    <t>565</t>
  </si>
  <si>
    <t>TUMINEM</t>
  </si>
  <si>
    <t>089523171100</t>
  </si>
  <si>
    <t>566</t>
  </si>
  <si>
    <t>26-03-2008</t>
  </si>
  <si>
    <t>ANDRIYANTO</t>
  </si>
  <si>
    <t>PATEN</t>
  </si>
  <si>
    <t>089646568434</t>
  </si>
  <si>
    <t>0895620509933</t>
  </si>
  <si>
    <t>567</t>
  </si>
  <si>
    <t>ASIH ONO</t>
  </si>
  <si>
    <t>JATEN PULAUDADI</t>
  </si>
  <si>
    <t>083844906405</t>
  </si>
  <si>
    <t>081391246146</t>
  </si>
  <si>
    <t>568</t>
  </si>
  <si>
    <t>13-12-2008</t>
  </si>
  <si>
    <t>WARNO</t>
  </si>
  <si>
    <t>0895418904137</t>
  </si>
  <si>
    <t>08994101937</t>
  </si>
  <si>
    <t>569</t>
  </si>
  <si>
    <t>25-09-2007</t>
  </si>
  <si>
    <t>SLAMET WIDODO</t>
  </si>
  <si>
    <t>Buruh Tidak Tetap</t>
  </si>
  <si>
    <t>Karang Kulon</t>
  </si>
  <si>
    <t>Wukirsari</t>
  </si>
  <si>
    <t>bantul</t>
  </si>
  <si>
    <t>08812132285</t>
  </si>
  <si>
    <t>0878-4278-6599</t>
  </si>
  <si>
    <t>570</t>
  </si>
  <si>
    <t>MUKHID</t>
  </si>
  <si>
    <t>GEBANG GUYANGAN</t>
  </si>
  <si>
    <t>0895324146077</t>
  </si>
  <si>
    <t>0882005769069</t>
  </si>
  <si>
    <t>571</t>
  </si>
  <si>
    <t>MARYOTO</t>
  </si>
  <si>
    <t>TEGAL</t>
  </si>
  <si>
    <t>JAMBITAN</t>
  </si>
  <si>
    <t>SMP MUHAMMADIYAH BANGUNTAPAN</t>
  </si>
  <si>
    <t>089665694237</t>
  </si>
  <si>
    <t>085727287162</t>
  </si>
  <si>
    <t>572</t>
  </si>
  <si>
    <t>2-04-2009</t>
  </si>
  <si>
    <t>TIMBUL RIYADI</t>
  </si>
  <si>
    <t>MTs N 3 BANTUL</t>
  </si>
  <si>
    <t>085879420537</t>
  </si>
  <si>
    <t>085713574164</t>
  </si>
  <si>
    <t>573</t>
  </si>
  <si>
    <t>9-03-2008</t>
  </si>
  <si>
    <t>Risdiyanto</t>
  </si>
  <si>
    <t>Buruh tidak tetap</t>
  </si>
  <si>
    <t>SRANDKAN</t>
  </si>
  <si>
    <t>087839973486</t>
  </si>
  <si>
    <t>087738998374</t>
  </si>
  <si>
    <t>574</t>
  </si>
  <si>
    <t>4-05-2008</t>
  </si>
  <si>
    <t>SUGIRI</t>
  </si>
  <si>
    <t>BAKULAN</t>
  </si>
  <si>
    <t>085104894147</t>
  </si>
  <si>
    <t>0882007632172</t>
  </si>
  <si>
    <t>575</t>
  </si>
  <si>
    <t>bambang Wisasana</t>
  </si>
  <si>
    <t>KALIPUTIH</t>
  </si>
  <si>
    <t>089614477333</t>
  </si>
  <si>
    <t>0895409354466</t>
  </si>
  <si>
    <t>576</t>
  </si>
  <si>
    <t>22-04-2007</t>
  </si>
  <si>
    <t>YATIN</t>
  </si>
  <si>
    <t>088988518393</t>
  </si>
  <si>
    <t>577</t>
  </si>
  <si>
    <t>THOLKHAH MANSYUR</t>
  </si>
  <si>
    <t>085600274287</t>
  </si>
  <si>
    <t>0882008155858</t>
  </si>
  <si>
    <t>578</t>
  </si>
  <si>
    <t>Ida Royani</t>
  </si>
  <si>
    <t>JLAMPRANG LOR</t>
  </si>
  <si>
    <t>JAMBIDAN</t>
  </si>
  <si>
    <t>085692105621</t>
  </si>
  <si>
    <t>089527973611</t>
  </si>
  <si>
    <t>579</t>
  </si>
  <si>
    <t>Kulon Progo</t>
  </si>
  <si>
    <t>26-05-2008</t>
  </si>
  <si>
    <t>Rianto</t>
  </si>
  <si>
    <t>Seloharjo</t>
  </si>
  <si>
    <t>Pundong</t>
  </si>
  <si>
    <t>085729968969</t>
  </si>
  <si>
    <t>089664251919</t>
  </si>
  <si>
    <t>580</t>
  </si>
  <si>
    <t>MSB24-04-633</t>
  </si>
  <si>
    <t>RIO WIDIAN PRASETYO</t>
  </si>
  <si>
    <t>Tangerang</t>
  </si>
  <si>
    <t>23-06-2009</t>
  </si>
  <si>
    <t>Hery Soelistyo</t>
  </si>
  <si>
    <t>MELIKAN KIDUL DK BAN</t>
  </si>
  <si>
    <t>MTs AT TAMAM</t>
  </si>
  <si>
    <t>085282363281</t>
  </si>
  <si>
    <t>081290282259</t>
  </si>
  <si>
    <t>581</t>
  </si>
  <si>
    <t>16-08-2008</t>
  </si>
  <si>
    <t>ERNI PRIHATIN</t>
  </si>
  <si>
    <t>085742032031</t>
  </si>
  <si>
    <t>582</t>
  </si>
  <si>
    <t>SEGOROYOSO I</t>
  </si>
  <si>
    <t>089601961316</t>
  </si>
  <si>
    <t>583</t>
  </si>
  <si>
    <t>Slamet Riyanta</t>
  </si>
  <si>
    <t>KERGAN</t>
  </si>
  <si>
    <t>081568423379</t>
  </si>
  <si>
    <t>584</t>
  </si>
  <si>
    <t>HERUTOMO</t>
  </si>
  <si>
    <t>0895336745371</t>
  </si>
  <si>
    <t>089652272122</t>
  </si>
  <si>
    <t>585</t>
  </si>
  <si>
    <t>29-03-2008</t>
  </si>
  <si>
    <t>AGUS SARWANTO</t>
  </si>
  <si>
    <t>082265269142</t>
  </si>
  <si>
    <t>083841783198</t>
  </si>
  <si>
    <t>586</t>
  </si>
  <si>
    <t>8-08-2008</t>
  </si>
  <si>
    <t>SUHARNO</t>
  </si>
  <si>
    <t>SENGGOTAN DK. DONGKE</t>
  </si>
  <si>
    <t>009</t>
  </si>
  <si>
    <t>0882005916840</t>
  </si>
  <si>
    <t>0895343008284</t>
  </si>
  <si>
    <t>29-05-2008</t>
  </si>
  <si>
    <t>TARUBAN</t>
  </si>
  <si>
    <t>081575598560/085802706358</t>
  </si>
  <si>
    <t>20-10-2008</t>
  </si>
  <si>
    <t>AHMAD BUKHORI</t>
  </si>
  <si>
    <t>KARANGKULON</t>
  </si>
  <si>
    <t>08895259793</t>
  </si>
  <si>
    <t>0882006311642</t>
  </si>
  <si>
    <t>17-01-2008</t>
  </si>
  <si>
    <t>PRATIWI</t>
  </si>
  <si>
    <t>JEMBANGAN</t>
  </si>
  <si>
    <t>MTS AL-MAHALLI</t>
  </si>
  <si>
    <t>087739180313</t>
  </si>
  <si>
    <t>085293320469</t>
  </si>
  <si>
    <t>26-11-2007</t>
  </si>
  <si>
    <t>TUGIYANTO</t>
  </si>
  <si>
    <t>TLOGO</t>
  </si>
  <si>
    <t>083863538224</t>
  </si>
  <si>
    <t>08895612468</t>
  </si>
  <si>
    <t>SMP/MTs</t>
  </si>
  <si>
    <t>Tgl Lahir</t>
  </si>
  <si>
    <t>MSB24-04-644</t>
  </si>
  <si>
    <t>RADIT ATHAYA NUGROHO</t>
  </si>
  <si>
    <t>27-06-2008</t>
  </si>
  <si>
    <t>SARJIMAN</t>
  </si>
  <si>
    <t>CEPOKO</t>
  </si>
  <si>
    <t>085326062881</t>
  </si>
  <si>
    <t>081326879942</t>
  </si>
  <si>
    <t>: Dieni Nugrahini, S.Pd</t>
  </si>
  <si>
    <t>: Annisa Rizki  Amellia, S.Pd</t>
  </si>
  <si>
    <t>: Agus Haryanto, A.Md</t>
  </si>
  <si>
    <t>: Muhammad Khairil Anwar, S.Pd</t>
  </si>
  <si>
    <t>: Ardik Sudarmaji, S.T</t>
  </si>
  <si>
    <t>: Kristina Murtiningsih, S.Pd</t>
  </si>
  <si>
    <t>: Sigit Purnawan, S.Pd</t>
  </si>
  <si>
    <t>: Abdullah Dian Febriyanta, S.Pd</t>
  </si>
  <si>
    <t>: Endah Soffiati, S.Si</t>
  </si>
  <si>
    <t>: Rahmad Novi Wibawa, S.Pd</t>
  </si>
  <si>
    <t>: Rosita Dwi Noegrahaeni, S.Pd</t>
  </si>
  <si>
    <t>: Tubagus Mutasindra, S.Pd</t>
  </si>
  <si>
    <t>: Rr. Swisti Pritandari, S.Kom</t>
  </si>
  <si>
    <t>: Dian Tri Utami, S.Pd</t>
  </si>
  <si>
    <t>: Usfatun Kasanah, S.Kom</t>
  </si>
  <si>
    <t>MTS MUHAMMADIYAH SANDEN</t>
  </si>
  <si>
    <t>MSB24-04-645</t>
  </si>
  <si>
    <t>NOUVAL ADIT PRASETYO</t>
  </si>
  <si>
    <t>4-11-2007</t>
  </si>
  <si>
    <t>SUNTIATI</t>
  </si>
  <si>
    <t>GETAS</t>
  </si>
  <si>
    <t>082164693253</t>
  </si>
  <si>
    <t>082137435949</t>
  </si>
  <si>
    <t>SMP MUHAMMADIYAH 2 DLINGO</t>
  </si>
  <si>
    <t>MSB24-04-646</t>
  </si>
  <si>
    <t>ANANDA DAVA PUTRA PRATAMA</t>
  </si>
  <si>
    <t>31-10-2007</t>
  </si>
  <si>
    <t>DWI PURWANTO</t>
  </si>
  <si>
    <t>SUNGAPAN</t>
  </si>
  <si>
    <t>082326668116</t>
  </si>
  <si>
    <t>087786363883</t>
  </si>
  <si>
    <t>MSB24-04-647</t>
  </si>
  <si>
    <t>FITRI LESTARI</t>
  </si>
  <si>
    <t>WARIMAN</t>
  </si>
  <si>
    <t>KALIPUCANG</t>
  </si>
  <si>
    <t>08895299150</t>
  </si>
  <si>
    <t>088216597550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</si>
  <si>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</si>
  <si>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</si>
  <si>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</si>
  <si>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</si>
  <si>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</si>
  <si>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</si>
  <si>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</si>
  <si>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</si>
  <si>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</si>
  <si>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</si>
  <si>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</si>
  <si>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</si>
  <si>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</si>
  <si>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</si>
  <si>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</si>
  <si>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</si>
  <si>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</si>
  <si>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</si>
  <si>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</si>
  <si>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</si>
  <si>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</si>
  <si>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</si>
  <si>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</si>
  <si>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</si>
  <si>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</si>
  <si>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</si>
  <si>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</si>
  <si>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</si>
  <si>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</si>
  <si>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</si>
  <si>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</si>
  <si>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</si>
  <si>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</si>
  <si>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</si>
  <si>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</si>
  <si>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</si>
  <si>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</si>
  <si>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</si>
  <si>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</si>
  <si>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</si>
  <si>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</si>
  <si>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</si>
  <si>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</si>
  <si>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</si>
  <si>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</si>
  <si>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</si>
  <si>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</si>
  <si>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</si>
  <si>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</si>
  <si>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</si>
  <si>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</si>
  <si>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</si>
  <si>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</si>
  <si>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</si>
  <si>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</si>
  <si>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</si>
  <si>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</si>
  <si>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</si>
  <si>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</si>
  <si>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</si>
  <si>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</si>
  <si>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</si>
  <si>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</si>
  <si>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</si>
  <si>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</si>
  <si>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</si>
  <si>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</si>
  <si>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</si>
  <si>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</si>
  <si>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</si>
  <si>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</si>
  <si>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</si>
  <si>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</si>
  <si>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</si>
  <si>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</si>
  <si>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</si>
  <si>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</si>
  <si>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</si>
  <si>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</si>
  <si>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</si>
  <si>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</si>
  <si>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</si>
  <si>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</si>
  <si>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</si>
  <si>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</si>
  <si>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</si>
  <si>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</si>
  <si>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</si>
  <si>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</si>
  <si>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</si>
  <si>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</si>
  <si>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</si>
  <si>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</si>
  <si>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</si>
  <si>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</si>
  <si>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</si>
  <si>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</si>
  <si>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</si>
  <si>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</si>
  <si>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</si>
  <si>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</si>
  <si>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</si>
  <si>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</si>
  <si>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</si>
  <si>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</si>
  <si>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</si>
  <si>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</si>
  <si>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</si>
  <si>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</si>
  <si>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</si>
  <si>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</si>
  <si>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</si>
  <si>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</si>
  <si>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</si>
  <si>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</si>
  <si>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</si>
  <si>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</si>
  <si>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</si>
  <si>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</si>
  <si>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</si>
  <si>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</si>
  <si>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</si>
  <si>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</si>
  <si>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</si>
  <si>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</si>
  <si>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</si>
  <si>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</si>
  <si>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</si>
  <si>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</si>
  <si>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</si>
  <si>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</si>
  <si>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</si>
  <si>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</si>
  <si>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</si>
  <si>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</si>
  <si>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</si>
  <si>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</si>
  <si>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</si>
  <si>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</si>
  <si>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</si>
  <si>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</si>
  <si>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</si>
  <si>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</si>
  <si>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</si>
  <si>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</si>
  <si>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</si>
  <si>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</si>
  <si>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</si>
  <si>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</si>
  <si>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</si>
  <si>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</si>
  <si>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</si>
  <si>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</si>
  <si>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</si>
  <si>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</si>
  <si>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</si>
  <si>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</si>
  <si>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</si>
  <si>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</si>
  <si>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</si>
  <si>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</si>
  <si>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</si>
  <si>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</si>
  <si>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</si>
  <si>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</si>
  <si>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</si>
  <si>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</si>
  <si>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</si>
  <si>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</si>
  <si>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</si>
  <si>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</si>
  <si>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</si>
  <si>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</si>
  <si>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</si>
  <si>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</si>
  <si>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</si>
  <si>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</si>
  <si>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</si>
  <si>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</si>
  <si>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</si>
  <si>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</si>
  <si>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</si>
  <si>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</si>
  <si>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</si>
  <si>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</si>
  <si>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</si>
  <si>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</si>
  <si>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</si>
  <si>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</si>
  <si>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</si>
  <si>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</si>
  <si>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</si>
  <si>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</si>
  <si>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</si>
  <si>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</si>
  <si>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</si>
  <si>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</si>
  <si>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</si>
  <si>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</si>
  <si>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</si>
  <si>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</si>
  <si>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</si>
  <si>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</si>
  <si>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</si>
  <si>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</si>
  <si>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</si>
  <si>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</si>
  <si>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</si>
  <si>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</si>
  <si>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</si>
  <si>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</si>
  <si>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</si>
  <si>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</si>
  <si>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</si>
  <si>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</si>
  <si>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</si>
  <si>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</si>
  <si>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</si>
  <si>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</si>
  <si>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</si>
  <si>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</si>
  <si>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</si>
  <si>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</si>
  <si>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</si>
  <si>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</si>
  <si>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</si>
  <si>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</si>
  <si>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</si>
  <si>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</si>
  <si>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</si>
  <si>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</si>
  <si>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</si>
  <si>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</si>
  <si>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</si>
  <si>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</si>
  <si>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</si>
  <si>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</si>
  <si>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</si>
  <si>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</si>
  <si>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</si>
  <si>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</si>
  <si>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</si>
  <si>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</si>
  <si>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</si>
  <si>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</si>
  <si>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</si>
  <si>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</si>
  <si>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</si>
  <si>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</si>
  <si>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</si>
  <si>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</si>
  <si>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</si>
  <si>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</si>
  <si>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</si>
  <si>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</si>
  <si>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</si>
  <si>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</si>
  <si>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</si>
  <si>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</si>
  <si>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</si>
  <si>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</si>
  <si>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</si>
  <si>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</si>
  <si>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</si>
  <si>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</si>
  <si>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</si>
  <si>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</si>
  <si>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</si>
  <si>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</si>
  <si>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</si>
  <si>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</si>
  <si>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</si>
  <si>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</si>
  <si>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</si>
  <si>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</si>
  <si>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</si>
  <si>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</si>
  <si>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</si>
  <si>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</si>
  <si>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</si>
  <si>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</si>
  <si>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</si>
  <si>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</si>
  <si>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</si>
  <si>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</si>
  <si>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</si>
  <si>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</si>
  <si>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</si>
  <si>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</si>
  <si>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</si>
  <si>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</si>
  <si>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</si>
  <si>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</si>
  <si>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</si>
  <si>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</si>
  <si>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</si>
  <si>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</si>
  <si>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</si>
  <si>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</si>
  <si>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</si>
  <si>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</si>
  <si>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</si>
  <si>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</si>
  <si>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</si>
  <si>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</si>
  <si>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</si>
  <si>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</si>
  <si>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</si>
  <si>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</si>
  <si>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</si>
  <si>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</si>
  <si>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</si>
  <si>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</si>
  <si>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</si>
  <si>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</si>
  <si>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</si>
  <si>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</si>
  <si>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</si>
  <si>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</si>
  <si>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</si>
  <si>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</si>
  <si>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</si>
  <si>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</si>
  <si>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</si>
  <si>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</si>
  <si>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</si>
  <si>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</si>
  <si>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</si>
  <si>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</si>
  <si>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</si>
  <si>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</si>
  <si>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</si>
  <si>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</si>
  <si>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</si>
  <si>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</si>
  <si>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</si>
  <si>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</si>
  <si>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</si>
  <si>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</si>
  <si>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</si>
  <si>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</si>
  <si>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</si>
  <si>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</si>
  <si>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</si>
  <si>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</si>
  <si>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</si>
  <si>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</si>
  <si>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</si>
  <si>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</si>
  <si>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</si>
  <si>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</si>
  <si>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</si>
  <si>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</si>
  <si>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</si>
  <si>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</si>
  <si>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</si>
  <si>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</si>
  <si>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</si>
  <si>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</si>
  <si>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</si>
  <si>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</si>
  <si>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</si>
  <si>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</si>
  <si>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</si>
  <si>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</si>
  <si>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</si>
  <si>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</si>
  <si>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</si>
  <si>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</si>
  <si>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</si>
  <si>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</si>
  <si>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</si>
  <si>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</si>
  <si>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</si>
  <si>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</si>
  <si>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</si>
  <si>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</si>
  <si>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</si>
  <si>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</si>
  <si>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</si>
  <si>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</si>
  <si>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</si>
  <si>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</si>
  <si>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</si>
  <si>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</si>
  <si>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</si>
  <si>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</si>
  <si>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</si>
  <si>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</si>
  <si>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</si>
  <si>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</si>
  <si>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</si>
  <si>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</si>
  <si>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</si>
  <si>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</si>
  <si>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</si>
  <si>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</si>
  <si>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</si>
  <si>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</si>
  <si>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</si>
  <si>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</si>
  <si>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</si>
  <si>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</si>
  <si>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</si>
  <si>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</si>
  <si>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</si>
  <si>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</si>
  <si>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</si>
  <si>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</si>
  <si>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</si>
  <si>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</si>
  <si>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</si>
  <si>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</si>
  <si>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</si>
  <si>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</si>
  <si>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</si>
  <si>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</si>
  <si>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</si>
  <si>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</si>
  <si>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</si>
  <si>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</si>
  <si>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</si>
  <si>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</si>
  <si>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</si>
  <si>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</si>
  <si>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</si>
  <si>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</si>
  <si>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</si>
  <si>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</si>
  <si>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</si>
  <si>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</si>
  <si>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</si>
  <si>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</si>
  <si>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</si>
  <si>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</si>
  <si>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</si>
  <si>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</si>
  <si>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</si>
  <si>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</si>
  <si>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</si>
  <si>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</si>
  <si>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</si>
  <si>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</si>
  <si>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</si>
  <si>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</si>
  <si>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</si>
  <si>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</si>
  <si>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</si>
  <si>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</si>
  <si>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</si>
  <si>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</si>
  <si>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</si>
  <si>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</si>
  <si>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</si>
  <si>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</si>
  <si>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</si>
  <si>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</si>
  <si>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</si>
  <si>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</si>
  <si>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</si>
  <si>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</si>
  <si>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</si>
  <si>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</si>
  <si>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</si>
  <si>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</si>
  <si>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</si>
  <si>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</si>
  <si>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</si>
  <si>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</si>
  <si>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</si>
  <si>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</si>
  <si>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</si>
  <si>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</si>
  <si>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</si>
  <si>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</si>
  <si>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</si>
  <si>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</si>
  <si>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</si>
  <si>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</si>
  <si>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</si>
  <si>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</si>
  <si>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</si>
  <si>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</si>
  <si>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</si>
  <si>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</si>
  <si>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</si>
  <si>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</si>
  <si>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</si>
  <si>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</si>
  <si>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</si>
  <si>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</si>
  <si>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</si>
  <si>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</si>
  <si>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</si>
  <si>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</si>
  <si>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</si>
  <si>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</si>
  <si>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</si>
  <si>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</si>
  <si>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</si>
  <si>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</si>
  <si>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</si>
  <si>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</si>
  <si>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</si>
  <si>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</si>
  <si>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SMP 1 VETERAN BANTUL</t>
  </si>
  <si>
    <t>MUHAMMAD SYAMSU DDHUKHA</t>
  </si>
  <si>
    <t>MENAYU KULON</t>
  </si>
  <si>
    <t>MSB24-04-648</t>
  </si>
  <si>
    <t>NAZRIL RANGGA ADI SANTOSO</t>
  </si>
  <si>
    <t>21-02-2009</t>
  </si>
  <si>
    <t>RIYADI</t>
  </si>
  <si>
    <t>085711963325</t>
  </si>
  <si>
    <t>085786880577</t>
  </si>
  <si>
    <t>587</t>
  </si>
  <si>
    <t>14368</t>
  </si>
  <si>
    <t>ALFAREZY RIDHO TIYANTORO</t>
  </si>
  <si>
    <t>RAYSHA NUR RACHMA</t>
  </si>
  <si>
    <t>DEVDAN AFRIZA MIFDLAL</t>
  </si>
  <si>
    <t>DEANDRA GHANI ALFARIZHI</t>
  </si>
  <si>
    <t>123456-123456-admin</t>
  </si>
  <si>
    <t>12345</t>
  </si>
  <si>
    <t>083137016645</t>
  </si>
  <si>
    <t>MTS AL HADI II</t>
  </si>
  <si>
    <t>SMP N 2 IMGORI</t>
  </si>
  <si>
    <t>SMP ALMA'ARIF BANTUL</t>
  </si>
  <si>
    <t>MTS ALMAHAD ANNUR</t>
  </si>
  <si>
    <t>SMP NEGERI 2 KRETEK</t>
  </si>
  <si>
    <t>SMP N 1BANTUL</t>
  </si>
  <si>
    <t>SMP N 1JETIS</t>
  </si>
  <si>
    <t>SMP AL MA'ARIF IMOGIRI</t>
  </si>
  <si>
    <t>MTS TQ ARRISALLAH</t>
  </si>
  <si>
    <t>SMP Negeri 2 Jetis</t>
  </si>
  <si>
    <t>SMP N 3 Jets Bantul</t>
  </si>
  <si>
    <t>SMP Negeri 3 Jetis</t>
  </si>
  <si>
    <t>SMPN 3 JETIS</t>
  </si>
  <si>
    <t>SMP NEGERI 1 BANTUL</t>
  </si>
  <si>
    <t>MTS AL MA'HAD AN NUR</t>
  </si>
  <si>
    <t>SMP NEGERI 2 JETIS</t>
  </si>
  <si>
    <t>SMPN 1 KRETEK</t>
  </si>
  <si>
    <t>MTS ALHADI iI</t>
  </si>
  <si>
    <t>SMP MAARIF IMOGIRI</t>
  </si>
  <si>
    <t>Lfeb</t>
  </si>
  <si>
    <t>MSB24-04-649</t>
  </si>
  <si>
    <t>RIZKY GANI SAPUTRA</t>
  </si>
  <si>
    <t>HARYANI</t>
  </si>
  <si>
    <t>KOWANG</t>
  </si>
  <si>
    <t>087734854436</t>
  </si>
  <si>
    <t>0895421880479</t>
  </si>
  <si>
    <t>MSB24-04-650</t>
  </si>
  <si>
    <t>CHEREN DRUGEDI</t>
  </si>
  <si>
    <t>7-11-2007</t>
  </si>
  <si>
    <t>SIRAT</t>
  </si>
  <si>
    <t>085867413730</t>
  </si>
  <si>
    <t>082221364609</t>
  </si>
  <si>
    <t>RAKA HAFIZH VALLENTA</t>
  </si>
  <si>
    <t>ALDINO SONI ANNAAFI</t>
  </si>
  <si>
    <t>RIANDIKA FARDIANSAH</t>
  </si>
  <si>
    <t>MUHAMMAD ZEVA AL'FARUQ</t>
  </si>
  <si>
    <t>DESTYOVAN NUR 'AIZAM</t>
  </si>
  <si>
    <t>ZIKRA ALFIAN NUR FITRON</t>
  </si>
  <si>
    <t>ASROFI RAMADANI</t>
  </si>
  <si>
    <t>14369</t>
  </si>
  <si>
    <t>14370</t>
  </si>
  <si>
    <t>MSB24-04-651</t>
  </si>
  <si>
    <t>ANANG NUR WIJAYANTO</t>
  </si>
  <si>
    <t>SUMPENO PRIYANTO</t>
  </si>
  <si>
    <t>082136252979</t>
  </si>
  <si>
    <t>083822248798</t>
  </si>
  <si>
    <t>588</t>
  </si>
  <si>
    <t>14371</t>
  </si>
  <si>
    <t>*) 12-agu-2024</t>
  </si>
  <si>
    <t>*) 15-agu-2024</t>
  </si>
  <si>
    <t>MSB24-04-652</t>
  </si>
  <si>
    <t>SHAFARA RISKI INDRIANI</t>
  </si>
  <si>
    <t>12-02-2010</t>
  </si>
  <si>
    <t>SUGIYOTO</t>
  </si>
  <si>
    <t>089652971284</t>
  </si>
  <si>
    <t>089515310803</t>
  </si>
  <si>
    <t>589</t>
  </si>
  <si>
    <t>14372</t>
  </si>
  <si>
    <t>14373</t>
  </si>
  <si>
    <t>MSB24-04-653</t>
  </si>
  <si>
    <t>MUHAMMAD SYAHRUL IKHWAN</t>
  </si>
  <si>
    <t>24-04-2008</t>
  </si>
  <si>
    <t>KUSWANTI</t>
  </si>
  <si>
    <t>085643719786</t>
  </si>
  <si>
    <t>089692720008</t>
  </si>
  <si>
    <t>590</t>
  </si>
  <si>
    <t>085729846</t>
  </si>
  <si>
    <t>MSB24-04-654</t>
  </si>
  <si>
    <t>RADEN MOH ZULKARNAEN AL FARISSI</t>
  </si>
  <si>
    <t>14-03-2008</t>
  </si>
  <si>
    <t>RATNA YULIYANTI</t>
  </si>
  <si>
    <t>081227998989</t>
  </si>
  <si>
    <t>089630011134</t>
  </si>
  <si>
    <t>591</t>
  </si>
  <si>
    <t>14374</t>
  </si>
  <si>
    <t>=VLOOKUP($B498;master!$B$3:C511;8;0)</t>
  </si>
  <si>
    <t>*) 15-okt-2024</t>
  </si>
  <si>
    <t>MUHAMMAD ZIDAN FATTU ROHMAN</t>
  </si>
  <si>
    <t>* 18-feb-2025</t>
  </si>
  <si>
    <t>*) 16-jun-2025</t>
  </si>
  <si>
    <t>TN</t>
  </si>
  <si>
    <t>TAHUN PELAJARAN    : 2025/2026</t>
  </si>
  <si>
    <t>XI TAV / TE</t>
  </si>
  <si>
    <t>XI TPM 1 / TM 1</t>
  </si>
  <si>
    <t>XI TPM 2 / TM 2</t>
  </si>
  <si>
    <t>XI TKRO 1 / TO 1</t>
  </si>
  <si>
    <t>XI TKRO 2 / TO 2</t>
  </si>
  <si>
    <t>XI TKRO 3 / TO 3</t>
  </si>
  <si>
    <t>XI TKRO 4 / TO 4</t>
  </si>
  <si>
    <t>XI TKRO 5 / TO 5</t>
  </si>
  <si>
    <t>XI TBSM 1 / TO 6</t>
  </si>
  <si>
    <t>XI TBSM 2 / TO 7</t>
  </si>
  <si>
    <t>XI TBSM 3 / TO 8</t>
  </si>
  <si>
    <t>XI TBSM 4 / TO 9</t>
  </si>
  <si>
    <t>XI RPL 1 / PPLG 1</t>
  </si>
  <si>
    <t>XI RPL 2 / PPLG 2</t>
  </si>
  <si>
    <t>XI RPL 3 / PPLG 3</t>
  </si>
  <si>
    <t>11 TAV</t>
  </si>
  <si>
    <t>11 TE</t>
  </si>
  <si>
    <t>11 TPM 1</t>
  </si>
  <si>
    <t>11 TM 1</t>
  </si>
  <si>
    <t>11 TPM 2</t>
  </si>
  <si>
    <t>11 TM 2</t>
  </si>
  <si>
    <t>11 TO 1</t>
  </si>
  <si>
    <t>11 TO 2</t>
  </si>
  <si>
    <t>11 TO 3</t>
  </si>
  <si>
    <t>11 TO 4</t>
  </si>
  <si>
    <t>11 TO 5</t>
  </si>
  <si>
    <t>11 TO 6</t>
  </si>
  <si>
    <t>11 TO 7</t>
  </si>
  <si>
    <t>11 TO 8</t>
  </si>
  <si>
    <t>11 TO 9</t>
  </si>
  <si>
    <t>11 RPL 1</t>
  </si>
  <si>
    <t>11 PPLG 1</t>
  </si>
  <si>
    <t>11 RPL 2</t>
  </si>
  <si>
    <t>11 PPLG 2</t>
  </si>
  <si>
    <t>11 RPL 3</t>
  </si>
  <si>
    <t>11 PPLG 3</t>
  </si>
  <si>
    <t>KELAS : XI RPL 3</t>
  </si>
  <si>
    <t>KELAS : XI RPL 2</t>
  </si>
  <si>
    <t>KELAS : XI RPL 1</t>
  </si>
  <si>
    <t>KELAS : XI TSM 3</t>
  </si>
  <si>
    <t>KELAS : XI TSM 4</t>
  </si>
  <si>
    <t>KELAS : XI TSM 2</t>
  </si>
  <si>
    <t>KELAS : XI TSM 1</t>
  </si>
  <si>
    <t>KELAS : XI TKR 5</t>
  </si>
  <si>
    <t>KELAS : XI TKR 4</t>
  </si>
  <si>
    <t>KELAS : XI TKR 3</t>
  </si>
  <si>
    <t>KELAS : XI TKR 2</t>
  </si>
  <si>
    <t>KELAS : XI TKR 1</t>
  </si>
  <si>
    <t>KELAS : XI TPM 2</t>
  </si>
  <si>
    <t>KELAS : XI TPM 1</t>
  </si>
  <si>
    <t>KELAS : XI TAV</t>
  </si>
  <si>
    <t>*) 27-agu-2025</t>
  </si>
  <si>
    <t>*) 17-sep-2025</t>
  </si>
  <si>
    <t>*) 24-sep-2025</t>
  </si>
  <si>
    <t>*) 14-okt-2025</t>
  </si>
  <si>
    <t>*) 17-okt-2025</t>
  </si>
  <si>
    <t>TO / TSM</t>
  </si>
  <si>
    <t>11 TSM 1</t>
  </si>
  <si>
    <t>11 TSM 2</t>
  </si>
  <si>
    <t>11 TSM 3</t>
  </si>
  <si>
    <t>11 TSM 4</t>
  </si>
  <si>
    <t>TO / TKR</t>
  </si>
  <si>
    <t>11 TKR 1</t>
  </si>
  <si>
    <t>11 TKR 2</t>
  </si>
  <si>
    <t>11 TKR 3</t>
  </si>
  <si>
    <t>11 TKR 4</t>
  </si>
  <si>
    <t>11 TKR 5</t>
  </si>
  <si>
    <t>*) 3-nov-2025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</si>
</sst>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scheme val="minor"/>
    </font>
    <font>
      <sz val="10"/>
      <color theme="1"/>
      <name val="Arial Narrow"/>
      <family val="2"/>
    </font>
    <font>
      <sz val="11"/>
      <name val="Calibri"/>
      <family val="2"/>
    </font>
    <font>
      <b/>
      <sz val="10"/>
      <color theme="1"/>
      <name val="Arial Black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Calibri"/>
      <family val="2"/>
    </font>
    <font>
      <b/>
      <sz val="10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rgb="FFC6D9F0"/>
        <bgColor rgb="FFC6D9F0"/>
      </patternFill>
    </fill>
    <fill>
      <patternFill patternType="solid">
        <fgColor rgb="FFFBD4B4"/>
        <bgColor rgb="FFFBD4B4"/>
      </patternFill>
    </fill>
    <fill>
      <patternFill patternType="solid">
        <fgColor rgb="FF92D050"/>
        <bgColor rgb="FF92D050"/>
      </patternFill>
    </fill>
    <fill>
      <patternFill patternType="solid">
        <fgColor rgb="FFD6E3BC"/>
        <bgColor rgb="FFD6E3BC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D6E3BC"/>
      </patternFill>
    </fill>
    <fill>
      <patternFill patternType="solid">
        <fgColor theme="6" tint="0.59999389629810485"/>
        <bgColor rgb="FFD6E3BC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15">
    <xf numFmtId="0" fontId="0" fillId="0" borderId="0" xfId="0" applyFont="1" applyAlignment="1"/>
    <xf numFmtId="0" fontId="3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7" fillId="0" borderId="0" xfId="0" applyFont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10" fillId="0" borderId="5" xfId="0" applyFont="1" applyBorder="1"/>
    <xf numFmtId="0" fontId="10" fillId="0" borderId="0" xfId="0" applyFont="1"/>
    <xf numFmtId="0" fontId="10" fillId="0" borderId="4" xfId="0" applyFont="1" applyBorder="1" applyAlignment="1">
      <alignment vertical="center"/>
    </xf>
    <xf numFmtId="0" fontId="10" fillId="0" borderId="4" xfId="0" applyFont="1" applyBorder="1"/>
    <xf numFmtId="0" fontId="10" fillId="0" borderId="3" xfId="0" applyFont="1" applyBorder="1"/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6" xfId="0" applyFont="1" applyBorder="1"/>
    <xf numFmtId="0" fontId="10" fillId="0" borderId="7" xfId="0" applyFont="1" applyBorder="1"/>
    <xf numFmtId="0" fontId="10" fillId="0" borderId="0" xfId="0" applyFont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2" fillId="0" borderId="5" xfId="0" applyFont="1" applyBorder="1"/>
    <xf numFmtId="0" fontId="9" fillId="0" borderId="0" xfId="0" applyFont="1"/>
    <xf numFmtId="0" fontId="13" fillId="0" borderId="0" xfId="0" applyFont="1"/>
    <xf numFmtId="0" fontId="14" fillId="0" borderId="5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0" fillId="0" borderId="4" xfId="0" applyFont="1" applyBorder="1" applyAlignment="1">
      <alignment horizontal="center"/>
    </xf>
    <xf numFmtId="0" fontId="14" fillId="0" borderId="5" xfId="0" applyFont="1" applyBorder="1"/>
    <xf numFmtId="0" fontId="10" fillId="0" borderId="6" xfId="0" applyFont="1" applyBorder="1" applyAlignment="1">
      <alignment horizontal="center"/>
    </xf>
    <xf numFmtId="0" fontId="10" fillId="0" borderId="12" xfId="0" applyFont="1" applyBorder="1"/>
    <xf numFmtId="0" fontId="14" fillId="0" borderId="0" xfId="0" applyFont="1" applyAlignment="1">
      <alignment vertical="center"/>
    </xf>
    <xf numFmtId="0" fontId="9" fillId="0" borderId="5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0" fillId="0" borderId="5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6" fillId="3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6" fillId="0" borderId="5" xfId="0" applyFont="1" applyBorder="1" applyAlignment="1">
      <alignment vertical="center"/>
    </xf>
    <xf numFmtId="0" fontId="16" fillId="0" borderId="5" xfId="0" applyFont="1" applyBorder="1" applyAlignment="1">
      <alignment horizontal="center" vertical="center"/>
    </xf>
    <xf numFmtId="0" fontId="16" fillId="4" borderId="5" xfId="0" applyFont="1" applyFill="1" applyBorder="1" applyAlignment="1">
      <alignment vertical="center"/>
    </xf>
    <xf numFmtId="0" fontId="16" fillId="4" borderId="5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6" fillId="5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8" fillId="0" borderId="5" xfId="0" applyFont="1" applyBorder="1" applyAlignment="1">
      <alignment vertical="center"/>
    </xf>
    <xf numFmtId="0" fontId="17" fillId="6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/>
    </xf>
    <xf numFmtId="0" fontId="10" fillId="0" borderId="5" xfId="0" quotePrefix="1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0" fillId="0" borderId="14" xfId="0" applyFont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left" vertical="center"/>
    </xf>
    <xf numFmtId="0" fontId="10" fillId="7" borderId="5" xfId="0" applyFont="1" applyFill="1" applyBorder="1" applyAlignment="1">
      <alignment vertical="center"/>
    </xf>
    <xf numFmtId="0" fontId="19" fillId="0" borderId="5" xfId="0" applyFont="1" applyBorder="1" applyAlignment="1">
      <alignment vertical="center"/>
    </xf>
    <xf numFmtId="49" fontId="9" fillId="0" borderId="0" xfId="0" applyNumberFormat="1" applyFont="1"/>
    <xf numFmtId="49" fontId="9" fillId="0" borderId="0" xfId="0" applyNumberFormat="1" applyFont="1" applyAlignment="1">
      <alignment horizontal="center"/>
    </xf>
    <xf numFmtId="49" fontId="10" fillId="0" borderId="0" xfId="0" applyNumberFormat="1" applyFont="1"/>
    <xf numFmtId="0" fontId="0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0" fontId="10" fillId="8" borderId="5" xfId="0" applyFont="1" applyFill="1" applyBorder="1" applyAlignment="1">
      <alignment vertical="center"/>
    </xf>
    <xf numFmtId="49" fontId="10" fillId="0" borderId="5" xfId="0" applyNumberFormat="1" applyFont="1" applyBorder="1" applyAlignment="1">
      <alignment vertical="center"/>
    </xf>
    <xf numFmtId="0" fontId="10" fillId="0" borderId="15" xfId="0" applyFont="1" applyBorder="1"/>
    <xf numFmtId="0" fontId="10" fillId="0" borderId="15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0" fillId="0" borderId="15" xfId="0" applyFont="1" applyBorder="1" applyAlignment="1"/>
    <xf numFmtId="49" fontId="10" fillId="0" borderId="0" xfId="0" applyNumberFormat="1" applyFont="1" applyAlignment="1">
      <alignment vertical="center"/>
    </xf>
    <xf numFmtId="0" fontId="0" fillId="0" borderId="0" xfId="0" applyFont="1" applyAlignment="1"/>
    <xf numFmtId="0" fontId="10" fillId="0" borderId="4" xfId="0" applyFont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0" fillId="0" borderId="5" xfId="0" quotePrefix="1" applyFont="1" applyBorder="1" applyAlignment="1">
      <alignment vertical="center"/>
    </xf>
    <xf numFmtId="49" fontId="10" fillId="0" borderId="1" xfId="0" applyNumberFormat="1" applyFont="1" applyBorder="1" applyAlignment="1">
      <alignment vertical="center"/>
    </xf>
    <xf numFmtId="0" fontId="10" fillId="0" borderId="15" xfId="0" applyNumberFormat="1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4" xfId="0" quotePrefix="1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49" fontId="10" fillId="0" borderId="3" xfId="0" applyNumberFormat="1" applyFont="1" applyBorder="1" applyAlignment="1">
      <alignment vertical="center"/>
    </xf>
    <xf numFmtId="0" fontId="10" fillId="0" borderId="15" xfId="0" quotePrefix="1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49" fontId="9" fillId="0" borderId="5" xfId="0" applyNumberFormat="1" applyFont="1" applyBorder="1" applyAlignment="1">
      <alignment vertical="center"/>
    </xf>
    <xf numFmtId="0" fontId="18" fillId="0" borderId="5" xfId="0" quotePrefix="1" applyFont="1" applyBorder="1" applyAlignment="1">
      <alignment horizontal="center" vertical="center"/>
    </xf>
    <xf numFmtId="49" fontId="18" fillId="0" borderId="5" xfId="0" applyNumberFormat="1" applyFont="1" applyBorder="1" applyAlignment="1">
      <alignment vertical="center"/>
    </xf>
    <xf numFmtId="0" fontId="10" fillId="9" borderId="5" xfId="0" quotePrefix="1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vertical="center"/>
    </xf>
    <xf numFmtId="0" fontId="10" fillId="10" borderId="5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left" vertical="center"/>
    </xf>
    <xf numFmtId="0" fontId="10" fillId="0" borderId="4" xfId="0" quotePrefix="1" applyFont="1" applyBorder="1" applyAlignment="1">
      <alignment horizontal="center" vertical="center"/>
    </xf>
    <xf numFmtId="0" fontId="10" fillId="0" borderId="15" xfId="0" quotePrefix="1" applyFont="1" applyBorder="1" applyAlignment="1">
      <alignment horizontal="center" vertical="center"/>
    </xf>
    <xf numFmtId="0" fontId="10" fillId="11" borderId="5" xfId="0" applyFont="1" applyFill="1" applyBorder="1" applyAlignment="1">
      <alignment vertical="center"/>
    </xf>
    <xf numFmtId="0" fontId="10" fillId="0" borderId="6" xfId="0" quotePrefix="1" applyFont="1" applyBorder="1" applyAlignment="1">
      <alignment horizontal="center" vertical="center"/>
    </xf>
    <xf numFmtId="0" fontId="10" fillId="0" borderId="15" xfId="0" applyFont="1" applyBorder="1" applyAlignment="1">
      <alignment horizontal="left" vertical="center"/>
    </xf>
    <xf numFmtId="0" fontId="0" fillId="0" borderId="15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22" fillId="7" borderId="5" xfId="0" applyFont="1" applyFill="1" applyBorder="1" applyAlignment="1">
      <alignment vertical="center"/>
    </xf>
    <xf numFmtId="0" fontId="22" fillId="7" borderId="5" xfId="0" applyFont="1" applyFill="1" applyBorder="1" applyAlignment="1">
      <alignment horizontal="center" vertical="center"/>
    </xf>
    <xf numFmtId="0" fontId="22" fillId="7" borderId="5" xfId="0" applyFont="1" applyFill="1" applyBorder="1" applyAlignment="1">
      <alignment horizontal="left" vertical="center"/>
    </xf>
    <xf numFmtId="0" fontId="22" fillId="0" borderId="5" xfId="0" quotePrefix="1" applyFont="1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22" fillId="0" borderId="5" xfId="0" applyFont="1" applyBorder="1" applyAlignment="1">
      <alignment horizontal="center" vertical="center"/>
    </xf>
    <xf numFmtId="0" fontId="22" fillId="0" borderId="5" xfId="0" applyFont="1" applyBorder="1" applyAlignment="1">
      <alignment horizontal="left" vertical="center"/>
    </xf>
    <xf numFmtId="0" fontId="23" fillId="0" borderId="15" xfId="0" applyFont="1" applyBorder="1" applyAlignment="1">
      <alignment horizontal="center" vertical="center"/>
    </xf>
    <xf numFmtId="0" fontId="23" fillId="0" borderId="15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10" fillId="0" borderId="17" xfId="0" applyFont="1" applyBorder="1"/>
    <xf numFmtId="0" fontId="10" fillId="0" borderId="18" xfId="0" applyFont="1" applyBorder="1" applyAlignment="1">
      <alignment horizontal="center"/>
    </xf>
    <xf numFmtId="0" fontId="10" fillId="0" borderId="18" xfId="0" applyFont="1" applyBorder="1"/>
    <xf numFmtId="0" fontId="9" fillId="0" borderId="15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49" fontId="22" fillId="0" borderId="5" xfId="0" applyNumberFormat="1" applyFont="1" applyBorder="1" applyAlignment="1">
      <alignment vertical="center"/>
    </xf>
    <xf numFmtId="0" fontId="10" fillId="0" borderId="15" xfId="0" applyFont="1" applyBorder="1" applyAlignment="1">
      <alignment horizontal="center"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/>
    <xf numFmtId="0" fontId="22" fillId="0" borderId="15" xfId="0" quotePrefix="1" applyFont="1" applyBorder="1" applyAlignment="1">
      <alignment horizontal="center" vertical="center"/>
    </xf>
    <xf numFmtId="49" fontId="22" fillId="0" borderId="15" xfId="0" applyNumberFormat="1" applyFont="1" applyBorder="1" applyAlignment="1">
      <alignment vertical="center"/>
    </xf>
    <xf numFmtId="0" fontId="10" fillId="9" borderId="5" xfId="0" applyFont="1" applyFill="1" applyBorder="1" applyAlignment="1">
      <alignment vertical="center"/>
    </xf>
    <xf numFmtId="0" fontId="10" fillId="9" borderId="5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left" vertical="center"/>
    </xf>
    <xf numFmtId="0" fontId="10" fillId="0" borderId="16" xfId="0" quotePrefix="1" applyFont="1" applyBorder="1" applyAlignment="1">
      <alignment vertical="center"/>
    </xf>
    <xf numFmtId="49" fontId="10" fillId="0" borderId="15" xfId="0" applyNumberFormat="1" applyFont="1" applyBorder="1" applyAlignment="1">
      <alignment vertical="center"/>
    </xf>
    <xf numFmtId="0" fontId="0" fillId="0" borderId="15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15" xfId="0" applyFont="1" applyBorder="1" applyAlignment="1">
      <alignment vertical="center"/>
    </xf>
    <xf numFmtId="0" fontId="15" fillId="0" borderId="15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9" fillId="0" borderId="15" xfId="0" quotePrefix="1" applyFont="1" applyBorder="1" applyAlignment="1">
      <alignment horizontal="center" vertical="center"/>
    </xf>
    <xf numFmtId="0" fontId="9" fillId="0" borderId="5" xfId="0" quotePrefix="1" applyFont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left" vertical="center"/>
    </xf>
    <xf numFmtId="0" fontId="10" fillId="0" borderId="16" xfId="0" quotePrefix="1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left" vertical="center"/>
    </xf>
    <xf numFmtId="0" fontId="14" fillId="0" borderId="15" xfId="0" applyFont="1" applyBorder="1" applyAlignment="1">
      <alignment vertical="center"/>
    </xf>
    <xf numFmtId="0" fontId="22" fillId="0" borderId="5" xfId="0" quotePrefix="1" applyFont="1" applyFill="1" applyBorder="1" applyAlignment="1">
      <alignment horizontal="center" vertical="center"/>
    </xf>
    <xf numFmtId="0" fontId="22" fillId="0" borderId="5" xfId="0" applyFont="1" applyFill="1" applyBorder="1" applyAlignment="1">
      <alignment vertical="center"/>
    </xf>
    <xf numFmtId="0" fontId="22" fillId="0" borderId="5" xfId="0" applyFont="1" applyFill="1" applyBorder="1" applyAlignment="1">
      <alignment horizontal="center" vertical="center"/>
    </xf>
    <xf numFmtId="0" fontId="22" fillId="0" borderId="5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0" fillId="0" borderId="14" xfId="0" applyFont="1" applyBorder="1"/>
    <xf numFmtId="0" fontId="22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49" fontId="10" fillId="0" borderId="4" xfId="0" applyNumberFormat="1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49" fontId="10" fillId="0" borderId="18" xfId="0" applyNumberFormat="1" applyFont="1" applyBorder="1" applyAlignment="1">
      <alignment vertical="center"/>
    </xf>
    <xf numFmtId="0" fontId="14" fillId="0" borderId="15" xfId="0" applyFont="1" applyBorder="1"/>
    <xf numFmtId="0" fontId="14" fillId="0" borderId="4" xfId="0" applyFont="1" applyBorder="1"/>
    <xf numFmtId="0" fontId="22" fillId="9" borderId="5" xfId="0" quotePrefix="1" applyFont="1" applyFill="1" applyBorder="1" applyAlignment="1">
      <alignment horizontal="center" vertical="center"/>
    </xf>
    <xf numFmtId="0" fontId="22" fillId="9" borderId="5" xfId="0" applyFont="1" applyFill="1" applyBorder="1" applyAlignment="1">
      <alignment vertical="center"/>
    </xf>
    <xf numFmtId="0" fontId="22" fillId="9" borderId="5" xfId="0" applyFont="1" applyFill="1" applyBorder="1" applyAlignment="1">
      <alignment horizontal="center" vertical="center"/>
    </xf>
    <xf numFmtId="0" fontId="22" fillId="9" borderId="5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4" fillId="0" borderId="16" xfId="0" applyFont="1" applyBorder="1" applyAlignment="1">
      <alignment vertical="center"/>
    </xf>
    <xf numFmtId="0" fontId="14" fillId="0" borderId="16" xfId="0" applyFont="1" applyBorder="1"/>
    <xf numFmtId="0" fontId="10" fillId="0" borderId="19" xfId="0" applyFont="1" applyBorder="1"/>
    <xf numFmtId="0" fontId="10" fillId="0" borderId="14" xfId="0" applyFont="1" applyBorder="1" applyAlignment="1">
      <alignment horizontal="center"/>
    </xf>
    <xf numFmtId="0" fontId="10" fillId="0" borderId="20" xfId="0" applyFont="1" applyBorder="1"/>
    <xf numFmtId="0" fontId="9" fillId="9" borderId="5" xfId="0" applyFont="1" applyFill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2" fillId="9" borderId="15" xfId="0" quotePrefix="1" applyFont="1" applyFill="1" applyBorder="1" applyAlignment="1">
      <alignment horizontal="center" vertical="center"/>
    </xf>
    <xf numFmtId="0" fontId="22" fillId="9" borderId="15" xfId="0" applyFont="1" applyFill="1" applyBorder="1" applyAlignment="1">
      <alignment vertical="center"/>
    </xf>
    <xf numFmtId="0" fontId="15" fillId="9" borderId="15" xfId="0" applyFont="1" applyFill="1" applyBorder="1" applyAlignment="1">
      <alignment vertical="center"/>
    </xf>
    <xf numFmtId="0" fontId="15" fillId="9" borderId="15" xfId="0" applyFont="1" applyFill="1" applyBorder="1" applyAlignment="1">
      <alignment horizontal="center" vertical="center"/>
    </xf>
    <xf numFmtId="0" fontId="0" fillId="9" borderId="15" xfId="0" applyFont="1" applyFill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0" fillId="0" borderId="18" xfId="0" applyFont="1" applyBorder="1" applyAlignment="1"/>
    <xf numFmtId="0" fontId="10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8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/>
    </xf>
    <xf numFmtId="0" fontId="2" fillId="0" borderId="6" xfId="0" applyFont="1" applyBorder="1"/>
    <xf numFmtId="0" fontId="8" fillId="2" borderId="4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10" fillId="0" borderId="0" xfId="0" applyFont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7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6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0" fillId="0" borderId="4" xfId="0" applyFont="1" applyBorder="1" applyAlignment="1">
      <alignment horizontal="left" vertical="center"/>
    </xf>
    <xf numFmtId="0" fontId="10" fillId="0" borderId="16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Z1009"/>
  <sheetViews>
    <sheetView workbookViewId="0">
      <selection activeCell="C13" sqref="C13"/>
    </sheetView>
  </sheetViews>
  <sheetFormatPr defaultColWidth="14.42578125" defaultRowHeight="15" customHeight="1" x14ac:dyDescent="0.25"/>
  <cols>
    <col min="1" max="1" width="4.85546875" customWidth="1"/>
    <col min="2" max="2" width="8.7109375" customWidth="1"/>
    <col min="3" max="3" width="42.28515625" customWidth="1"/>
    <col min="4" max="8" width="3.5703125" customWidth="1"/>
    <col min="9" max="11" width="4.140625" customWidth="1"/>
    <col min="12" max="16" width="4.42578125" customWidth="1"/>
    <col min="17" max="17" width="5" customWidth="1"/>
    <col min="18" max="26" width="8.7109375" customWidth="1"/>
  </cols>
  <sheetData>
    <row r="1" spans="1:17" x14ac:dyDescent="0.25">
      <c r="M1" s="188" t="s">
        <v>0</v>
      </c>
      <c r="N1" s="185"/>
      <c r="O1" s="185"/>
      <c r="P1" s="185"/>
      <c r="Q1" s="186"/>
    </row>
    <row r="2" spans="1:17" x14ac:dyDescent="0.25">
      <c r="M2" s="188" t="s">
        <v>1</v>
      </c>
      <c r="N2" s="185"/>
      <c r="O2" s="185"/>
      <c r="P2" s="185"/>
      <c r="Q2" s="186"/>
    </row>
    <row r="3" spans="1:17" ht="15.75" x14ac:dyDescent="0.3">
      <c r="A3" s="189" t="s">
        <v>2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</row>
    <row r="4" spans="1:17" x14ac:dyDescent="0.25">
      <c r="A4" s="191" t="s">
        <v>3</v>
      </c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</row>
    <row r="5" spans="1:17" x14ac:dyDescent="0.25">
      <c r="A5" s="192" t="s">
        <v>4</v>
      </c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</row>
    <row r="6" spans="1:17" ht="15.75" x14ac:dyDescent="0.25">
      <c r="A6" s="193" t="s">
        <v>5191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</row>
    <row r="7" spans="1:17" ht="15.7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9.5" customHeight="1" x14ac:dyDescent="0.25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3"/>
      <c r="L8" s="2" t="s">
        <v>6</v>
      </c>
      <c r="M8" s="2"/>
      <c r="N8" s="2"/>
      <c r="O8" s="2"/>
      <c r="P8" s="2"/>
      <c r="Q8" s="2"/>
    </row>
    <row r="9" spans="1:17" ht="19.5" customHeight="1" x14ac:dyDescent="0.25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3"/>
      <c r="L9" s="4" t="s">
        <v>5140</v>
      </c>
      <c r="M9" s="2"/>
      <c r="N9" s="2"/>
      <c r="O9" s="2"/>
      <c r="P9" s="2"/>
      <c r="Q9" s="2"/>
    </row>
    <row r="10" spans="1:17" ht="19.5" customHeight="1" x14ac:dyDescent="0.25">
      <c r="A10" s="2" t="s">
        <v>8</v>
      </c>
      <c r="B10" s="2"/>
      <c r="C10" s="4" t="s">
        <v>4499</v>
      </c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</row>
    <row r="11" spans="1:17" ht="15" customHeight="1" x14ac:dyDescent="0.3">
      <c r="A11" s="199" t="s">
        <v>9</v>
      </c>
      <c r="B11" s="186"/>
      <c r="C11" s="194" t="s">
        <v>10</v>
      </c>
      <c r="D11" s="200" t="s">
        <v>11</v>
      </c>
      <c r="E11" s="185"/>
      <c r="F11" s="185"/>
      <c r="G11" s="185"/>
      <c r="H11" s="186"/>
      <c r="I11" s="187" t="s">
        <v>12</v>
      </c>
      <c r="J11" s="185"/>
      <c r="K11" s="186"/>
      <c r="L11" s="187" t="s">
        <v>13</v>
      </c>
      <c r="M11" s="185"/>
      <c r="N11" s="185"/>
      <c r="O11" s="185"/>
      <c r="P11" s="186"/>
      <c r="Q11" s="196" t="s">
        <v>14</v>
      </c>
    </row>
    <row r="12" spans="1:17" ht="15" customHeight="1" x14ac:dyDescent="0.3">
      <c r="A12" s="5" t="s">
        <v>15</v>
      </c>
      <c r="B12" s="5" t="s">
        <v>16</v>
      </c>
      <c r="C12" s="195"/>
      <c r="D12" s="6"/>
      <c r="E12" s="6"/>
      <c r="F12" s="6"/>
      <c r="G12" s="6"/>
      <c r="H12" s="6"/>
      <c r="I12" s="7" t="s">
        <v>17</v>
      </c>
      <c r="J12" s="7" t="s">
        <v>18</v>
      </c>
      <c r="K12" s="7" t="s">
        <v>19</v>
      </c>
      <c r="L12" s="8">
        <v>1</v>
      </c>
      <c r="M12" s="8">
        <v>2</v>
      </c>
      <c r="N12" s="8">
        <v>3</v>
      </c>
      <c r="O12" s="8">
        <v>4</v>
      </c>
      <c r="P12" s="8">
        <v>5</v>
      </c>
      <c r="Q12" s="195"/>
    </row>
    <row r="13" spans="1:17" x14ac:dyDescent="0.25">
      <c r="A13" s="9">
        <v>1</v>
      </c>
      <c r="B13" s="54" t="s">
        <v>537</v>
      </c>
      <c r="C13" s="11" t="s">
        <v>20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25">
      <c r="A14" s="9">
        <v>2</v>
      </c>
      <c r="B14" s="54" t="s">
        <v>4537</v>
      </c>
      <c r="C14" s="11" t="s">
        <v>22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5">
      <c r="A15" s="9">
        <v>3</v>
      </c>
      <c r="B15" s="54" t="s">
        <v>4538</v>
      </c>
      <c r="C15" s="11" t="s">
        <v>23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9">
        <v>4</v>
      </c>
      <c r="B16" s="54" t="s">
        <v>4539</v>
      </c>
      <c r="C16" s="11" t="s">
        <v>24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26" x14ac:dyDescent="0.25">
      <c r="A17" s="9">
        <v>5</v>
      </c>
      <c r="B17" s="54" t="s">
        <v>4540</v>
      </c>
      <c r="C17" s="11" t="s">
        <v>25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26" x14ac:dyDescent="0.25">
      <c r="A18" s="9">
        <v>6</v>
      </c>
      <c r="B18" s="54" t="s">
        <v>4541</v>
      </c>
      <c r="C18" s="11" t="s">
        <v>26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26" x14ac:dyDescent="0.25">
      <c r="A19" s="9">
        <v>7</v>
      </c>
      <c r="B19" s="54" t="s">
        <v>4542</v>
      </c>
      <c r="C19" s="11" t="s">
        <v>27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3"/>
      <c r="S19" s="13"/>
      <c r="T19" s="13"/>
      <c r="U19" s="13"/>
      <c r="V19" s="13"/>
      <c r="W19" s="13"/>
      <c r="X19" s="13"/>
      <c r="Y19" s="13"/>
      <c r="Z19" s="13"/>
    </row>
    <row r="20" spans="1:26" x14ac:dyDescent="0.25">
      <c r="A20" s="9">
        <v>8</v>
      </c>
      <c r="B20" s="54" t="s">
        <v>4543</v>
      </c>
      <c r="C20" s="11" t="s">
        <v>28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26" x14ac:dyDescent="0.25">
      <c r="A21" s="9">
        <v>9</v>
      </c>
      <c r="B21" s="54" t="s">
        <v>4544</v>
      </c>
      <c r="C21" s="11" t="s">
        <v>29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26" ht="15.75" customHeight="1" x14ac:dyDescent="0.25">
      <c r="A22" s="9">
        <v>10</v>
      </c>
      <c r="B22" s="54" t="s">
        <v>4545</v>
      </c>
      <c r="C22" s="11" t="s">
        <v>30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26" ht="15.75" customHeight="1" x14ac:dyDescent="0.25">
      <c r="A23" s="9">
        <v>11</v>
      </c>
      <c r="B23" s="54" t="s">
        <v>4546</v>
      </c>
      <c r="C23" s="11" t="s">
        <v>31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26" ht="15.75" customHeight="1" x14ac:dyDescent="0.25">
      <c r="A24" s="9">
        <v>12</v>
      </c>
      <c r="B24" s="54" t="s">
        <v>4547</v>
      </c>
      <c r="C24" s="11" t="s">
        <v>32</v>
      </c>
      <c r="D24" s="15"/>
      <c r="E24" s="15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26" ht="15.75" customHeight="1" x14ac:dyDescent="0.25">
      <c r="A25" s="9">
        <v>13</v>
      </c>
      <c r="B25" s="54" t="s">
        <v>4548</v>
      </c>
      <c r="C25" s="11" t="s">
        <v>33</v>
      </c>
      <c r="D25" s="12"/>
      <c r="E25" s="12"/>
      <c r="F25" s="16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26" ht="15.75" customHeight="1" x14ac:dyDescent="0.25">
      <c r="A26" s="9">
        <v>14</v>
      </c>
      <c r="B26" s="54" t="s">
        <v>4549</v>
      </c>
      <c r="C26" s="11" t="s">
        <v>34</v>
      </c>
      <c r="D26" s="12"/>
      <c r="E26" s="12"/>
      <c r="F26" s="16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26" ht="15.75" customHeight="1" x14ac:dyDescent="0.25">
      <c r="A27" s="9">
        <v>15</v>
      </c>
      <c r="B27" s="54" t="s">
        <v>4550</v>
      </c>
      <c r="C27" s="11" t="s">
        <v>35</v>
      </c>
      <c r="D27" s="12"/>
      <c r="E27" s="12"/>
      <c r="F27" s="16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26" ht="15.75" customHeight="1" x14ac:dyDescent="0.25">
      <c r="A28" s="9">
        <v>16</v>
      </c>
      <c r="B28" s="54" t="s">
        <v>4551</v>
      </c>
      <c r="C28" s="11" t="s">
        <v>36</v>
      </c>
      <c r="D28" s="12"/>
      <c r="E28" s="12"/>
      <c r="F28" s="16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26" ht="15.75" customHeight="1" x14ac:dyDescent="0.25">
      <c r="A29" s="9">
        <v>17</v>
      </c>
      <c r="B29" s="54" t="s">
        <v>4552</v>
      </c>
      <c r="C29" s="11" t="s">
        <v>37</v>
      </c>
      <c r="D29" s="12"/>
      <c r="E29" s="12"/>
      <c r="F29" s="16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26" ht="15.75" customHeight="1" x14ac:dyDescent="0.25">
      <c r="A30" s="9">
        <v>18</v>
      </c>
      <c r="B30" s="54" t="s">
        <v>4553</v>
      </c>
      <c r="C30" s="11" t="s">
        <v>38</v>
      </c>
      <c r="D30" s="12"/>
      <c r="E30" s="12"/>
      <c r="F30" s="16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26" ht="15.75" customHeight="1" x14ac:dyDescent="0.25">
      <c r="A31" s="9">
        <v>19</v>
      </c>
      <c r="B31" s="54" t="s">
        <v>4554</v>
      </c>
      <c r="C31" s="11" t="s">
        <v>39</v>
      </c>
      <c r="D31" s="12"/>
      <c r="E31" s="12"/>
      <c r="F31" s="16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26" ht="15.75" customHeight="1" x14ac:dyDescent="0.25">
      <c r="A32" s="9">
        <v>20</v>
      </c>
      <c r="B32" s="54" t="s">
        <v>4555</v>
      </c>
      <c r="C32" s="11" t="s">
        <v>40</v>
      </c>
      <c r="D32" s="12"/>
      <c r="E32" s="12"/>
      <c r="F32" s="16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26" ht="15.75" customHeight="1" x14ac:dyDescent="0.25">
      <c r="A33" s="9">
        <v>21</v>
      </c>
      <c r="B33" s="54" t="s">
        <v>4556</v>
      </c>
      <c r="C33" s="11" t="s">
        <v>41</v>
      </c>
      <c r="D33" s="20"/>
      <c r="E33" s="20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26" ht="15.75" customHeight="1" x14ac:dyDescent="0.25">
      <c r="A34" s="9">
        <v>22</v>
      </c>
      <c r="B34" s="54" t="s">
        <v>4557</v>
      </c>
      <c r="C34" s="11" t="s">
        <v>42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26" ht="15.75" customHeight="1" x14ac:dyDescent="0.25">
      <c r="A35" s="9">
        <v>23</v>
      </c>
      <c r="B35" s="54" t="s">
        <v>4558</v>
      </c>
      <c r="C35" s="11" t="s">
        <v>43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1:26" ht="15.75" customHeight="1" x14ac:dyDescent="0.25">
      <c r="A36" s="9">
        <v>24</v>
      </c>
      <c r="B36" s="54" t="s">
        <v>4559</v>
      </c>
      <c r="C36" s="11" t="s">
        <v>5136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26" ht="15.75" customHeight="1" x14ac:dyDescent="0.25">
      <c r="A37" s="9">
        <v>25</v>
      </c>
      <c r="B37" s="54" t="s">
        <v>4560</v>
      </c>
      <c r="C37" s="11" t="s">
        <v>44</v>
      </c>
      <c r="D37" s="15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1:26" ht="15.75" customHeight="1" x14ac:dyDescent="0.25">
      <c r="A38" s="29">
        <v>26</v>
      </c>
      <c r="B38" s="96" t="s">
        <v>4561</v>
      </c>
      <c r="C38" s="14" t="s">
        <v>45</v>
      </c>
      <c r="D38" s="15"/>
      <c r="E38" s="21"/>
      <c r="F38" s="15"/>
      <c r="G38" s="15"/>
      <c r="H38" s="15"/>
      <c r="I38" s="12"/>
      <c r="J38" s="12"/>
      <c r="K38" s="12"/>
      <c r="L38" s="12"/>
      <c r="M38" s="12"/>
      <c r="N38" s="12"/>
      <c r="O38" s="12"/>
      <c r="P38" s="12"/>
      <c r="Q38" s="12"/>
    </row>
    <row r="39" spans="1:26" ht="15.75" customHeight="1" x14ac:dyDescent="0.25">
      <c r="A39" s="69">
        <v>27</v>
      </c>
      <c r="B39" s="97" t="s">
        <v>4562</v>
      </c>
      <c r="C39" s="75" t="s">
        <v>46</v>
      </c>
      <c r="D39" s="68"/>
      <c r="E39" s="68"/>
      <c r="F39" s="16"/>
      <c r="G39" s="12"/>
      <c r="H39" s="12"/>
      <c r="I39" s="16"/>
      <c r="J39" s="12"/>
      <c r="K39" s="12"/>
      <c r="L39" s="12"/>
      <c r="M39" s="12"/>
      <c r="N39" s="12"/>
      <c r="O39" s="12"/>
      <c r="P39" s="12"/>
      <c r="Q39" s="12"/>
    </row>
    <row r="40" spans="1:26" ht="15.75" customHeight="1" x14ac:dyDescent="0.25">
      <c r="A40" s="69">
        <v>28</v>
      </c>
      <c r="B40" s="97" t="s">
        <v>4563</v>
      </c>
      <c r="C40" s="75" t="s">
        <v>47</v>
      </c>
      <c r="D40" s="68"/>
      <c r="E40" s="68"/>
      <c r="F40" s="16"/>
      <c r="G40" s="12"/>
      <c r="H40" s="12"/>
      <c r="I40" s="16"/>
      <c r="J40" s="12"/>
      <c r="K40" s="12"/>
      <c r="L40" s="12"/>
      <c r="M40" s="12"/>
      <c r="N40" s="12"/>
      <c r="O40" s="12"/>
      <c r="P40" s="12"/>
      <c r="Q40" s="12"/>
    </row>
    <row r="41" spans="1:26" ht="15.75" customHeight="1" x14ac:dyDescent="0.25">
      <c r="A41" s="69">
        <v>29</v>
      </c>
      <c r="B41" s="97" t="s">
        <v>4564</v>
      </c>
      <c r="C41" s="75" t="s">
        <v>48</v>
      </c>
      <c r="D41" s="68"/>
      <c r="E41" s="68"/>
      <c r="F41" s="16"/>
      <c r="G41" s="12"/>
      <c r="H41" s="12"/>
      <c r="I41" s="16"/>
      <c r="J41" s="12"/>
      <c r="K41" s="12"/>
      <c r="L41" s="12"/>
      <c r="M41" s="12"/>
      <c r="N41" s="12"/>
      <c r="O41" s="12"/>
      <c r="P41" s="12"/>
      <c r="Q41" s="12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5.75" customHeight="1" x14ac:dyDescent="0.25">
      <c r="A42" s="69">
        <v>30</v>
      </c>
      <c r="B42" s="97" t="s">
        <v>4565</v>
      </c>
      <c r="C42" s="75" t="s">
        <v>49</v>
      </c>
      <c r="D42" s="68"/>
      <c r="E42" s="68"/>
      <c r="F42" s="16"/>
      <c r="G42" s="12"/>
      <c r="H42" s="12"/>
      <c r="I42" s="16"/>
      <c r="J42" s="12"/>
      <c r="K42" s="12"/>
      <c r="L42" s="12"/>
      <c r="M42" s="12"/>
      <c r="N42" s="12"/>
      <c r="O42" s="12"/>
      <c r="P42" s="12"/>
      <c r="Q42" s="12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5.75" customHeight="1" x14ac:dyDescent="0.25">
      <c r="A43" s="69">
        <v>31</v>
      </c>
      <c r="B43" s="71"/>
      <c r="C43" s="71"/>
      <c r="D43" s="68"/>
      <c r="E43" s="68"/>
      <c r="F43" s="16"/>
      <c r="G43" s="12"/>
      <c r="H43" s="12"/>
      <c r="I43" s="16"/>
      <c r="J43" s="12"/>
      <c r="K43" s="12"/>
      <c r="L43" s="12"/>
      <c r="M43" s="12"/>
      <c r="N43" s="12"/>
      <c r="O43" s="12"/>
      <c r="P43" s="12"/>
      <c r="Q43" s="12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5.75" customHeight="1" x14ac:dyDescent="0.25">
      <c r="A44" s="69">
        <v>32</v>
      </c>
      <c r="B44" s="68"/>
      <c r="C44" s="68"/>
      <c r="D44" s="68"/>
      <c r="E44" s="68"/>
      <c r="F44" s="16"/>
      <c r="G44" s="12"/>
      <c r="H44" s="12"/>
      <c r="I44" s="16"/>
      <c r="J44" s="12"/>
      <c r="K44" s="12"/>
      <c r="L44" s="12"/>
      <c r="M44" s="12"/>
      <c r="N44" s="12"/>
      <c r="O44" s="12"/>
      <c r="P44" s="12"/>
      <c r="Q44" s="12"/>
    </row>
    <row r="45" spans="1:26" ht="15.75" customHeight="1" x14ac:dyDescent="0.25">
      <c r="A45" s="31">
        <v>33</v>
      </c>
      <c r="B45" s="20"/>
      <c r="C45" s="20"/>
      <c r="D45" s="20"/>
      <c r="E45" s="20"/>
      <c r="F45" s="12"/>
      <c r="G45" s="12"/>
      <c r="H45" s="12"/>
      <c r="I45" s="16"/>
      <c r="J45" s="12"/>
      <c r="K45" s="12"/>
      <c r="L45" s="12"/>
      <c r="M45" s="12"/>
      <c r="N45" s="12"/>
      <c r="O45" s="12"/>
      <c r="P45" s="12"/>
      <c r="Q45" s="12"/>
    </row>
    <row r="46" spans="1:26" ht="15.75" customHeight="1" x14ac:dyDescent="0.25">
      <c r="A46" s="9">
        <v>34</v>
      </c>
      <c r="B46" s="12"/>
      <c r="C46" s="12"/>
      <c r="D46" s="12"/>
      <c r="E46" s="12"/>
      <c r="F46" s="12"/>
      <c r="G46" s="12"/>
      <c r="H46" s="12"/>
      <c r="I46" s="16"/>
      <c r="J46" s="12"/>
      <c r="K46" s="12"/>
      <c r="L46" s="12"/>
      <c r="M46" s="12"/>
      <c r="N46" s="12"/>
      <c r="O46" s="12"/>
      <c r="P46" s="12"/>
      <c r="Q46" s="12"/>
    </row>
    <row r="47" spans="1:26" ht="15.75" customHeight="1" x14ac:dyDescent="0.25">
      <c r="A47" s="2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 spans="1:26" ht="15.75" customHeight="1" x14ac:dyDescent="0.25">
      <c r="A48" s="201" t="s">
        <v>50</v>
      </c>
      <c r="B48" s="185"/>
      <c r="C48" s="185"/>
      <c r="D48" s="185"/>
      <c r="E48" s="185"/>
      <c r="F48" s="185"/>
      <c r="G48" s="185"/>
      <c r="H48" s="185"/>
      <c r="I48" s="185"/>
      <c r="J48" s="185"/>
      <c r="K48" s="186"/>
      <c r="L48" s="202" t="s">
        <v>51</v>
      </c>
      <c r="M48" s="203"/>
      <c r="N48" s="203"/>
      <c r="O48" s="203"/>
      <c r="P48" s="203"/>
      <c r="Q48" s="204"/>
    </row>
    <row r="49" spans="1:17" ht="15.75" customHeight="1" x14ac:dyDescent="0.25">
      <c r="A49" s="8" t="s">
        <v>52</v>
      </c>
      <c r="B49" s="8" t="s">
        <v>53</v>
      </c>
      <c r="C49" s="23" t="s">
        <v>54</v>
      </c>
      <c r="D49" s="201" t="s">
        <v>55</v>
      </c>
      <c r="E49" s="185"/>
      <c r="F49" s="185"/>
      <c r="G49" s="185"/>
      <c r="H49" s="185"/>
      <c r="I49" s="185"/>
      <c r="J49" s="185"/>
      <c r="K49" s="186"/>
      <c r="L49" s="205"/>
      <c r="M49" s="206"/>
      <c r="N49" s="206"/>
      <c r="O49" s="206"/>
      <c r="P49" s="206"/>
      <c r="Q49" s="207"/>
    </row>
    <row r="50" spans="1:17" ht="15.75" customHeight="1" x14ac:dyDescent="0.3">
      <c r="A50" s="9">
        <v>1</v>
      </c>
      <c r="B50" s="12"/>
      <c r="C50" s="24" t="s">
        <v>56</v>
      </c>
      <c r="D50" s="184"/>
      <c r="E50" s="185"/>
      <c r="F50" s="185"/>
      <c r="G50" s="185"/>
      <c r="H50" s="185"/>
      <c r="I50" s="185"/>
      <c r="J50" s="185"/>
      <c r="K50" s="186"/>
      <c r="L50" s="9">
        <v>1</v>
      </c>
      <c r="M50" s="184"/>
      <c r="N50" s="185"/>
      <c r="O50" s="185"/>
      <c r="P50" s="185"/>
      <c r="Q50" s="186"/>
    </row>
    <row r="51" spans="1:17" ht="15.75" customHeight="1" x14ac:dyDescent="0.3">
      <c r="A51" s="9">
        <v>2</v>
      </c>
      <c r="B51" s="12"/>
      <c r="C51" s="24" t="s">
        <v>56</v>
      </c>
      <c r="D51" s="184"/>
      <c r="E51" s="185"/>
      <c r="F51" s="185"/>
      <c r="G51" s="185"/>
      <c r="H51" s="185"/>
      <c r="I51" s="185"/>
      <c r="J51" s="185"/>
      <c r="K51" s="186"/>
      <c r="L51" s="9">
        <v>2</v>
      </c>
      <c r="M51" s="184"/>
      <c r="N51" s="185"/>
      <c r="O51" s="185"/>
      <c r="P51" s="185"/>
      <c r="Q51" s="186"/>
    </row>
    <row r="52" spans="1:17" ht="15.75" customHeight="1" x14ac:dyDescent="0.3">
      <c r="A52" s="9">
        <v>3</v>
      </c>
      <c r="B52" s="12"/>
      <c r="C52" s="24" t="s">
        <v>56</v>
      </c>
      <c r="D52" s="184"/>
      <c r="E52" s="185"/>
      <c r="F52" s="185"/>
      <c r="G52" s="185"/>
      <c r="H52" s="185"/>
      <c r="I52" s="185"/>
      <c r="J52" s="185"/>
      <c r="K52" s="186"/>
      <c r="L52" s="9">
        <v>3</v>
      </c>
      <c r="M52" s="184"/>
      <c r="N52" s="185"/>
      <c r="O52" s="185"/>
      <c r="P52" s="185"/>
      <c r="Q52" s="186"/>
    </row>
    <row r="53" spans="1:17" ht="15.75" customHeight="1" x14ac:dyDescent="0.3">
      <c r="A53" s="9">
        <v>4</v>
      </c>
      <c r="B53" s="12"/>
      <c r="C53" s="24" t="s">
        <v>56</v>
      </c>
      <c r="D53" s="184"/>
      <c r="E53" s="185"/>
      <c r="F53" s="185"/>
      <c r="G53" s="185"/>
      <c r="H53" s="185"/>
      <c r="I53" s="185"/>
      <c r="J53" s="185"/>
      <c r="K53" s="186"/>
      <c r="L53" s="9">
        <v>4</v>
      </c>
      <c r="M53" s="184"/>
      <c r="N53" s="185"/>
      <c r="O53" s="185"/>
      <c r="P53" s="185"/>
      <c r="Q53" s="186"/>
    </row>
    <row r="54" spans="1:17" ht="15.75" customHeight="1" x14ac:dyDescent="0.3">
      <c r="A54" s="9">
        <v>5</v>
      </c>
      <c r="B54" s="12"/>
      <c r="C54" s="24" t="s">
        <v>56</v>
      </c>
      <c r="D54" s="184"/>
      <c r="E54" s="185"/>
      <c r="F54" s="185"/>
      <c r="G54" s="185"/>
      <c r="H54" s="185"/>
      <c r="I54" s="185"/>
      <c r="J54" s="185"/>
      <c r="K54" s="186"/>
      <c r="L54" s="9">
        <v>5</v>
      </c>
      <c r="M54" s="184"/>
      <c r="N54" s="185"/>
      <c r="O54" s="185"/>
      <c r="P54" s="185"/>
      <c r="Q54" s="186"/>
    </row>
    <row r="55" spans="1:17" ht="15.75" customHeight="1" x14ac:dyDescent="0.25">
      <c r="A55" s="25" t="s">
        <v>57</v>
      </c>
      <c r="K55" s="13" t="s">
        <v>58</v>
      </c>
    </row>
    <row r="56" spans="1:17" ht="16.5" customHeight="1" x14ac:dyDescent="0.25">
      <c r="A56" s="197" t="s">
        <v>59</v>
      </c>
      <c r="B56" s="190"/>
      <c r="C56" s="190"/>
      <c r="D56" s="190"/>
      <c r="E56" s="190"/>
      <c r="F56" s="190"/>
      <c r="G56" s="190"/>
      <c r="H56" s="190"/>
      <c r="K56" s="13" t="s">
        <v>60</v>
      </c>
    </row>
    <row r="57" spans="1:17" ht="15.75" customHeight="1" x14ac:dyDescent="0.25">
      <c r="A57" s="190"/>
      <c r="B57" s="190"/>
      <c r="C57" s="190"/>
      <c r="D57" s="190"/>
      <c r="E57" s="190"/>
      <c r="F57" s="190"/>
      <c r="G57" s="190"/>
      <c r="H57" s="190"/>
    </row>
    <row r="58" spans="1:17" ht="15.75" customHeight="1" x14ac:dyDescent="0.25">
      <c r="A58" s="198" t="s">
        <v>61</v>
      </c>
      <c r="B58" s="190"/>
      <c r="C58" s="190"/>
      <c r="D58" s="190"/>
      <c r="E58" s="190"/>
      <c r="F58" s="190"/>
      <c r="G58" s="190"/>
      <c r="H58" s="190"/>
    </row>
    <row r="59" spans="1:17" ht="15.75" customHeight="1" x14ac:dyDescent="0.25">
      <c r="A59" s="190"/>
      <c r="B59" s="190"/>
      <c r="C59" s="190"/>
      <c r="D59" s="190"/>
      <c r="E59" s="190"/>
      <c r="F59" s="190"/>
      <c r="G59" s="190"/>
      <c r="H59" s="190"/>
      <c r="K59" s="13" t="s">
        <v>62</v>
      </c>
    </row>
    <row r="60" spans="1:17" ht="15.75" customHeight="1" x14ac:dyDescent="0.25">
      <c r="A60" s="190"/>
      <c r="B60" s="190"/>
      <c r="C60" s="190"/>
      <c r="D60" s="190"/>
      <c r="E60" s="190"/>
      <c r="F60" s="190"/>
      <c r="G60" s="190"/>
      <c r="H60" s="190"/>
      <c r="K60" s="13" t="s">
        <v>63</v>
      </c>
    </row>
    <row r="61" spans="1:17" ht="15.75" customHeight="1" x14ac:dyDescent="0.25"/>
    <row r="62" spans="1:17" ht="15.75" customHeight="1" x14ac:dyDescent="0.25">
      <c r="A62" s="26" t="s">
        <v>5135</v>
      </c>
    </row>
    <row r="63" spans="1:17" ht="15.75" customHeight="1" x14ac:dyDescent="0.25"/>
    <row r="64" spans="1:1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</sheetData>
  <mergeCells count="27">
    <mergeCell ref="D54:K54"/>
    <mergeCell ref="M54:Q54"/>
    <mergeCell ref="A56:H57"/>
    <mergeCell ref="A58:H60"/>
    <mergeCell ref="A11:B11"/>
    <mergeCell ref="D11:H11"/>
    <mergeCell ref="A48:K48"/>
    <mergeCell ref="L48:Q49"/>
    <mergeCell ref="D49:K49"/>
    <mergeCell ref="D50:K50"/>
    <mergeCell ref="D51:K51"/>
    <mergeCell ref="M50:Q50"/>
    <mergeCell ref="M51:Q51"/>
    <mergeCell ref="D52:K52"/>
    <mergeCell ref="M52:Q52"/>
    <mergeCell ref="D53:K53"/>
    <mergeCell ref="M53:Q53"/>
    <mergeCell ref="I11:K11"/>
    <mergeCell ref="L11:P11"/>
    <mergeCell ref="M1:Q1"/>
    <mergeCell ref="M2:Q2"/>
    <mergeCell ref="A3:Q3"/>
    <mergeCell ref="A4:Q4"/>
    <mergeCell ref="A5:Q5"/>
    <mergeCell ref="A6:Q6"/>
    <mergeCell ref="C11:C12"/>
    <mergeCell ref="Q11:Q12"/>
  </mergeCells>
  <pageMargins left="0.59055118110236227" right="0.39370078740157483" top="0.43307086614173229" bottom="0.39370078740157483" header="0" footer="0"/>
  <pageSetup paperSize="10000" scale="8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  <pageSetUpPr fitToPage="1"/>
  </sheetPr>
  <dimension ref="A1:Z1001"/>
  <sheetViews>
    <sheetView workbookViewId="0">
      <selection activeCell="A7" sqref="A7"/>
    </sheetView>
  </sheetViews>
  <sheetFormatPr defaultColWidth="14.42578125" defaultRowHeight="15" customHeight="1" x14ac:dyDescent="0.25"/>
  <cols>
    <col min="1" max="1" width="4.85546875" customWidth="1"/>
    <col min="2" max="2" width="8.7109375" customWidth="1"/>
    <col min="3" max="3" width="37.5703125" customWidth="1"/>
    <col min="4" max="8" width="3.5703125" customWidth="1"/>
    <col min="9" max="11" width="4.140625" customWidth="1"/>
    <col min="12" max="16" width="4.42578125" customWidth="1"/>
    <col min="17" max="17" width="5" customWidth="1"/>
    <col min="18" max="26" width="8.7109375" customWidth="1"/>
  </cols>
  <sheetData>
    <row r="1" spans="1:17" x14ac:dyDescent="0.25">
      <c r="M1" s="188" t="s">
        <v>0</v>
      </c>
      <c r="N1" s="185"/>
      <c r="O1" s="185"/>
      <c r="P1" s="185"/>
      <c r="Q1" s="186"/>
    </row>
    <row r="2" spans="1:17" x14ac:dyDescent="0.25">
      <c r="M2" s="188" t="s">
        <v>1</v>
      </c>
      <c r="N2" s="185"/>
      <c r="O2" s="185"/>
      <c r="P2" s="185"/>
      <c r="Q2" s="186"/>
    </row>
    <row r="3" spans="1:17" ht="15.75" x14ac:dyDescent="0.3">
      <c r="A3" s="189" t="s">
        <v>2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</row>
    <row r="4" spans="1:17" x14ac:dyDescent="0.25">
      <c r="A4" s="191" t="s">
        <v>3</v>
      </c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</row>
    <row r="5" spans="1:17" x14ac:dyDescent="0.25">
      <c r="A5" s="192" t="s">
        <v>4</v>
      </c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</row>
    <row r="6" spans="1:17" ht="15.75" x14ac:dyDescent="0.25">
      <c r="A6" s="193" t="s">
        <v>5190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</row>
    <row r="7" spans="1:17" ht="15.7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9.5" customHeight="1" x14ac:dyDescent="0.25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3"/>
      <c r="L8" s="2" t="s">
        <v>6</v>
      </c>
      <c r="M8" s="2"/>
      <c r="N8" s="2"/>
      <c r="O8" s="2"/>
      <c r="P8" s="2"/>
      <c r="Q8" s="2"/>
    </row>
    <row r="9" spans="1:17" ht="19.5" customHeight="1" x14ac:dyDescent="0.25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3"/>
      <c r="L9" s="4" t="s">
        <v>5140</v>
      </c>
      <c r="M9" s="2"/>
      <c r="N9" s="2"/>
      <c r="O9" s="2"/>
      <c r="P9" s="2"/>
      <c r="Q9" s="2"/>
    </row>
    <row r="10" spans="1:17" ht="19.5" customHeight="1" x14ac:dyDescent="0.25">
      <c r="A10" s="2" t="s">
        <v>8</v>
      </c>
      <c r="B10" s="2"/>
      <c r="C10" s="4" t="s">
        <v>4500</v>
      </c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</row>
    <row r="11" spans="1:17" ht="15" customHeight="1" x14ac:dyDescent="0.3">
      <c r="A11" s="199" t="s">
        <v>9</v>
      </c>
      <c r="B11" s="186"/>
      <c r="C11" s="194" t="s">
        <v>10</v>
      </c>
      <c r="D11" s="200" t="s">
        <v>11</v>
      </c>
      <c r="E11" s="185"/>
      <c r="F11" s="185"/>
      <c r="G11" s="185"/>
      <c r="H11" s="186"/>
      <c r="I11" s="187" t="s">
        <v>12</v>
      </c>
      <c r="J11" s="185"/>
      <c r="K11" s="186"/>
      <c r="L11" s="187" t="s">
        <v>13</v>
      </c>
      <c r="M11" s="185"/>
      <c r="N11" s="185"/>
      <c r="O11" s="185"/>
      <c r="P11" s="186"/>
      <c r="Q11" s="196" t="s">
        <v>14</v>
      </c>
    </row>
    <row r="12" spans="1:17" ht="15" customHeight="1" x14ac:dyDescent="0.3">
      <c r="A12" s="5" t="s">
        <v>15</v>
      </c>
      <c r="B12" s="5" t="s">
        <v>16</v>
      </c>
      <c r="C12" s="208"/>
      <c r="D12" s="6"/>
      <c r="E12" s="6"/>
      <c r="F12" s="6"/>
      <c r="G12" s="6"/>
      <c r="H12" s="6"/>
      <c r="I12" s="7" t="s">
        <v>17</v>
      </c>
      <c r="J12" s="7" t="s">
        <v>18</v>
      </c>
      <c r="K12" s="7" t="s">
        <v>19</v>
      </c>
      <c r="L12" s="8">
        <v>1</v>
      </c>
      <c r="M12" s="8">
        <v>2</v>
      </c>
      <c r="N12" s="8">
        <v>3</v>
      </c>
      <c r="O12" s="8">
        <v>4</v>
      </c>
      <c r="P12" s="8">
        <v>5</v>
      </c>
      <c r="Q12" s="195"/>
    </row>
    <row r="13" spans="1:17" x14ac:dyDescent="0.25">
      <c r="A13" s="9">
        <v>1</v>
      </c>
      <c r="B13" s="10" t="s">
        <v>4566</v>
      </c>
      <c r="C13" s="27" t="s">
        <v>64</v>
      </c>
      <c r="D13" s="16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25">
      <c r="A14" s="9">
        <v>2</v>
      </c>
      <c r="B14" s="10" t="s">
        <v>4567</v>
      </c>
      <c r="C14" s="27" t="s">
        <v>65</v>
      </c>
      <c r="D14" s="16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5">
      <c r="A15" s="9">
        <v>3</v>
      </c>
      <c r="B15" s="10" t="s">
        <v>4568</v>
      </c>
      <c r="C15" s="27" t="s">
        <v>66</v>
      </c>
      <c r="D15" s="16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9">
        <v>4</v>
      </c>
      <c r="B16" s="10" t="s">
        <v>4569</v>
      </c>
      <c r="C16" s="11" t="s">
        <v>67</v>
      </c>
      <c r="D16" s="16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26" x14ac:dyDescent="0.25">
      <c r="A17" s="9">
        <v>5</v>
      </c>
      <c r="B17" s="10" t="s">
        <v>4570</v>
      </c>
      <c r="C17" s="27" t="s">
        <v>68</v>
      </c>
      <c r="D17" s="16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26" x14ac:dyDescent="0.25">
      <c r="A18" s="9">
        <v>6</v>
      </c>
      <c r="B18" s="10" t="s">
        <v>4571</v>
      </c>
      <c r="C18" s="27" t="s">
        <v>69</v>
      </c>
      <c r="D18" s="16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26" x14ac:dyDescent="0.25">
      <c r="A19" s="9">
        <v>7</v>
      </c>
      <c r="B19" s="10" t="s">
        <v>4572</v>
      </c>
      <c r="C19" s="27" t="s">
        <v>70</v>
      </c>
      <c r="D19" s="16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3"/>
      <c r="S19" s="13"/>
      <c r="T19" s="13"/>
      <c r="U19" s="13"/>
      <c r="V19" s="13"/>
      <c r="W19" s="13"/>
      <c r="X19" s="13"/>
      <c r="Y19" s="13"/>
      <c r="Z19" s="13"/>
    </row>
    <row r="20" spans="1:26" x14ac:dyDescent="0.25">
      <c r="A20" s="9">
        <v>8</v>
      </c>
      <c r="B20" s="10" t="s">
        <v>4573</v>
      </c>
      <c r="C20" s="27" t="s">
        <v>71</v>
      </c>
      <c r="D20" s="16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26" x14ac:dyDescent="0.25">
      <c r="A21" s="9">
        <v>9</v>
      </c>
      <c r="B21" s="10" t="s">
        <v>4574</v>
      </c>
      <c r="C21" s="27" t="s">
        <v>72</v>
      </c>
      <c r="D21" s="16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26" ht="15.75" customHeight="1" x14ac:dyDescent="0.25">
      <c r="A22" s="9">
        <v>10</v>
      </c>
      <c r="B22" s="10" t="s">
        <v>4575</v>
      </c>
      <c r="C22" s="27" t="s">
        <v>73</v>
      </c>
      <c r="D22" s="16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26" ht="15.75" customHeight="1" x14ac:dyDescent="0.25">
      <c r="A23" s="9">
        <v>11</v>
      </c>
      <c r="B23" s="10" t="s">
        <v>4576</v>
      </c>
      <c r="C23" s="27" t="s">
        <v>74</v>
      </c>
      <c r="D23" s="16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26" ht="15.75" customHeight="1" x14ac:dyDescent="0.25">
      <c r="A24" s="9">
        <v>12</v>
      </c>
      <c r="B24" s="10" t="s">
        <v>4577</v>
      </c>
      <c r="C24" s="27" t="s">
        <v>75</v>
      </c>
      <c r="D24" s="16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26" ht="15.75" customHeight="1" x14ac:dyDescent="0.25">
      <c r="A25" s="9">
        <v>13</v>
      </c>
      <c r="B25" s="10" t="s">
        <v>4578</v>
      </c>
      <c r="C25" s="27" t="s">
        <v>76</v>
      </c>
      <c r="D25" s="16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26" ht="15.75" customHeight="1" x14ac:dyDescent="0.25">
      <c r="A26" s="9">
        <v>14</v>
      </c>
      <c r="B26" s="10" t="s">
        <v>4579</v>
      </c>
      <c r="C26" s="27" t="s">
        <v>77</v>
      </c>
      <c r="D26" s="16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26" ht="15.75" customHeight="1" x14ac:dyDescent="0.25">
      <c r="A27" s="9">
        <v>15</v>
      </c>
      <c r="B27" s="10" t="s">
        <v>4580</v>
      </c>
      <c r="C27" s="27" t="s">
        <v>78</v>
      </c>
      <c r="D27" s="16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26" ht="15.75" customHeight="1" x14ac:dyDescent="0.25">
      <c r="A28" s="9">
        <v>16</v>
      </c>
      <c r="B28" s="10" t="s">
        <v>4581</v>
      </c>
      <c r="C28" s="27" t="s">
        <v>79</v>
      </c>
      <c r="D28" s="16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26" ht="15.75" customHeight="1" x14ac:dyDescent="0.25">
      <c r="A29" s="9">
        <v>17</v>
      </c>
      <c r="B29" s="10" t="s">
        <v>4582</v>
      </c>
      <c r="C29" s="27" t="s">
        <v>80</v>
      </c>
      <c r="D29" s="16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26" ht="15.75" customHeight="1" x14ac:dyDescent="0.25">
      <c r="A30" s="9">
        <v>18</v>
      </c>
      <c r="B30" s="10" t="s">
        <v>4583</v>
      </c>
      <c r="C30" s="27" t="s">
        <v>81</v>
      </c>
      <c r="D30" s="16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26" ht="15.75" customHeight="1" x14ac:dyDescent="0.25">
      <c r="A31" s="9">
        <v>19</v>
      </c>
      <c r="B31" s="10" t="s">
        <v>4584</v>
      </c>
      <c r="C31" s="11" t="s">
        <v>82</v>
      </c>
      <c r="D31" s="16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26" ht="15.75" customHeight="1" x14ac:dyDescent="0.25">
      <c r="A32" s="9">
        <v>20</v>
      </c>
      <c r="B32" s="10" t="s">
        <v>4585</v>
      </c>
      <c r="C32" s="27" t="s">
        <v>83</v>
      </c>
      <c r="D32" s="16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17" ht="15.75" customHeight="1" x14ac:dyDescent="0.25">
      <c r="A33" s="9">
        <v>21</v>
      </c>
      <c r="B33" s="10" t="s">
        <v>4586</v>
      </c>
      <c r="C33" s="27" t="s">
        <v>84</v>
      </c>
      <c r="D33" s="16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17" ht="15.75" customHeight="1" x14ac:dyDescent="0.25">
      <c r="A34" s="9">
        <v>22</v>
      </c>
      <c r="B34" s="10" t="s">
        <v>4587</v>
      </c>
      <c r="C34" s="27" t="s">
        <v>85</v>
      </c>
      <c r="D34" s="16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17" ht="15.75" customHeight="1" x14ac:dyDescent="0.25">
      <c r="A35" s="29">
        <v>23</v>
      </c>
      <c r="B35" s="176" t="s">
        <v>4588</v>
      </c>
      <c r="C35" s="28" t="s">
        <v>86</v>
      </c>
      <c r="D35" s="21"/>
      <c r="E35" s="15"/>
      <c r="F35" s="15"/>
      <c r="G35" s="15"/>
      <c r="H35" s="15"/>
      <c r="I35" s="15"/>
      <c r="J35" s="12"/>
      <c r="K35" s="12"/>
      <c r="L35" s="12"/>
      <c r="M35" s="12"/>
      <c r="N35" s="12"/>
      <c r="O35" s="12"/>
      <c r="P35" s="12"/>
      <c r="Q35" s="12"/>
    </row>
    <row r="36" spans="1:17" ht="15.75" customHeight="1" x14ac:dyDescent="0.25">
      <c r="A36" s="69">
        <v>24</v>
      </c>
      <c r="B36" s="70" t="s">
        <v>4589</v>
      </c>
      <c r="C36" s="144" t="s">
        <v>87</v>
      </c>
      <c r="D36" s="68"/>
      <c r="E36" s="68"/>
      <c r="F36" s="68"/>
      <c r="G36" s="68"/>
      <c r="H36" s="68"/>
      <c r="I36" s="68"/>
      <c r="J36" s="21"/>
      <c r="K36" s="12"/>
      <c r="L36" s="12"/>
      <c r="M36" s="12"/>
      <c r="N36" s="12"/>
      <c r="O36" s="12"/>
      <c r="P36" s="12"/>
      <c r="Q36" s="12"/>
    </row>
    <row r="37" spans="1:17" ht="15.75" customHeight="1" x14ac:dyDescent="0.25">
      <c r="A37" s="69">
        <v>25</v>
      </c>
      <c r="B37" s="70" t="s">
        <v>4590</v>
      </c>
      <c r="C37" s="75" t="s">
        <v>88</v>
      </c>
      <c r="D37" s="68"/>
      <c r="E37" s="68"/>
      <c r="F37" s="68"/>
      <c r="G37" s="68"/>
      <c r="H37" s="68"/>
      <c r="I37" s="68"/>
      <c r="J37" s="113"/>
      <c r="K37" s="16"/>
      <c r="L37" s="12"/>
      <c r="M37" s="12"/>
      <c r="N37" s="12"/>
      <c r="O37" s="12"/>
      <c r="P37" s="12"/>
      <c r="Q37" s="12"/>
    </row>
    <row r="38" spans="1:17" ht="15.75" customHeight="1" x14ac:dyDescent="0.25">
      <c r="A38" s="69">
        <v>26</v>
      </c>
      <c r="B38" s="70" t="s">
        <v>4591</v>
      </c>
      <c r="C38" s="144" t="s">
        <v>89</v>
      </c>
      <c r="D38" s="68"/>
      <c r="E38" s="68"/>
      <c r="F38" s="68"/>
      <c r="G38" s="68"/>
      <c r="H38" s="68"/>
      <c r="I38" s="68"/>
      <c r="J38" s="113"/>
      <c r="K38" s="16"/>
      <c r="L38" s="12"/>
      <c r="M38" s="12"/>
      <c r="N38" s="12"/>
      <c r="O38" s="12"/>
      <c r="P38" s="12"/>
      <c r="Q38" s="12"/>
    </row>
    <row r="39" spans="1:17" ht="15.75" customHeight="1" x14ac:dyDescent="0.25">
      <c r="A39" s="69">
        <v>27</v>
      </c>
      <c r="B39" s="70" t="s">
        <v>4592</v>
      </c>
      <c r="C39" s="144" t="s">
        <v>90</v>
      </c>
      <c r="D39" s="68"/>
      <c r="E39" s="68"/>
      <c r="F39" s="68"/>
      <c r="G39" s="68"/>
      <c r="H39" s="68"/>
      <c r="I39" s="68"/>
      <c r="J39" s="113"/>
      <c r="K39" s="16"/>
      <c r="L39" s="12"/>
      <c r="M39" s="12"/>
      <c r="N39" s="12"/>
      <c r="O39" s="12"/>
      <c r="P39" s="12"/>
      <c r="Q39" s="12"/>
    </row>
    <row r="40" spans="1:17" ht="15.75" customHeight="1" x14ac:dyDescent="0.25">
      <c r="A40" s="69">
        <v>28</v>
      </c>
      <c r="B40" s="70" t="s">
        <v>4594</v>
      </c>
      <c r="C40" s="144" t="s">
        <v>92</v>
      </c>
      <c r="D40" s="68"/>
      <c r="E40" s="68"/>
      <c r="F40" s="68"/>
      <c r="G40" s="68"/>
      <c r="H40" s="68"/>
      <c r="I40" s="68"/>
      <c r="J40" s="113"/>
      <c r="K40" s="16"/>
      <c r="L40" s="12"/>
      <c r="M40" s="12"/>
      <c r="N40" s="12"/>
      <c r="O40" s="12"/>
      <c r="P40" s="12"/>
      <c r="Q40" s="12"/>
    </row>
    <row r="41" spans="1:17" ht="15.75" customHeight="1" x14ac:dyDescent="0.25">
      <c r="A41" s="69">
        <v>29</v>
      </c>
      <c r="B41" s="70" t="s">
        <v>4595</v>
      </c>
      <c r="C41" s="144" t="s">
        <v>93</v>
      </c>
      <c r="D41" s="68"/>
      <c r="E41" s="68"/>
      <c r="F41" s="68"/>
      <c r="G41" s="68"/>
      <c r="H41" s="68"/>
      <c r="I41" s="68"/>
      <c r="J41" s="113"/>
      <c r="K41" s="16"/>
      <c r="L41" s="12"/>
      <c r="M41" s="12"/>
      <c r="N41" s="12"/>
      <c r="O41" s="12"/>
      <c r="P41" s="12"/>
      <c r="Q41" s="12"/>
    </row>
    <row r="42" spans="1:17" ht="15.75" customHeight="1" x14ac:dyDescent="0.25">
      <c r="A42" s="69">
        <v>30</v>
      </c>
      <c r="B42" s="70" t="s">
        <v>4596</v>
      </c>
      <c r="C42" s="144" t="s">
        <v>94</v>
      </c>
      <c r="D42" s="68"/>
      <c r="E42" s="68"/>
      <c r="F42" s="68"/>
      <c r="G42" s="68"/>
      <c r="H42" s="68"/>
      <c r="I42" s="68"/>
      <c r="J42" s="113"/>
      <c r="K42" s="16"/>
      <c r="L42" s="12"/>
      <c r="M42" s="12"/>
      <c r="N42" s="12"/>
      <c r="O42" s="12"/>
      <c r="P42" s="12"/>
      <c r="Q42" s="12"/>
    </row>
    <row r="43" spans="1:17" ht="15.75" customHeight="1" x14ac:dyDescent="0.25">
      <c r="A43" s="69">
        <v>31</v>
      </c>
      <c r="B43" s="70" t="s">
        <v>4597</v>
      </c>
      <c r="C43" s="144" t="s">
        <v>95</v>
      </c>
      <c r="D43" s="68"/>
      <c r="E43" s="68"/>
      <c r="F43" s="68"/>
      <c r="G43" s="68"/>
      <c r="H43" s="68"/>
      <c r="I43" s="68"/>
      <c r="J43" s="113"/>
      <c r="K43" s="16"/>
      <c r="L43" s="12"/>
      <c r="M43" s="12"/>
      <c r="N43" s="12"/>
      <c r="O43" s="12"/>
      <c r="P43" s="12"/>
      <c r="Q43" s="12"/>
    </row>
    <row r="44" spans="1:17" ht="15.75" customHeight="1" x14ac:dyDescent="0.25">
      <c r="A44" s="69">
        <v>32</v>
      </c>
      <c r="B44" s="70" t="s">
        <v>4598</v>
      </c>
      <c r="C44" s="144" t="s">
        <v>96</v>
      </c>
      <c r="D44" s="68"/>
      <c r="E44" s="68"/>
      <c r="F44" s="68"/>
      <c r="G44" s="68"/>
      <c r="H44" s="68"/>
      <c r="I44" s="68"/>
      <c r="J44" s="113"/>
      <c r="K44" s="16"/>
      <c r="L44" s="12"/>
      <c r="M44" s="12"/>
      <c r="N44" s="12"/>
      <c r="O44" s="12"/>
      <c r="P44" s="12"/>
      <c r="Q44" s="12"/>
    </row>
    <row r="45" spans="1:17" ht="15.75" customHeight="1" x14ac:dyDescent="0.25">
      <c r="A45" s="69">
        <v>33</v>
      </c>
      <c r="B45" s="70" t="s">
        <v>4600</v>
      </c>
      <c r="C45" s="75" t="s">
        <v>98</v>
      </c>
      <c r="D45" s="68"/>
      <c r="E45" s="68"/>
      <c r="F45" s="68"/>
      <c r="G45" s="68"/>
      <c r="H45" s="68"/>
      <c r="I45" s="68"/>
      <c r="J45" s="113"/>
      <c r="K45" s="16"/>
      <c r="L45" s="12"/>
      <c r="M45" s="12"/>
      <c r="N45" s="12"/>
      <c r="O45" s="12"/>
      <c r="P45" s="12"/>
      <c r="Q45" s="12"/>
    </row>
    <row r="46" spans="1:17" ht="15.75" customHeight="1" x14ac:dyDescent="0.25">
      <c r="A46" s="69">
        <v>34</v>
      </c>
      <c r="B46" s="69" t="s">
        <v>4602</v>
      </c>
      <c r="C46" s="75" t="s">
        <v>100</v>
      </c>
      <c r="D46" s="68"/>
      <c r="E46" s="68"/>
      <c r="F46" s="68"/>
      <c r="G46" s="68"/>
      <c r="H46" s="68"/>
      <c r="I46" s="68"/>
      <c r="J46" s="113"/>
      <c r="K46" s="16"/>
      <c r="L46" s="12"/>
      <c r="M46" s="12"/>
      <c r="N46" s="12"/>
      <c r="O46" s="12"/>
      <c r="P46" s="12"/>
      <c r="Q46" s="12"/>
    </row>
    <row r="47" spans="1:17" ht="15.75" customHeight="1" x14ac:dyDescent="0.25">
      <c r="A47" s="69">
        <v>35</v>
      </c>
      <c r="B47" s="71"/>
      <c r="C47" s="71"/>
      <c r="D47" s="68"/>
      <c r="E47" s="68"/>
      <c r="F47" s="68"/>
      <c r="G47" s="68"/>
      <c r="H47" s="68"/>
      <c r="I47" s="68"/>
      <c r="J47" s="113"/>
      <c r="K47" s="16"/>
      <c r="L47" s="12"/>
      <c r="M47" s="12"/>
      <c r="N47" s="12"/>
      <c r="O47" s="12"/>
      <c r="P47" s="12"/>
      <c r="Q47" s="12"/>
    </row>
    <row r="48" spans="1:17" ht="15.75" customHeight="1" x14ac:dyDescent="0.25">
      <c r="A48" s="69">
        <v>36</v>
      </c>
      <c r="B48" s="71"/>
      <c r="C48" s="71"/>
      <c r="D48" s="68"/>
      <c r="E48" s="68"/>
      <c r="F48" s="68"/>
      <c r="G48" s="68"/>
      <c r="H48" s="68"/>
      <c r="I48" s="68"/>
      <c r="J48" s="113"/>
      <c r="K48" s="16"/>
      <c r="L48" s="12"/>
      <c r="M48" s="12"/>
      <c r="N48" s="12"/>
      <c r="O48" s="12"/>
      <c r="P48" s="12"/>
      <c r="Q48" s="12"/>
    </row>
    <row r="49" spans="1:17" ht="15.75" customHeight="1" x14ac:dyDescent="0.25">
      <c r="A49" s="69">
        <v>37</v>
      </c>
      <c r="B49" s="71"/>
      <c r="C49" s="71"/>
      <c r="D49" s="68"/>
      <c r="E49" s="68"/>
      <c r="F49" s="68"/>
      <c r="G49" s="68"/>
      <c r="H49" s="68"/>
      <c r="I49" s="68"/>
      <c r="J49" s="113"/>
      <c r="K49" s="16"/>
      <c r="L49" s="12"/>
      <c r="M49" s="12"/>
      <c r="N49" s="12"/>
      <c r="O49" s="12"/>
      <c r="P49" s="12"/>
      <c r="Q49" s="12"/>
    </row>
    <row r="50" spans="1:17" ht="15.75" customHeight="1" x14ac:dyDescent="0.25">
      <c r="A50" s="2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spans="1:17" ht="15.75" customHeight="1" x14ac:dyDescent="0.25">
      <c r="A51" s="201" t="s">
        <v>50</v>
      </c>
      <c r="B51" s="185"/>
      <c r="C51" s="185"/>
      <c r="D51" s="185"/>
      <c r="E51" s="185"/>
      <c r="F51" s="185"/>
      <c r="G51" s="185"/>
      <c r="H51" s="185"/>
      <c r="I51" s="185"/>
      <c r="J51" s="185"/>
      <c r="K51" s="186"/>
      <c r="L51" s="202" t="s">
        <v>51</v>
      </c>
      <c r="M51" s="203"/>
      <c r="N51" s="203"/>
      <c r="O51" s="203"/>
      <c r="P51" s="203"/>
      <c r="Q51" s="204"/>
    </row>
    <row r="52" spans="1:17" ht="15.75" customHeight="1" x14ac:dyDescent="0.25">
      <c r="A52" s="8" t="s">
        <v>52</v>
      </c>
      <c r="B52" s="8" t="s">
        <v>53</v>
      </c>
      <c r="C52" s="23" t="s">
        <v>54</v>
      </c>
      <c r="D52" s="201" t="s">
        <v>55</v>
      </c>
      <c r="E52" s="185"/>
      <c r="F52" s="185"/>
      <c r="G52" s="185"/>
      <c r="H52" s="185"/>
      <c r="I52" s="185"/>
      <c r="J52" s="185"/>
      <c r="K52" s="186"/>
      <c r="L52" s="205"/>
      <c r="M52" s="206"/>
      <c r="N52" s="206"/>
      <c r="O52" s="206"/>
      <c r="P52" s="206"/>
      <c r="Q52" s="207"/>
    </row>
    <row r="53" spans="1:17" ht="15.75" customHeight="1" x14ac:dyDescent="0.3">
      <c r="A53" s="9">
        <v>1</v>
      </c>
      <c r="B53" s="12"/>
      <c r="C53" s="24" t="s">
        <v>56</v>
      </c>
      <c r="D53" s="184"/>
      <c r="E53" s="185"/>
      <c r="F53" s="185"/>
      <c r="G53" s="185"/>
      <c r="H53" s="185"/>
      <c r="I53" s="185"/>
      <c r="J53" s="185"/>
      <c r="K53" s="186"/>
      <c r="L53" s="9">
        <v>1</v>
      </c>
      <c r="M53" s="184"/>
      <c r="N53" s="185"/>
      <c r="O53" s="185"/>
      <c r="P53" s="185"/>
      <c r="Q53" s="186"/>
    </row>
    <row r="54" spans="1:17" ht="15.75" customHeight="1" x14ac:dyDescent="0.3">
      <c r="A54" s="9">
        <v>2</v>
      </c>
      <c r="B54" s="12"/>
      <c r="C54" s="24" t="s">
        <v>56</v>
      </c>
      <c r="D54" s="184"/>
      <c r="E54" s="185"/>
      <c r="F54" s="185"/>
      <c r="G54" s="185"/>
      <c r="H54" s="185"/>
      <c r="I54" s="185"/>
      <c r="J54" s="185"/>
      <c r="K54" s="186"/>
      <c r="L54" s="9">
        <v>2</v>
      </c>
      <c r="M54" s="184"/>
      <c r="N54" s="185"/>
      <c r="O54" s="185"/>
      <c r="P54" s="185"/>
      <c r="Q54" s="186"/>
    </row>
    <row r="55" spans="1:17" ht="15.75" customHeight="1" x14ac:dyDescent="0.3">
      <c r="A55" s="9">
        <v>3</v>
      </c>
      <c r="B55" s="12"/>
      <c r="C55" s="24" t="s">
        <v>56</v>
      </c>
      <c r="D55" s="184"/>
      <c r="E55" s="185"/>
      <c r="F55" s="185"/>
      <c r="G55" s="185"/>
      <c r="H55" s="185"/>
      <c r="I55" s="185"/>
      <c r="J55" s="185"/>
      <c r="K55" s="186"/>
      <c r="L55" s="9">
        <v>3</v>
      </c>
      <c r="M55" s="184"/>
      <c r="N55" s="185"/>
      <c r="O55" s="185"/>
      <c r="P55" s="185"/>
      <c r="Q55" s="186"/>
    </row>
    <row r="56" spans="1:17" ht="15.75" customHeight="1" x14ac:dyDescent="0.3">
      <c r="A56" s="9">
        <v>4</v>
      </c>
      <c r="B56" s="12"/>
      <c r="C56" s="24" t="s">
        <v>56</v>
      </c>
      <c r="D56" s="184"/>
      <c r="E56" s="185"/>
      <c r="F56" s="185"/>
      <c r="G56" s="185"/>
      <c r="H56" s="185"/>
      <c r="I56" s="185"/>
      <c r="J56" s="185"/>
      <c r="K56" s="186"/>
      <c r="L56" s="9">
        <v>4</v>
      </c>
      <c r="M56" s="184"/>
      <c r="N56" s="185"/>
      <c r="O56" s="185"/>
      <c r="P56" s="185"/>
      <c r="Q56" s="186"/>
    </row>
    <row r="57" spans="1:17" ht="15.75" customHeight="1" x14ac:dyDescent="0.3">
      <c r="A57" s="9">
        <v>5</v>
      </c>
      <c r="B57" s="12"/>
      <c r="C57" s="24" t="s">
        <v>56</v>
      </c>
      <c r="D57" s="184"/>
      <c r="E57" s="185"/>
      <c r="F57" s="185"/>
      <c r="G57" s="185"/>
      <c r="H57" s="185"/>
      <c r="I57" s="185"/>
      <c r="J57" s="185"/>
      <c r="K57" s="186"/>
      <c r="L57" s="9">
        <v>5</v>
      </c>
      <c r="M57" s="184"/>
      <c r="N57" s="185"/>
      <c r="O57" s="185"/>
      <c r="P57" s="185"/>
      <c r="Q57" s="186"/>
    </row>
    <row r="58" spans="1:17" ht="15.75" customHeight="1" x14ac:dyDescent="0.25">
      <c r="A58" s="25" t="s">
        <v>57</v>
      </c>
      <c r="K58" s="13" t="s">
        <v>58</v>
      </c>
    </row>
    <row r="59" spans="1:17" ht="16.5" customHeight="1" x14ac:dyDescent="0.25">
      <c r="A59" s="197" t="s">
        <v>59</v>
      </c>
      <c r="B59" s="190"/>
      <c r="C59" s="190"/>
      <c r="D59" s="190"/>
      <c r="E59" s="190"/>
      <c r="F59" s="190"/>
      <c r="G59" s="190"/>
      <c r="H59" s="190"/>
      <c r="K59" s="13" t="s">
        <v>60</v>
      </c>
    </row>
    <row r="60" spans="1:17" ht="15.75" customHeight="1" x14ac:dyDescent="0.25">
      <c r="A60" s="190"/>
      <c r="B60" s="190"/>
      <c r="C60" s="190"/>
      <c r="D60" s="190"/>
      <c r="E60" s="190"/>
      <c r="F60" s="190"/>
      <c r="G60" s="190"/>
      <c r="H60" s="190"/>
    </row>
    <row r="61" spans="1:17" ht="15.75" customHeight="1" x14ac:dyDescent="0.25">
      <c r="A61" s="198" t="s">
        <v>61</v>
      </c>
      <c r="B61" s="190"/>
      <c r="C61" s="190"/>
      <c r="D61" s="190"/>
      <c r="E61" s="190"/>
      <c r="F61" s="190"/>
      <c r="G61" s="190"/>
      <c r="H61" s="190"/>
    </row>
    <row r="62" spans="1:17" ht="15.75" customHeight="1" x14ac:dyDescent="0.25">
      <c r="A62" s="190"/>
      <c r="B62" s="190"/>
      <c r="C62" s="190"/>
      <c r="D62" s="190"/>
      <c r="E62" s="190"/>
      <c r="F62" s="190"/>
      <c r="G62" s="190"/>
      <c r="H62" s="190"/>
      <c r="K62" s="13" t="s">
        <v>62</v>
      </c>
    </row>
    <row r="63" spans="1:17" ht="15.75" customHeight="1" x14ac:dyDescent="0.25">
      <c r="A63" s="190"/>
      <c r="B63" s="190"/>
      <c r="C63" s="190"/>
      <c r="D63" s="190"/>
      <c r="E63" s="190"/>
      <c r="F63" s="190"/>
      <c r="G63" s="190"/>
      <c r="H63" s="190"/>
      <c r="K63" s="13" t="s">
        <v>63</v>
      </c>
    </row>
    <row r="64" spans="1:17" ht="15.75" customHeight="1" x14ac:dyDescent="0.25"/>
    <row r="65" spans="1:1" ht="15.75" customHeight="1" x14ac:dyDescent="0.25">
      <c r="A65" s="26" t="s">
        <v>5138</v>
      </c>
    </row>
    <row r="66" spans="1:1" ht="15.75" customHeight="1" x14ac:dyDescent="0.25"/>
    <row r="67" spans="1:1" ht="15.75" customHeight="1" x14ac:dyDescent="0.25"/>
    <row r="68" spans="1:1" ht="15.75" customHeight="1" x14ac:dyDescent="0.25"/>
    <row r="69" spans="1:1" ht="15.75" customHeight="1" x14ac:dyDescent="0.25"/>
    <row r="70" spans="1:1" ht="15.75" customHeight="1" x14ac:dyDescent="0.25"/>
    <row r="71" spans="1:1" ht="15.75" customHeight="1" x14ac:dyDescent="0.25"/>
    <row r="72" spans="1:1" ht="15.75" customHeight="1" x14ac:dyDescent="0.25"/>
    <row r="73" spans="1:1" ht="15.75" customHeight="1" x14ac:dyDescent="0.25"/>
    <row r="74" spans="1:1" ht="15.75" customHeight="1" x14ac:dyDescent="0.25"/>
    <row r="75" spans="1:1" ht="15.75" customHeight="1" x14ac:dyDescent="0.25"/>
    <row r="76" spans="1:1" ht="15.75" customHeight="1" x14ac:dyDescent="0.25"/>
    <row r="77" spans="1:1" ht="15.75" customHeight="1" x14ac:dyDescent="0.25"/>
    <row r="78" spans="1:1" ht="15.75" customHeight="1" x14ac:dyDescent="0.25"/>
    <row r="79" spans="1:1" ht="15.75" customHeight="1" x14ac:dyDescent="0.25"/>
    <row r="80" spans="1:1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7">
    <mergeCell ref="D57:K57"/>
    <mergeCell ref="M57:Q57"/>
    <mergeCell ref="A59:H60"/>
    <mergeCell ref="A61:H63"/>
    <mergeCell ref="A11:B11"/>
    <mergeCell ref="D11:H11"/>
    <mergeCell ref="A51:K51"/>
    <mergeCell ref="L51:Q52"/>
    <mergeCell ref="D52:K52"/>
    <mergeCell ref="D53:K53"/>
    <mergeCell ref="D54:K54"/>
    <mergeCell ref="M53:Q53"/>
    <mergeCell ref="M54:Q54"/>
    <mergeCell ref="D55:K55"/>
    <mergeCell ref="M55:Q55"/>
    <mergeCell ref="D56:K56"/>
    <mergeCell ref="M56:Q56"/>
    <mergeCell ref="I11:K11"/>
    <mergeCell ref="L11:P11"/>
    <mergeCell ref="M1:Q1"/>
    <mergeCell ref="M2:Q2"/>
    <mergeCell ref="A3:Q3"/>
    <mergeCell ref="A4:Q4"/>
    <mergeCell ref="A5:Q5"/>
    <mergeCell ref="A6:Q6"/>
    <mergeCell ref="C11:C12"/>
    <mergeCell ref="Q11:Q12"/>
  </mergeCells>
  <pageMargins left="0.59055118110236227" right="0.39370078740157483" top="0.39370078740157483" bottom="0.19685039370078741" header="0" footer="0"/>
  <pageSetup paperSize="10000" scale="4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  <pageSetUpPr fitToPage="1"/>
  </sheetPr>
  <dimension ref="A1:Z1000"/>
  <sheetViews>
    <sheetView workbookViewId="0">
      <selection activeCell="S45" sqref="S45"/>
    </sheetView>
  </sheetViews>
  <sheetFormatPr defaultColWidth="14.42578125" defaultRowHeight="15" customHeight="1" x14ac:dyDescent="0.25"/>
  <cols>
    <col min="1" max="1" width="4.85546875" customWidth="1"/>
    <col min="2" max="2" width="8.7109375" customWidth="1"/>
    <col min="3" max="3" width="38.85546875" customWidth="1"/>
    <col min="4" max="8" width="3.5703125" customWidth="1"/>
    <col min="9" max="11" width="4.140625" customWidth="1"/>
    <col min="12" max="16" width="4.42578125" customWidth="1"/>
    <col min="17" max="17" width="5" customWidth="1"/>
    <col min="18" max="26" width="8.7109375" customWidth="1"/>
  </cols>
  <sheetData>
    <row r="1" spans="1:17" x14ac:dyDescent="0.25">
      <c r="M1" s="188" t="s">
        <v>0</v>
      </c>
      <c r="N1" s="185"/>
      <c r="O1" s="185"/>
      <c r="P1" s="185"/>
      <c r="Q1" s="186"/>
    </row>
    <row r="2" spans="1:17" x14ac:dyDescent="0.25">
      <c r="M2" s="188" t="s">
        <v>1</v>
      </c>
      <c r="N2" s="185"/>
      <c r="O2" s="185"/>
      <c r="P2" s="185"/>
      <c r="Q2" s="186"/>
    </row>
    <row r="3" spans="1:17" ht="15.75" x14ac:dyDescent="0.3">
      <c r="A3" s="189" t="s">
        <v>2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</row>
    <row r="4" spans="1:17" x14ac:dyDescent="0.25">
      <c r="A4" s="191" t="s">
        <v>3</v>
      </c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</row>
    <row r="5" spans="1:17" x14ac:dyDescent="0.25">
      <c r="A5" s="192" t="s">
        <v>4</v>
      </c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</row>
    <row r="6" spans="1:17" ht="15.75" x14ac:dyDescent="0.25">
      <c r="A6" s="193" t="s">
        <v>5189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</row>
    <row r="7" spans="1:17" ht="15.7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9.5" customHeight="1" x14ac:dyDescent="0.25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3"/>
      <c r="L8" s="2" t="s">
        <v>6</v>
      </c>
      <c r="M8" s="2"/>
      <c r="N8" s="2"/>
      <c r="O8" s="2"/>
      <c r="P8" s="2"/>
      <c r="Q8" s="2"/>
    </row>
    <row r="9" spans="1:17" ht="19.5" customHeight="1" x14ac:dyDescent="0.25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3"/>
      <c r="L9" s="4" t="s">
        <v>5140</v>
      </c>
      <c r="M9" s="2"/>
      <c r="N9" s="2"/>
      <c r="O9" s="2"/>
      <c r="P9" s="2"/>
      <c r="Q9" s="2"/>
    </row>
    <row r="10" spans="1:17" ht="19.5" customHeight="1" x14ac:dyDescent="0.25">
      <c r="A10" s="2" t="s">
        <v>8</v>
      </c>
      <c r="B10" s="2"/>
      <c r="C10" s="4" t="s">
        <v>4501</v>
      </c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</row>
    <row r="11" spans="1:17" ht="15" customHeight="1" x14ac:dyDescent="0.3">
      <c r="A11" s="199" t="s">
        <v>9</v>
      </c>
      <c r="B11" s="186"/>
      <c r="C11" s="196" t="s">
        <v>10</v>
      </c>
      <c r="D11" s="200" t="s">
        <v>11</v>
      </c>
      <c r="E11" s="185"/>
      <c r="F11" s="185"/>
      <c r="G11" s="185"/>
      <c r="H11" s="186"/>
      <c r="I11" s="187" t="s">
        <v>12</v>
      </c>
      <c r="J11" s="185"/>
      <c r="K11" s="186"/>
      <c r="L11" s="187" t="s">
        <v>13</v>
      </c>
      <c r="M11" s="185"/>
      <c r="N11" s="185"/>
      <c r="O11" s="185"/>
      <c r="P11" s="186"/>
      <c r="Q11" s="196" t="s">
        <v>14</v>
      </c>
    </row>
    <row r="12" spans="1:17" ht="15" customHeight="1" x14ac:dyDescent="0.3">
      <c r="A12" s="5" t="s">
        <v>15</v>
      </c>
      <c r="B12" s="5" t="s">
        <v>16</v>
      </c>
      <c r="C12" s="208"/>
      <c r="D12" s="6"/>
      <c r="E12" s="6"/>
      <c r="F12" s="6"/>
      <c r="G12" s="6"/>
      <c r="H12" s="6"/>
      <c r="I12" s="7" t="s">
        <v>17</v>
      </c>
      <c r="J12" s="7" t="s">
        <v>18</v>
      </c>
      <c r="K12" s="7" t="s">
        <v>19</v>
      </c>
      <c r="L12" s="8">
        <v>1</v>
      </c>
      <c r="M12" s="8">
        <v>2</v>
      </c>
      <c r="N12" s="8">
        <v>3</v>
      </c>
      <c r="O12" s="8">
        <v>4</v>
      </c>
      <c r="P12" s="8">
        <v>5</v>
      </c>
      <c r="Q12" s="195"/>
    </row>
    <row r="13" spans="1:17" x14ac:dyDescent="0.25">
      <c r="A13" s="9">
        <v>1</v>
      </c>
      <c r="B13" s="54" t="s">
        <v>4603</v>
      </c>
      <c r="C13" s="11" t="s">
        <v>101</v>
      </c>
      <c r="D13" s="16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25">
      <c r="A14" s="9">
        <v>2</v>
      </c>
      <c r="B14" s="54" t="s">
        <v>4604</v>
      </c>
      <c r="C14" s="11" t="s">
        <v>102</v>
      </c>
      <c r="D14" s="16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5">
      <c r="A15" s="9">
        <v>3</v>
      </c>
      <c r="B15" s="54" t="s">
        <v>4607</v>
      </c>
      <c r="C15" s="11" t="s">
        <v>105</v>
      </c>
      <c r="D15" s="16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9">
        <v>4</v>
      </c>
      <c r="B16" s="54" t="s">
        <v>4608</v>
      </c>
      <c r="C16" s="11" t="s">
        <v>106</v>
      </c>
      <c r="D16" s="16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26" x14ac:dyDescent="0.25">
      <c r="A17" s="9">
        <v>5</v>
      </c>
      <c r="B17" s="54" t="s">
        <v>4610</v>
      </c>
      <c r="C17" s="11" t="s">
        <v>108</v>
      </c>
      <c r="D17" s="16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26" x14ac:dyDescent="0.25">
      <c r="A18" s="9">
        <v>6</v>
      </c>
      <c r="B18" s="54" t="s">
        <v>4611</v>
      </c>
      <c r="C18" s="11" t="s">
        <v>109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3"/>
      <c r="S18" s="13"/>
      <c r="T18" s="13"/>
      <c r="U18" s="13"/>
      <c r="V18" s="13"/>
      <c r="W18" s="13"/>
      <c r="X18" s="13"/>
      <c r="Y18" s="13"/>
      <c r="Z18" s="13"/>
    </row>
    <row r="19" spans="1:26" x14ac:dyDescent="0.25">
      <c r="A19" s="9">
        <v>7</v>
      </c>
      <c r="B19" s="54" t="s">
        <v>4612</v>
      </c>
      <c r="C19" s="11" t="s">
        <v>110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26" x14ac:dyDescent="0.25">
      <c r="A20" s="9">
        <v>8</v>
      </c>
      <c r="B20" s="54" t="s">
        <v>4613</v>
      </c>
      <c r="C20" s="11" t="s">
        <v>111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26" x14ac:dyDescent="0.25">
      <c r="A21" s="9">
        <v>9</v>
      </c>
      <c r="B21" s="54" t="s">
        <v>4614</v>
      </c>
      <c r="C21" s="11" t="s">
        <v>112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26" ht="15.75" customHeight="1" x14ac:dyDescent="0.25">
      <c r="A22" s="9">
        <v>10</v>
      </c>
      <c r="B22" s="54" t="s">
        <v>4616</v>
      </c>
      <c r="C22" s="11" t="s">
        <v>114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26" ht="15.75" customHeight="1" x14ac:dyDescent="0.25">
      <c r="A23" s="9">
        <v>11</v>
      </c>
      <c r="B23" s="54" t="s">
        <v>4617</v>
      </c>
      <c r="C23" s="11" t="s">
        <v>115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26" ht="15.75" customHeight="1" x14ac:dyDescent="0.25">
      <c r="A24" s="9">
        <v>12</v>
      </c>
      <c r="B24" s="54" t="s">
        <v>4618</v>
      </c>
      <c r="C24" s="11" t="s">
        <v>116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26" ht="15.75" customHeight="1" x14ac:dyDescent="0.25">
      <c r="A25" s="9">
        <v>13</v>
      </c>
      <c r="B25" s="54" t="s">
        <v>4620</v>
      </c>
      <c r="C25" s="11" t="s">
        <v>118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26" ht="15.75" customHeight="1" x14ac:dyDescent="0.25">
      <c r="A26" s="9">
        <v>14</v>
      </c>
      <c r="B26" s="54" t="s">
        <v>4621</v>
      </c>
      <c r="C26" s="11" t="s">
        <v>119</v>
      </c>
      <c r="D26" s="12"/>
      <c r="E26" s="12"/>
      <c r="F26" s="12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</row>
    <row r="27" spans="1:26" ht="15.75" customHeight="1" x14ac:dyDescent="0.25">
      <c r="A27" s="9">
        <v>15</v>
      </c>
      <c r="B27" s="54" t="s">
        <v>4622</v>
      </c>
      <c r="C27" s="11" t="s">
        <v>120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</row>
    <row r="28" spans="1:26" ht="15.75" customHeight="1" x14ac:dyDescent="0.25">
      <c r="A28" s="9">
        <v>16</v>
      </c>
      <c r="B28" s="54" t="s">
        <v>4623</v>
      </c>
      <c r="C28" s="11" t="s">
        <v>121</v>
      </c>
      <c r="D28" s="12"/>
      <c r="E28" s="12"/>
      <c r="F28" s="12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</row>
    <row r="29" spans="1:26" ht="15.75" customHeight="1" x14ac:dyDescent="0.25">
      <c r="A29" s="9">
        <v>17</v>
      </c>
      <c r="B29" s="54" t="s">
        <v>4624</v>
      </c>
      <c r="C29" s="11" t="s">
        <v>122</v>
      </c>
      <c r="D29" s="16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26" ht="15.75" customHeight="1" x14ac:dyDescent="0.25">
      <c r="A30" s="9">
        <v>18</v>
      </c>
      <c r="B30" s="110" t="s">
        <v>5117</v>
      </c>
      <c r="C30" s="111" t="s">
        <v>5119</v>
      </c>
      <c r="D30" s="16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26" ht="15.75" customHeight="1" x14ac:dyDescent="0.25">
      <c r="A31" s="9">
        <v>19</v>
      </c>
      <c r="B31" s="54" t="s">
        <v>4625</v>
      </c>
      <c r="C31" s="11" t="s">
        <v>123</v>
      </c>
      <c r="D31" s="16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26" ht="15.75" customHeight="1" x14ac:dyDescent="0.25">
      <c r="A32" s="9">
        <v>20</v>
      </c>
      <c r="B32" s="54" t="s">
        <v>4626</v>
      </c>
      <c r="C32" s="11" t="s">
        <v>124</v>
      </c>
      <c r="D32" s="16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17" ht="15.75" customHeight="1" x14ac:dyDescent="0.25">
      <c r="A33" s="9">
        <v>21</v>
      </c>
      <c r="B33" s="54" t="s">
        <v>4627</v>
      </c>
      <c r="C33" s="11" t="s">
        <v>125</v>
      </c>
      <c r="D33" s="16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17" ht="15.75" customHeight="1" x14ac:dyDescent="0.25">
      <c r="A34" s="9">
        <v>22</v>
      </c>
      <c r="B34" s="54" t="s">
        <v>4628</v>
      </c>
      <c r="C34" s="11" t="s">
        <v>126</v>
      </c>
      <c r="D34" s="16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17" ht="15.75" customHeight="1" x14ac:dyDescent="0.25">
      <c r="A35" s="9">
        <v>23</v>
      </c>
      <c r="B35" s="54" t="s">
        <v>4629</v>
      </c>
      <c r="C35" s="11" t="s">
        <v>127</v>
      </c>
      <c r="D35" s="16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1:17" ht="15.75" customHeight="1" x14ac:dyDescent="0.25">
      <c r="A36" s="9">
        <v>24</v>
      </c>
      <c r="B36" s="96" t="s">
        <v>4630</v>
      </c>
      <c r="C36" s="14" t="s">
        <v>128</v>
      </c>
      <c r="D36" s="16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17" ht="15.75" customHeight="1" x14ac:dyDescent="0.25">
      <c r="A37" s="9">
        <v>25</v>
      </c>
      <c r="B37" s="97" t="s">
        <v>4631</v>
      </c>
      <c r="C37" s="75" t="s">
        <v>129</v>
      </c>
      <c r="D37" s="16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1:17" ht="15.75" customHeight="1" x14ac:dyDescent="0.25">
      <c r="A38" s="29">
        <v>26</v>
      </c>
      <c r="B38" s="97" t="s">
        <v>4632</v>
      </c>
      <c r="C38" s="75" t="s">
        <v>130</v>
      </c>
      <c r="D38" s="21"/>
      <c r="E38" s="15"/>
      <c r="F38" s="15"/>
      <c r="G38" s="15"/>
      <c r="H38" s="15"/>
      <c r="I38" s="12"/>
      <c r="J38" s="12"/>
      <c r="K38" s="12"/>
      <c r="L38" s="12"/>
      <c r="M38" s="12"/>
      <c r="N38" s="12"/>
      <c r="O38" s="12"/>
      <c r="P38" s="12"/>
      <c r="Q38" s="12"/>
    </row>
    <row r="39" spans="1:17" ht="15.75" customHeight="1" x14ac:dyDescent="0.25">
      <c r="A39" s="69">
        <v>27</v>
      </c>
      <c r="B39" s="97" t="s">
        <v>4633</v>
      </c>
      <c r="C39" s="75" t="s">
        <v>131</v>
      </c>
      <c r="D39" s="68"/>
      <c r="E39" s="68"/>
      <c r="F39" s="68"/>
      <c r="G39" s="68"/>
      <c r="H39" s="68"/>
      <c r="I39" s="16"/>
      <c r="J39" s="12"/>
      <c r="K39" s="12"/>
      <c r="L39" s="12"/>
      <c r="M39" s="12"/>
      <c r="N39" s="12"/>
      <c r="O39" s="12"/>
      <c r="P39" s="12"/>
      <c r="Q39" s="12"/>
    </row>
    <row r="40" spans="1:17" ht="15.75" customHeight="1" x14ac:dyDescent="0.25">
      <c r="A40" s="69">
        <v>28</v>
      </c>
      <c r="B40" s="97" t="s">
        <v>4634</v>
      </c>
      <c r="C40" s="75" t="s">
        <v>132</v>
      </c>
      <c r="D40" s="68"/>
      <c r="E40" s="68"/>
      <c r="F40" s="68"/>
      <c r="G40" s="68"/>
      <c r="H40" s="68"/>
      <c r="I40" s="16"/>
      <c r="J40" s="12"/>
      <c r="K40" s="12"/>
      <c r="L40" s="12"/>
      <c r="M40" s="12"/>
      <c r="N40" s="12"/>
      <c r="O40" s="12"/>
      <c r="P40" s="12"/>
      <c r="Q40" s="12"/>
    </row>
    <row r="41" spans="1:17" ht="15.75" customHeight="1" x14ac:dyDescent="0.25">
      <c r="A41" s="69">
        <v>29</v>
      </c>
      <c r="B41" s="97" t="s">
        <v>4635</v>
      </c>
      <c r="C41" s="75" t="s">
        <v>133</v>
      </c>
      <c r="D41" s="68"/>
      <c r="E41" s="68"/>
      <c r="F41" s="68"/>
      <c r="G41" s="68"/>
      <c r="H41" s="68"/>
      <c r="I41" s="16"/>
      <c r="J41" s="12"/>
      <c r="K41" s="12"/>
      <c r="L41" s="12"/>
      <c r="M41" s="12"/>
      <c r="N41" s="12"/>
      <c r="O41" s="12"/>
      <c r="P41" s="12"/>
      <c r="Q41" s="12"/>
    </row>
    <row r="42" spans="1:17" ht="15.75" customHeight="1" x14ac:dyDescent="0.25">
      <c r="A42" s="69">
        <v>30</v>
      </c>
      <c r="B42" s="97" t="s">
        <v>4637</v>
      </c>
      <c r="C42" s="75" t="s">
        <v>135</v>
      </c>
      <c r="D42" s="68"/>
      <c r="E42" s="68"/>
      <c r="F42" s="68"/>
      <c r="G42" s="68"/>
      <c r="H42" s="68"/>
      <c r="I42" s="21"/>
      <c r="J42" s="15"/>
      <c r="K42" s="12"/>
      <c r="L42" s="12"/>
      <c r="M42" s="12"/>
      <c r="N42" s="12"/>
      <c r="O42" s="12"/>
      <c r="P42" s="12"/>
      <c r="Q42" s="12"/>
    </row>
    <row r="43" spans="1:17" ht="15.75" customHeight="1" x14ac:dyDescent="0.25">
      <c r="A43" s="69">
        <v>31</v>
      </c>
      <c r="B43" s="71"/>
      <c r="C43" s="71"/>
      <c r="D43" s="68"/>
      <c r="E43" s="68"/>
      <c r="F43" s="68"/>
      <c r="G43" s="68"/>
      <c r="H43" s="68"/>
      <c r="I43" s="113"/>
      <c r="J43" s="68"/>
      <c r="K43" s="16"/>
      <c r="L43" s="12"/>
      <c r="M43" s="12"/>
      <c r="N43" s="12"/>
      <c r="O43" s="12"/>
      <c r="P43" s="12"/>
      <c r="Q43" s="12"/>
    </row>
    <row r="44" spans="1:17" ht="15.75" customHeight="1" x14ac:dyDescent="0.25">
      <c r="A44" s="69">
        <v>32</v>
      </c>
      <c r="B44" s="71"/>
      <c r="C44" s="71"/>
      <c r="D44" s="68"/>
      <c r="E44" s="68"/>
      <c r="F44" s="68"/>
      <c r="G44" s="68"/>
      <c r="H44" s="68"/>
      <c r="I44" s="113"/>
      <c r="J44" s="68"/>
      <c r="K44" s="16"/>
      <c r="L44" s="12"/>
      <c r="M44" s="12"/>
      <c r="N44" s="12"/>
      <c r="O44" s="12"/>
      <c r="P44" s="12"/>
      <c r="Q44" s="12"/>
    </row>
    <row r="45" spans="1:17" ht="15.75" customHeight="1" x14ac:dyDescent="0.25">
      <c r="A45" s="69">
        <v>33</v>
      </c>
      <c r="B45" s="71"/>
      <c r="C45" s="71"/>
      <c r="D45" s="68"/>
      <c r="E45" s="68"/>
      <c r="F45" s="68"/>
      <c r="G45" s="68"/>
      <c r="H45" s="68"/>
      <c r="I45" s="113"/>
      <c r="J45" s="68"/>
      <c r="K45" s="16"/>
      <c r="L45" s="12"/>
      <c r="M45" s="12"/>
      <c r="N45" s="12"/>
      <c r="O45" s="12"/>
      <c r="P45" s="12"/>
      <c r="Q45" s="12"/>
    </row>
    <row r="46" spans="1:17" ht="15.75" customHeight="1" x14ac:dyDescent="0.25">
      <c r="A46" s="69">
        <v>34</v>
      </c>
      <c r="B46" s="71"/>
      <c r="C46" s="71"/>
      <c r="D46" s="68"/>
      <c r="E46" s="68"/>
      <c r="F46" s="68"/>
      <c r="G46" s="68"/>
      <c r="H46" s="68"/>
      <c r="I46" s="113"/>
      <c r="J46" s="68"/>
      <c r="K46" s="16"/>
      <c r="L46" s="12"/>
      <c r="M46" s="12"/>
      <c r="N46" s="12"/>
      <c r="O46" s="12"/>
      <c r="P46" s="12"/>
      <c r="Q46" s="12"/>
    </row>
    <row r="47" spans="1:17" ht="15.75" customHeight="1" x14ac:dyDescent="0.25">
      <c r="A47" s="69">
        <v>35</v>
      </c>
      <c r="B47" s="71"/>
      <c r="C47" s="71"/>
      <c r="D47" s="68"/>
      <c r="E47" s="68"/>
      <c r="F47" s="68"/>
      <c r="G47" s="68"/>
      <c r="H47" s="68"/>
      <c r="I47" s="113"/>
      <c r="J47" s="68"/>
      <c r="K47" s="16"/>
      <c r="L47" s="12"/>
      <c r="M47" s="12"/>
      <c r="N47" s="12"/>
      <c r="O47" s="12"/>
      <c r="P47" s="12"/>
      <c r="Q47" s="12"/>
    </row>
    <row r="48" spans="1:17" ht="15.75" customHeight="1" x14ac:dyDescent="0.25">
      <c r="A48" s="69">
        <v>36</v>
      </c>
      <c r="B48" s="71"/>
      <c r="C48" s="71"/>
      <c r="D48" s="68"/>
      <c r="E48" s="68"/>
      <c r="F48" s="68"/>
      <c r="G48" s="68"/>
      <c r="H48" s="68"/>
      <c r="I48" s="113"/>
      <c r="J48" s="68"/>
      <c r="K48" s="16"/>
      <c r="L48" s="12"/>
      <c r="M48" s="12"/>
      <c r="N48" s="12"/>
      <c r="O48" s="12"/>
      <c r="P48" s="12"/>
      <c r="Q48" s="12"/>
    </row>
    <row r="49" spans="1:17" ht="15.75" customHeight="1" x14ac:dyDescent="0.25">
      <c r="A49" s="2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 ht="15.75" customHeight="1" x14ac:dyDescent="0.25">
      <c r="A50" s="201" t="s">
        <v>50</v>
      </c>
      <c r="B50" s="185"/>
      <c r="C50" s="185"/>
      <c r="D50" s="185"/>
      <c r="E50" s="185"/>
      <c r="F50" s="185"/>
      <c r="G50" s="185"/>
      <c r="H50" s="185"/>
      <c r="I50" s="185"/>
      <c r="J50" s="185"/>
      <c r="K50" s="186"/>
      <c r="L50" s="202" t="s">
        <v>51</v>
      </c>
      <c r="M50" s="203"/>
      <c r="N50" s="203"/>
      <c r="O50" s="203"/>
      <c r="P50" s="203"/>
      <c r="Q50" s="204"/>
    </row>
    <row r="51" spans="1:17" ht="15.75" customHeight="1" x14ac:dyDescent="0.25">
      <c r="A51" s="8" t="s">
        <v>52</v>
      </c>
      <c r="B51" s="8" t="s">
        <v>53</v>
      </c>
      <c r="C51" s="23" t="s">
        <v>54</v>
      </c>
      <c r="D51" s="201" t="s">
        <v>55</v>
      </c>
      <c r="E51" s="185"/>
      <c r="F51" s="185"/>
      <c r="G51" s="185"/>
      <c r="H51" s="185"/>
      <c r="I51" s="185"/>
      <c r="J51" s="185"/>
      <c r="K51" s="186"/>
      <c r="L51" s="205"/>
      <c r="M51" s="206"/>
      <c r="N51" s="206"/>
      <c r="O51" s="206"/>
      <c r="P51" s="206"/>
      <c r="Q51" s="207"/>
    </row>
    <row r="52" spans="1:17" ht="15.75" customHeight="1" x14ac:dyDescent="0.3">
      <c r="A52" s="9">
        <v>1</v>
      </c>
      <c r="B52" s="12"/>
      <c r="C52" s="24" t="s">
        <v>56</v>
      </c>
      <c r="D52" s="184"/>
      <c r="E52" s="185"/>
      <c r="F52" s="185"/>
      <c r="G52" s="185"/>
      <c r="H52" s="185"/>
      <c r="I52" s="185"/>
      <c r="J52" s="185"/>
      <c r="K52" s="186"/>
      <c r="L52" s="9">
        <v>1</v>
      </c>
      <c r="M52" s="184"/>
      <c r="N52" s="185"/>
      <c r="O52" s="185"/>
      <c r="P52" s="185"/>
      <c r="Q52" s="186"/>
    </row>
    <row r="53" spans="1:17" ht="15.75" customHeight="1" x14ac:dyDescent="0.3">
      <c r="A53" s="9">
        <v>2</v>
      </c>
      <c r="B53" s="12"/>
      <c r="C53" s="24" t="s">
        <v>56</v>
      </c>
      <c r="D53" s="184"/>
      <c r="E53" s="185"/>
      <c r="F53" s="185"/>
      <c r="G53" s="185"/>
      <c r="H53" s="185"/>
      <c r="I53" s="185"/>
      <c r="J53" s="185"/>
      <c r="K53" s="186"/>
      <c r="L53" s="9">
        <v>2</v>
      </c>
      <c r="M53" s="184"/>
      <c r="N53" s="185"/>
      <c r="O53" s="185"/>
      <c r="P53" s="185"/>
      <c r="Q53" s="186"/>
    </row>
    <row r="54" spans="1:17" ht="15.75" customHeight="1" x14ac:dyDescent="0.3">
      <c r="A54" s="9">
        <v>3</v>
      </c>
      <c r="B54" s="12"/>
      <c r="C54" s="24" t="s">
        <v>56</v>
      </c>
      <c r="D54" s="184"/>
      <c r="E54" s="185"/>
      <c r="F54" s="185"/>
      <c r="G54" s="185"/>
      <c r="H54" s="185"/>
      <c r="I54" s="185"/>
      <c r="J54" s="185"/>
      <c r="K54" s="186"/>
      <c r="L54" s="9">
        <v>3</v>
      </c>
      <c r="M54" s="184"/>
      <c r="N54" s="185"/>
      <c r="O54" s="185"/>
      <c r="P54" s="185"/>
      <c r="Q54" s="186"/>
    </row>
    <row r="55" spans="1:17" ht="15.75" customHeight="1" x14ac:dyDescent="0.3">
      <c r="A55" s="9">
        <v>4</v>
      </c>
      <c r="B55" s="12"/>
      <c r="C55" s="24" t="s">
        <v>56</v>
      </c>
      <c r="D55" s="184"/>
      <c r="E55" s="185"/>
      <c r="F55" s="185"/>
      <c r="G55" s="185"/>
      <c r="H55" s="185"/>
      <c r="I55" s="185"/>
      <c r="J55" s="185"/>
      <c r="K55" s="186"/>
      <c r="L55" s="9">
        <v>4</v>
      </c>
      <c r="M55" s="184"/>
      <c r="N55" s="185"/>
      <c r="O55" s="185"/>
      <c r="P55" s="185"/>
      <c r="Q55" s="186"/>
    </row>
    <row r="56" spans="1:17" ht="15.75" customHeight="1" x14ac:dyDescent="0.3">
      <c r="A56" s="9">
        <v>5</v>
      </c>
      <c r="B56" s="12"/>
      <c r="C56" s="24" t="s">
        <v>56</v>
      </c>
      <c r="D56" s="184"/>
      <c r="E56" s="185"/>
      <c r="F56" s="185"/>
      <c r="G56" s="185"/>
      <c r="H56" s="185"/>
      <c r="I56" s="185"/>
      <c r="J56" s="185"/>
      <c r="K56" s="186"/>
      <c r="L56" s="9">
        <v>5</v>
      </c>
      <c r="M56" s="184"/>
      <c r="N56" s="185"/>
      <c r="O56" s="185"/>
      <c r="P56" s="185"/>
      <c r="Q56" s="186"/>
    </row>
    <row r="57" spans="1:17" ht="15.75" customHeight="1" x14ac:dyDescent="0.25">
      <c r="A57" s="25" t="s">
        <v>57</v>
      </c>
      <c r="K57" s="13" t="s">
        <v>58</v>
      </c>
    </row>
    <row r="58" spans="1:17" ht="16.5" customHeight="1" x14ac:dyDescent="0.25">
      <c r="A58" s="197" t="s">
        <v>59</v>
      </c>
      <c r="B58" s="190"/>
      <c r="C58" s="190"/>
      <c r="D58" s="190"/>
      <c r="E58" s="190"/>
      <c r="F58" s="190"/>
      <c r="G58" s="190"/>
      <c r="H58" s="190"/>
      <c r="K58" s="13" t="s">
        <v>60</v>
      </c>
    </row>
    <row r="59" spans="1:17" ht="15.75" customHeight="1" x14ac:dyDescent="0.25">
      <c r="A59" s="190"/>
      <c r="B59" s="190"/>
      <c r="C59" s="190"/>
      <c r="D59" s="190"/>
      <c r="E59" s="190"/>
      <c r="F59" s="190"/>
      <c r="G59" s="190"/>
      <c r="H59" s="190"/>
    </row>
    <row r="60" spans="1:17" ht="15.75" customHeight="1" x14ac:dyDescent="0.25">
      <c r="A60" s="198" t="s">
        <v>61</v>
      </c>
      <c r="B60" s="190"/>
      <c r="C60" s="190"/>
      <c r="D60" s="190"/>
      <c r="E60" s="190"/>
      <c r="F60" s="190"/>
      <c r="G60" s="190"/>
      <c r="H60" s="190"/>
    </row>
    <row r="61" spans="1:17" ht="15.75" customHeight="1" x14ac:dyDescent="0.25">
      <c r="A61" s="190"/>
      <c r="B61" s="190"/>
      <c r="C61" s="190"/>
      <c r="D61" s="190"/>
      <c r="E61" s="190"/>
      <c r="F61" s="190"/>
      <c r="G61" s="190"/>
      <c r="H61" s="190"/>
      <c r="K61" s="13" t="s">
        <v>62</v>
      </c>
    </row>
    <row r="62" spans="1:17" ht="15.75" customHeight="1" x14ac:dyDescent="0.25">
      <c r="A62" s="190"/>
      <c r="B62" s="190"/>
      <c r="C62" s="190"/>
      <c r="D62" s="190"/>
      <c r="E62" s="190"/>
      <c r="F62" s="190"/>
      <c r="G62" s="190"/>
      <c r="H62" s="190"/>
      <c r="K62" s="13" t="s">
        <v>63</v>
      </c>
    </row>
    <row r="63" spans="1:17" ht="15.75" customHeight="1" x14ac:dyDescent="0.25"/>
    <row r="64" spans="1:17" ht="15.75" customHeight="1" x14ac:dyDescent="0.25">
      <c r="A64" s="26" t="s">
        <v>5194</v>
      </c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7">
    <mergeCell ref="D56:K56"/>
    <mergeCell ref="M56:Q56"/>
    <mergeCell ref="A58:H59"/>
    <mergeCell ref="A60:H62"/>
    <mergeCell ref="A11:B11"/>
    <mergeCell ref="D11:H11"/>
    <mergeCell ref="A50:K50"/>
    <mergeCell ref="L50:Q51"/>
    <mergeCell ref="D51:K51"/>
    <mergeCell ref="D52:K52"/>
    <mergeCell ref="D53:K53"/>
    <mergeCell ref="M52:Q52"/>
    <mergeCell ref="M53:Q53"/>
    <mergeCell ref="D54:K54"/>
    <mergeCell ref="M54:Q54"/>
    <mergeCell ref="D55:K55"/>
    <mergeCell ref="M55:Q55"/>
    <mergeCell ref="I11:K11"/>
    <mergeCell ref="L11:P11"/>
    <mergeCell ref="M1:Q1"/>
    <mergeCell ref="M2:Q2"/>
    <mergeCell ref="A3:Q3"/>
    <mergeCell ref="A4:Q4"/>
    <mergeCell ref="A5:Q5"/>
    <mergeCell ref="A6:Q6"/>
    <mergeCell ref="C11:C12"/>
    <mergeCell ref="Q11:Q12"/>
  </mergeCells>
  <pageMargins left="0.59055118110236227" right="0.39370078740157483" top="0.43307086614173229" bottom="0.39370078740157483" header="0" footer="0"/>
  <pageSetup paperSize="10000" scale="8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Q1000"/>
  <sheetViews>
    <sheetView workbookViewId="0">
      <selection activeCell="A7" sqref="A7"/>
    </sheetView>
  </sheetViews>
  <sheetFormatPr defaultColWidth="14.42578125" defaultRowHeight="15" customHeight="1" x14ac:dyDescent="0.25"/>
  <cols>
    <col min="1" max="1" width="4.85546875" customWidth="1"/>
    <col min="2" max="2" width="8.7109375" customWidth="1"/>
    <col min="3" max="3" width="40.140625" customWidth="1"/>
    <col min="4" max="8" width="3.5703125" customWidth="1"/>
    <col min="9" max="11" width="4.140625" customWidth="1"/>
    <col min="12" max="16" width="4.42578125" customWidth="1"/>
    <col min="17" max="17" width="5" customWidth="1"/>
    <col min="18" max="26" width="8.7109375" customWidth="1"/>
  </cols>
  <sheetData>
    <row r="1" spans="1:17" x14ac:dyDescent="0.25">
      <c r="M1" s="188" t="s">
        <v>0</v>
      </c>
      <c r="N1" s="185"/>
      <c r="O1" s="185"/>
      <c r="P1" s="185"/>
      <c r="Q1" s="186"/>
    </row>
    <row r="2" spans="1:17" x14ac:dyDescent="0.25">
      <c r="M2" s="188" t="s">
        <v>1</v>
      </c>
      <c r="N2" s="185"/>
      <c r="O2" s="185"/>
      <c r="P2" s="185"/>
      <c r="Q2" s="186"/>
    </row>
    <row r="3" spans="1:17" ht="15.75" x14ac:dyDescent="0.3">
      <c r="A3" s="189" t="s">
        <v>2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</row>
    <row r="4" spans="1:17" x14ac:dyDescent="0.25">
      <c r="A4" s="191" t="s">
        <v>3</v>
      </c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</row>
    <row r="5" spans="1:17" x14ac:dyDescent="0.25">
      <c r="A5" s="192" t="s">
        <v>4</v>
      </c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</row>
    <row r="6" spans="1:17" ht="15.75" x14ac:dyDescent="0.25">
      <c r="A6" s="193" t="s">
        <v>5188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</row>
    <row r="7" spans="1:17" ht="15.7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9.5" customHeight="1" x14ac:dyDescent="0.25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3"/>
      <c r="L8" s="2" t="s">
        <v>6</v>
      </c>
      <c r="M8" s="2"/>
      <c r="N8" s="2"/>
      <c r="O8" s="2"/>
      <c r="P8" s="2"/>
      <c r="Q8" s="2"/>
    </row>
    <row r="9" spans="1:17" ht="19.5" customHeight="1" x14ac:dyDescent="0.25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3"/>
      <c r="L9" s="4" t="s">
        <v>5140</v>
      </c>
      <c r="M9" s="2"/>
      <c r="N9" s="2"/>
      <c r="O9" s="2"/>
      <c r="P9" s="2"/>
      <c r="Q9" s="2"/>
    </row>
    <row r="10" spans="1:17" ht="19.5" customHeight="1" x14ac:dyDescent="0.25">
      <c r="A10" s="2" t="s">
        <v>8</v>
      </c>
      <c r="B10" s="2"/>
      <c r="C10" s="4" t="s">
        <v>4502</v>
      </c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</row>
    <row r="11" spans="1:17" ht="15" customHeight="1" x14ac:dyDescent="0.3">
      <c r="A11" s="199" t="s">
        <v>9</v>
      </c>
      <c r="B11" s="186"/>
      <c r="C11" s="194" t="s">
        <v>10</v>
      </c>
      <c r="D11" s="200" t="s">
        <v>11</v>
      </c>
      <c r="E11" s="185"/>
      <c r="F11" s="185"/>
      <c r="G11" s="185"/>
      <c r="H11" s="186"/>
      <c r="I11" s="187" t="s">
        <v>12</v>
      </c>
      <c r="J11" s="185"/>
      <c r="K11" s="186"/>
      <c r="L11" s="187" t="s">
        <v>13</v>
      </c>
      <c r="M11" s="185"/>
      <c r="N11" s="185"/>
      <c r="O11" s="185"/>
      <c r="P11" s="186"/>
      <c r="Q11" s="196" t="s">
        <v>14</v>
      </c>
    </row>
    <row r="12" spans="1:17" ht="15" customHeight="1" x14ac:dyDescent="0.3">
      <c r="A12" s="5" t="s">
        <v>15</v>
      </c>
      <c r="B12" s="5" t="s">
        <v>16</v>
      </c>
      <c r="C12" s="208"/>
      <c r="D12" s="6"/>
      <c r="E12" s="6"/>
      <c r="F12" s="6"/>
      <c r="G12" s="6"/>
      <c r="H12" s="6"/>
      <c r="I12" s="7" t="s">
        <v>17</v>
      </c>
      <c r="J12" s="7" t="s">
        <v>18</v>
      </c>
      <c r="K12" s="7" t="s">
        <v>19</v>
      </c>
      <c r="L12" s="8">
        <v>1</v>
      </c>
      <c r="M12" s="8">
        <v>2</v>
      </c>
      <c r="N12" s="8">
        <v>3</v>
      </c>
      <c r="O12" s="8">
        <v>4</v>
      </c>
      <c r="P12" s="8">
        <v>5</v>
      </c>
      <c r="Q12" s="195"/>
    </row>
    <row r="13" spans="1:17" x14ac:dyDescent="0.25">
      <c r="A13" s="9">
        <v>1</v>
      </c>
      <c r="B13" s="10" t="s">
        <v>4638</v>
      </c>
      <c r="C13" s="11" t="s">
        <v>136</v>
      </c>
      <c r="D13" s="16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25">
      <c r="A14" s="9">
        <v>2</v>
      </c>
      <c r="B14" s="10" t="s">
        <v>4639</v>
      </c>
      <c r="C14" s="27" t="s">
        <v>137</v>
      </c>
      <c r="D14" s="16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5">
      <c r="A15" s="9">
        <v>3</v>
      </c>
      <c r="B15" s="10" t="s">
        <v>4640</v>
      </c>
      <c r="C15" s="27" t="s">
        <v>138</v>
      </c>
      <c r="D15" s="16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9">
        <v>4</v>
      </c>
      <c r="B16" s="10" t="s">
        <v>4641</v>
      </c>
      <c r="C16" s="27" t="s">
        <v>139</v>
      </c>
      <c r="D16" s="16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x14ac:dyDescent="0.25">
      <c r="A17" s="9">
        <v>5</v>
      </c>
      <c r="B17" s="10" t="s">
        <v>4642</v>
      </c>
      <c r="C17" s="27" t="s">
        <v>140</v>
      </c>
      <c r="D17" s="16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x14ac:dyDescent="0.25">
      <c r="A18" s="9">
        <v>6</v>
      </c>
      <c r="B18" s="10" t="s">
        <v>4643</v>
      </c>
      <c r="C18" s="27" t="s">
        <v>141</v>
      </c>
      <c r="D18" s="16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x14ac:dyDescent="0.25">
      <c r="A19" s="9">
        <v>7</v>
      </c>
      <c r="B19" s="10" t="s">
        <v>4644</v>
      </c>
      <c r="C19" s="27" t="s">
        <v>142</v>
      </c>
      <c r="D19" s="16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x14ac:dyDescent="0.25">
      <c r="A20" s="9">
        <v>8</v>
      </c>
      <c r="B20" s="10" t="s">
        <v>4645</v>
      </c>
      <c r="C20" s="27" t="s">
        <v>143</v>
      </c>
      <c r="D20" s="16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15.75" customHeight="1" x14ac:dyDescent="0.25">
      <c r="A21" s="9">
        <v>9</v>
      </c>
      <c r="B21" s="10" t="s">
        <v>4646</v>
      </c>
      <c r="C21" s="27" t="s">
        <v>144</v>
      </c>
      <c r="D21" s="16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15.75" customHeight="1" x14ac:dyDescent="0.25">
      <c r="A22" s="9">
        <v>10</v>
      </c>
      <c r="B22" s="10" t="s">
        <v>4647</v>
      </c>
      <c r="C22" s="27" t="s">
        <v>145</v>
      </c>
      <c r="D22" s="16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15.75" customHeight="1" x14ac:dyDescent="0.25">
      <c r="A23" s="9">
        <v>11</v>
      </c>
      <c r="B23" s="10" t="s">
        <v>4649</v>
      </c>
      <c r="C23" s="27" t="s">
        <v>147</v>
      </c>
      <c r="D23" s="16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ht="15.75" customHeight="1" x14ac:dyDescent="0.25">
      <c r="A24" s="9">
        <v>12</v>
      </c>
      <c r="B24" s="10" t="s">
        <v>4650</v>
      </c>
      <c r="C24" s="27" t="s">
        <v>148</v>
      </c>
      <c r="D24" s="16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15.75" customHeight="1" x14ac:dyDescent="0.25">
      <c r="A25" s="9">
        <v>13</v>
      </c>
      <c r="B25" s="10" t="s">
        <v>4651</v>
      </c>
      <c r="C25" s="27" t="s">
        <v>149</v>
      </c>
      <c r="D25" s="16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15.75" customHeight="1" x14ac:dyDescent="0.25">
      <c r="A26" s="9">
        <v>14</v>
      </c>
      <c r="B26" s="10" t="s">
        <v>4653</v>
      </c>
      <c r="C26" s="11" t="s">
        <v>151</v>
      </c>
      <c r="D26" s="16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ht="15.75" customHeight="1" x14ac:dyDescent="0.25">
      <c r="A27" s="9">
        <v>15</v>
      </c>
      <c r="B27" s="10" t="s">
        <v>4654</v>
      </c>
      <c r="C27" s="27" t="s">
        <v>152</v>
      </c>
      <c r="D27" s="16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ht="15.75" customHeight="1" x14ac:dyDescent="0.25">
      <c r="A28" s="9">
        <v>16</v>
      </c>
      <c r="B28" s="10" t="s">
        <v>4656</v>
      </c>
      <c r="C28" s="27" t="s">
        <v>155</v>
      </c>
      <c r="D28" s="16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ht="15.75" customHeight="1" x14ac:dyDescent="0.25">
      <c r="A29" s="9">
        <v>17</v>
      </c>
      <c r="B29" s="10" t="s">
        <v>4657</v>
      </c>
      <c r="C29" s="27" t="s">
        <v>156</v>
      </c>
      <c r="D29" s="16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15.75" customHeight="1" x14ac:dyDescent="0.25">
      <c r="A30" s="9">
        <v>18</v>
      </c>
      <c r="B30" s="10" t="s">
        <v>4659</v>
      </c>
      <c r="C30" s="27" t="s">
        <v>158</v>
      </c>
      <c r="D30" s="16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17" ht="15.75" customHeight="1" x14ac:dyDescent="0.25">
      <c r="A31" s="9">
        <v>19</v>
      </c>
      <c r="B31" s="10" t="s">
        <v>4660</v>
      </c>
      <c r="C31" s="27" t="s">
        <v>159</v>
      </c>
      <c r="D31" s="16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17" ht="15.75" customHeight="1" x14ac:dyDescent="0.25">
      <c r="A32" s="9">
        <v>20</v>
      </c>
      <c r="B32" s="10" t="s">
        <v>4662</v>
      </c>
      <c r="C32" s="27" t="s">
        <v>161</v>
      </c>
      <c r="D32" s="16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17" ht="15.75" customHeight="1" x14ac:dyDescent="0.25">
      <c r="A33" s="9">
        <v>21</v>
      </c>
      <c r="B33" s="10" t="s">
        <v>4663</v>
      </c>
      <c r="C33" s="27" t="s">
        <v>162</v>
      </c>
      <c r="D33" s="16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17" ht="15.75" customHeight="1" x14ac:dyDescent="0.25">
      <c r="A34" s="9">
        <v>22</v>
      </c>
      <c r="B34" s="136" t="s">
        <v>4664</v>
      </c>
      <c r="C34" s="28" t="s">
        <v>163</v>
      </c>
      <c r="D34" s="16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17" ht="15.75" customHeight="1" x14ac:dyDescent="0.25">
      <c r="A35" s="9">
        <v>23</v>
      </c>
      <c r="B35" s="142" t="s">
        <v>4665</v>
      </c>
      <c r="C35" s="169" t="s">
        <v>164</v>
      </c>
      <c r="D35" s="16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1:17" ht="15.75" customHeight="1" x14ac:dyDescent="0.25">
      <c r="A36" s="29">
        <v>24</v>
      </c>
      <c r="B36" s="142" t="s">
        <v>4666</v>
      </c>
      <c r="C36" s="169" t="s">
        <v>165</v>
      </c>
      <c r="D36" s="21"/>
      <c r="E36" s="15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17" ht="15.75" customHeight="1" x14ac:dyDescent="0.25">
      <c r="A37" s="69">
        <v>25</v>
      </c>
      <c r="B37" s="70" t="s">
        <v>4668</v>
      </c>
      <c r="C37" s="75" t="s">
        <v>167</v>
      </c>
      <c r="D37" s="68"/>
      <c r="E37" s="68"/>
      <c r="F37" s="21"/>
      <c r="G37" s="15"/>
      <c r="H37" s="15"/>
      <c r="I37" s="12"/>
      <c r="J37" s="12"/>
      <c r="K37" s="12"/>
      <c r="L37" s="12"/>
      <c r="M37" s="12"/>
      <c r="N37" s="12"/>
      <c r="O37" s="12"/>
      <c r="P37" s="12"/>
      <c r="Q37" s="12"/>
    </row>
    <row r="38" spans="1:17" ht="15.75" customHeight="1" x14ac:dyDescent="0.25">
      <c r="A38" s="69">
        <v>26</v>
      </c>
      <c r="B38" s="70" t="s">
        <v>4669</v>
      </c>
      <c r="C38" s="75" t="s">
        <v>168</v>
      </c>
      <c r="D38" s="68"/>
      <c r="E38" s="68"/>
      <c r="F38" s="113"/>
      <c r="G38" s="68"/>
      <c r="H38" s="68"/>
      <c r="I38" s="16"/>
      <c r="J38" s="12"/>
      <c r="K38" s="12"/>
      <c r="L38" s="12"/>
      <c r="M38" s="12"/>
      <c r="N38" s="12"/>
      <c r="O38" s="12"/>
      <c r="P38" s="12"/>
      <c r="Q38" s="12"/>
    </row>
    <row r="39" spans="1:17" ht="15.75" customHeight="1" x14ac:dyDescent="0.25">
      <c r="A39" s="69">
        <v>27</v>
      </c>
      <c r="B39" s="70" t="s">
        <v>4670</v>
      </c>
      <c r="C39" s="75" t="s">
        <v>169</v>
      </c>
      <c r="D39" s="68"/>
      <c r="E39" s="68"/>
      <c r="F39" s="113"/>
      <c r="G39" s="68"/>
      <c r="H39" s="68"/>
      <c r="I39" s="21"/>
      <c r="J39" s="15"/>
      <c r="K39" s="15"/>
      <c r="L39" s="15"/>
      <c r="M39" s="12"/>
      <c r="N39" s="12"/>
      <c r="O39" s="12"/>
      <c r="P39" s="12"/>
      <c r="Q39" s="12"/>
    </row>
    <row r="40" spans="1:17" ht="15.75" customHeight="1" x14ac:dyDescent="0.25">
      <c r="A40" s="69">
        <v>28</v>
      </c>
      <c r="B40" s="70" t="s">
        <v>4671</v>
      </c>
      <c r="C40" s="75" t="s">
        <v>170</v>
      </c>
      <c r="D40" s="68"/>
      <c r="E40" s="68"/>
      <c r="F40" s="113"/>
      <c r="G40" s="68"/>
      <c r="H40" s="68"/>
      <c r="I40" s="113"/>
      <c r="J40" s="68"/>
      <c r="K40" s="68"/>
      <c r="L40" s="68"/>
      <c r="M40" s="16"/>
      <c r="N40" s="12"/>
      <c r="O40" s="12"/>
      <c r="P40" s="12"/>
      <c r="Q40" s="12"/>
    </row>
    <row r="41" spans="1:17" ht="15.75" customHeight="1" x14ac:dyDescent="0.25">
      <c r="A41" s="69">
        <v>29</v>
      </c>
      <c r="B41" s="71"/>
      <c r="C41" s="71"/>
      <c r="D41" s="68"/>
      <c r="E41" s="68"/>
      <c r="F41" s="113"/>
      <c r="G41" s="68"/>
      <c r="H41" s="68"/>
      <c r="I41" s="113"/>
      <c r="J41" s="68"/>
      <c r="K41" s="68"/>
      <c r="L41" s="68"/>
      <c r="M41" s="16"/>
      <c r="N41" s="12"/>
      <c r="O41" s="12"/>
      <c r="P41" s="12"/>
      <c r="Q41" s="12"/>
    </row>
    <row r="42" spans="1:17" ht="15.75" customHeight="1" x14ac:dyDescent="0.25">
      <c r="A42" s="69">
        <v>30</v>
      </c>
      <c r="B42" s="71"/>
      <c r="C42" s="71"/>
      <c r="D42" s="68"/>
      <c r="E42" s="68"/>
      <c r="F42" s="113"/>
      <c r="G42" s="68"/>
      <c r="H42" s="68"/>
      <c r="I42" s="113"/>
      <c r="J42" s="68"/>
      <c r="K42" s="68"/>
      <c r="L42" s="68"/>
      <c r="M42" s="16"/>
      <c r="N42" s="12"/>
      <c r="O42" s="12"/>
      <c r="P42" s="12"/>
      <c r="Q42" s="12"/>
    </row>
    <row r="43" spans="1:17" ht="15.75" customHeight="1" x14ac:dyDescent="0.25">
      <c r="A43" s="69">
        <v>31</v>
      </c>
      <c r="B43" s="71"/>
      <c r="C43" s="71"/>
      <c r="D43" s="68"/>
      <c r="E43" s="68"/>
      <c r="F43" s="113"/>
      <c r="G43" s="68"/>
      <c r="H43" s="68"/>
      <c r="I43" s="113"/>
      <c r="J43" s="68"/>
      <c r="K43" s="68"/>
      <c r="L43" s="68"/>
      <c r="M43" s="16"/>
      <c r="N43" s="12"/>
      <c r="O43" s="12"/>
      <c r="P43" s="12"/>
      <c r="Q43" s="12"/>
    </row>
    <row r="44" spans="1:17" ht="15.75" customHeight="1" x14ac:dyDescent="0.25">
      <c r="A44" s="69">
        <v>32</v>
      </c>
      <c r="B44" s="71"/>
      <c r="C44" s="71"/>
      <c r="D44" s="68"/>
      <c r="E44" s="68"/>
      <c r="F44" s="113"/>
      <c r="G44" s="68"/>
      <c r="H44" s="68"/>
      <c r="I44" s="113"/>
      <c r="J44" s="68"/>
      <c r="K44" s="68"/>
      <c r="L44" s="68"/>
      <c r="M44" s="16"/>
      <c r="N44" s="12"/>
      <c r="O44" s="12"/>
      <c r="P44" s="12"/>
      <c r="Q44" s="12"/>
    </row>
    <row r="45" spans="1:17" ht="15.75" customHeight="1" x14ac:dyDescent="0.25">
      <c r="A45" s="69">
        <v>33</v>
      </c>
      <c r="B45" s="71"/>
      <c r="C45" s="71"/>
      <c r="D45" s="68"/>
      <c r="E45" s="68"/>
      <c r="F45" s="68"/>
      <c r="G45" s="68"/>
      <c r="H45" s="68"/>
      <c r="I45" s="113"/>
      <c r="J45" s="68"/>
      <c r="K45" s="68"/>
      <c r="L45" s="68"/>
      <c r="M45" s="16"/>
      <c r="N45" s="12"/>
      <c r="O45" s="12"/>
      <c r="P45" s="12"/>
      <c r="Q45" s="12"/>
    </row>
    <row r="46" spans="1:17" ht="15.75" customHeight="1" x14ac:dyDescent="0.25">
      <c r="A46" s="69">
        <v>34</v>
      </c>
      <c r="B46" s="71"/>
      <c r="C46" s="71"/>
      <c r="D46" s="68"/>
      <c r="E46" s="68"/>
      <c r="F46" s="68"/>
      <c r="G46" s="68"/>
      <c r="H46" s="68"/>
      <c r="I46" s="113"/>
      <c r="J46" s="68"/>
      <c r="K46" s="68"/>
      <c r="L46" s="68"/>
      <c r="M46" s="16"/>
      <c r="N46" s="12"/>
      <c r="O46" s="12"/>
      <c r="P46" s="12"/>
      <c r="Q46" s="12"/>
    </row>
    <row r="47" spans="1:17" ht="15.75" customHeight="1" x14ac:dyDescent="0.25">
      <c r="A47" s="69">
        <v>35</v>
      </c>
      <c r="B47" s="71"/>
      <c r="C47" s="71"/>
      <c r="D47" s="68"/>
      <c r="E47" s="68"/>
      <c r="F47" s="68"/>
      <c r="G47" s="68"/>
      <c r="H47" s="68"/>
      <c r="I47" s="68"/>
      <c r="J47" s="68"/>
      <c r="K47" s="68"/>
      <c r="L47" s="68"/>
      <c r="M47" s="16"/>
      <c r="N47" s="12"/>
      <c r="O47" s="12"/>
      <c r="P47" s="12"/>
      <c r="Q47" s="12"/>
    </row>
    <row r="48" spans="1:17" ht="15.75" customHeight="1" x14ac:dyDescent="0.25">
      <c r="A48" s="69">
        <v>36</v>
      </c>
      <c r="B48" s="70"/>
      <c r="C48" s="135"/>
      <c r="D48" s="68"/>
      <c r="E48" s="68"/>
      <c r="F48" s="68"/>
      <c r="G48" s="68"/>
      <c r="H48" s="68"/>
      <c r="I48" s="68"/>
      <c r="J48" s="68"/>
      <c r="K48" s="68"/>
      <c r="L48" s="68"/>
      <c r="M48" s="16"/>
      <c r="N48" s="12"/>
      <c r="O48" s="12"/>
      <c r="P48" s="12"/>
      <c r="Q48" s="12"/>
    </row>
    <row r="49" spans="1:17" ht="15.75" customHeight="1" x14ac:dyDescent="0.25">
      <c r="A49" s="22"/>
      <c r="B49" s="13"/>
      <c r="C49" s="1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 ht="15.75" customHeight="1" x14ac:dyDescent="0.25">
      <c r="A50" s="201" t="s">
        <v>50</v>
      </c>
      <c r="B50" s="185"/>
      <c r="C50" s="185"/>
      <c r="D50" s="185"/>
      <c r="E50" s="185"/>
      <c r="F50" s="185"/>
      <c r="G50" s="185"/>
      <c r="H50" s="185"/>
      <c r="I50" s="185"/>
      <c r="J50" s="185"/>
      <c r="K50" s="186"/>
      <c r="L50" s="202" t="s">
        <v>51</v>
      </c>
      <c r="M50" s="203"/>
      <c r="N50" s="203"/>
      <c r="O50" s="203"/>
      <c r="P50" s="203"/>
      <c r="Q50" s="204"/>
    </row>
    <row r="51" spans="1:17" ht="15.75" customHeight="1" x14ac:dyDescent="0.25">
      <c r="A51" s="8" t="s">
        <v>52</v>
      </c>
      <c r="B51" s="8" t="s">
        <v>53</v>
      </c>
      <c r="C51" s="23" t="s">
        <v>54</v>
      </c>
      <c r="D51" s="201" t="s">
        <v>55</v>
      </c>
      <c r="E51" s="185"/>
      <c r="F51" s="185"/>
      <c r="G51" s="185"/>
      <c r="H51" s="185"/>
      <c r="I51" s="185"/>
      <c r="J51" s="185"/>
      <c r="K51" s="186"/>
      <c r="L51" s="205"/>
      <c r="M51" s="206"/>
      <c r="N51" s="206"/>
      <c r="O51" s="206"/>
      <c r="P51" s="206"/>
      <c r="Q51" s="207"/>
    </row>
    <row r="52" spans="1:17" ht="15.75" customHeight="1" x14ac:dyDescent="0.3">
      <c r="A52" s="9">
        <v>1</v>
      </c>
      <c r="B52" s="12"/>
      <c r="C52" s="24" t="s">
        <v>56</v>
      </c>
      <c r="D52" s="184"/>
      <c r="E52" s="185"/>
      <c r="F52" s="185"/>
      <c r="G52" s="185"/>
      <c r="H52" s="185"/>
      <c r="I52" s="185"/>
      <c r="J52" s="185"/>
      <c r="K52" s="186"/>
      <c r="L52" s="9">
        <v>1</v>
      </c>
      <c r="M52" s="184"/>
      <c r="N52" s="185"/>
      <c r="O52" s="185"/>
      <c r="P52" s="185"/>
      <c r="Q52" s="186"/>
    </row>
    <row r="53" spans="1:17" ht="15.75" customHeight="1" x14ac:dyDescent="0.3">
      <c r="A53" s="9">
        <v>2</v>
      </c>
      <c r="B53" s="12"/>
      <c r="C53" s="24" t="s">
        <v>56</v>
      </c>
      <c r="D53" s="184"/>
      <c r="E53" s="185"/>
      <c r="F53" s="185"/>
      <c r="G53" s="185"/>
      <c r="H53" s="185"/>
      <c r="I53" s="185"/>
      <c r="J53" s="185"/>
      <c r="K53" s="186"/>
      <c r="L53" s="9">
        <v>2</v>
      </c>
      <c r="M53" s="184"/>
      <c r="N53" s="185"/>
      <c r="O53" s="185"/>
      <c r="P53" s="185"/>
      <c r="Q53" s="186"/>
    </row>
    <row r="54" spans="1:17" ht="15.75" customHeight="1" x14ac:dyDescent="0.3">
      <c r="A54" s="9">
        <v>3</v>
      </c>
      <c r="B54" s="12"/>
      <c r="C54" s="24" t="s">
        <v>56</v>
      </c>
      <c r="D54" s="184"/>
      <c r="E54" s="185"/>
      <c r="F54" s="185"/>
      <c r="G54" s="185"/>
      <c r="H54" s="185"/>
      <c r="I54" s="185"/>
      <c r="J54" s="185"/>
      <c r="K54" s="186"/>
      <c r="L54" s="9">
        <v>3</v>
      </c>
      <c r="M54" s="184"/>
      <c r="N54" s="185"/>
      <c r="O54" s="185"/>
      <c r="P54" s="185"/>
      <c r="Q54" s="186"/>
    </row>
    <row r="55" spans="1:17" ht="15.75" customHeight="1" x14ac:dyDescent="0.3">
      <c r="A55" s="9">
        <v>4</v>
      </c>
      <c r="B55" s="12"/>
      <c r="C55" s="24" t="s">
        <v>56</v>
      </c>
      <c r="D55" s="184"/>
      <c r="E55" s="185"/>
      <c r="F55" s="185"/>
      <c r="G55" s="185"/>
      <c r="H55" s="185"/>
      <c r="I55" s="185"/>
      <c r="J55" s="185"/>
      <c r="K55" s="186"/>
      <c r="L55" s="9">
        <v>4</v>
      </c>
      <c r="M55" s="184"/>
      <c r="N55" s="185"/>
      <c r="O55" s="185"/>
      <c r="P55" s="185"/>
      <c r="Q55" s="186"/>
    </row>
    <row r="56" spans="1:17" ht="15.75" customHeight="1" x14ac:dyDescent="0.3">
      <c r="A56" s="9">
        <v>5</v>
      </c>
      <c r="B56" s="12"/>
      <c r="C56" s="24" t="s">
        <v>56</v>
      </c>
      <c r="D56" s="184"/>
      <c r="E56" s="185"/>
      <c r="F56" s="185"/>
      <c r="G56" s="185"/>
      <c r="H56" s="185"/>
      <c r="I56" s="185"/>
      <c r="J56" s="185"/>
      <c r="K56" s="186"/>
      <c r="L56" s="9">
        <v>5</v>
      </c>
      <c r="M56" s="184"/>
      <c r="N56" s="185"/>
      <c r="O56" s="185"/>
      <c r="P56" s="185"/>
      <c r="Q56" s="186"/>
    </row>
    <row r="57" spans="1:17" ht="15.75" customHeight="1" x14ac:dyDescent="0.25">
      <c r="A57" s="25" t="s">
        <v>57</v>
      </c>
      <c r="K57" s="13" t="s">
        <v>58</v>
      </c>
    </row>
    <row r="58" spans="1:17" ht="16.5" customHeight="1" x14ac:dyDescent="0.25">
      <c r="A58" s="197" t="s">
        <v>59</v>
      </c>
      <c r="B58" s="190"/>
      <c r="C58" s="190"/>
      <c r="D58" s="190"/>
      <c r="E58" s="190"/>
      <c r="F58" s="190"/>
      <c r="G58" s="190"/>
      <c r="H58" s="190"/>
      <c r="K58" s="13" t="s">
        <v>60</v>
      </c>
    </row>
    <row r="59" spans="1:17" ht="15.75" customHeight="1" x14ac:dyDescent="0.25">
      <c r="A59" s="190"/>
      <c r="B59" s="190"/>
      <c r="C59" s="190"/>
      <c r="D59" s="190"/>
      <c r="E59" s="190"/>
      <c r="F59" s="190"/>
      <c r="G59" s="190"/>
      <c r="H59" s="190"/>
    </row>
    <row r="60" spans="1:17" ht="15.75" customHeight="1" x14ac:dyDescent="0.25">
      <c r="A60" s="198" t="s">
        <v>61</v>
      </c>
      <c r="B60" s="190"/>
      <c r="C60" s="190"/>
      <c r="D60" s="190"/>
      <c r="E60" s="190"/>
      <c r="F60" s="190"/>
      <c r="G60" s="190"/>
      <c r="H60" s="190"/>
    </row>
    <row r="61" spans="1:17" ht="15.75" customHeight="1" x14ac:dyDescent="0.25">
      <c r="A61" s="190"/>
      <c r="B61" s="190"/>
      <c r="C61" s="190"/>
      <c r="D61" s="190"/>
      <c r="E61" s="190"/>
      <c r="F61" s="190"/>
      <c r="G61" s="190"/>
      <c r="H61" s="190"/>
      <c r="K61" s="13" t="s">
        <v>62</v>
      </c>
    </row>
    <row r="62" spans="1:17" ht="15.75" customHeight="1" x14ac:dyDescent="0.25">
      <c r="A62" s="190"/>
      <c r="B62" s="190"/>
      <c r="C62" s="190"/>
      <c r="D62" s="190"/>
      <c r="E62" s="190"/>
      <c r="F62" s="190"/>
      <c r="G62" s="190"/>
      <c r="H62" s="190"/>
      <c r="K62" s="13" t="s">
        <v>63</v>
      </c>
    </row>
    <row r="63" spans="1:17" ht="15.75" customHeight="1" x14ac:dyDescent="0.25"/>
    <row r="64" spans="1:17" ht="15.75" customHeight="1" x14ac:dyDescent="0.25">
      <c r="A64" s="26" t="s">
        <v>5138</v>
      </c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7">
    <mergeCell ref="D56:K56"/>
    <mergeCell ref="M56:Q56"/>
    <mergeCell ref="A58:H59"/>
    <mergeCell ref="A60:H62"/>
    <mergeCell ref="A11:B11"/>
    <mergeCell ref="D11:H11"/>
    <mergeCell ref="A50:K50"/>
    <mergeCell ref="L50:Q51"/>
    <mergeCell ref="D51:K51"/>
    <mergeCell ref="D52:K52"/>
    <mergeCell ref="D53:K53"/>
    <mergeCell ref="M52:Q52"/>
    <mergeCell ref="M53:Q53"/>
    <mergeCell ref="D54:K54"/>
    <mergeCell ref="M54:Q54"/>
    <mergeCell ref="D55:K55"/>
    <mergeCell ref="M55:Q55"/>
    <mergeCell ref="I11:K11"/>
    <mergeCell ref="L11:P11"/>
    <mergeCell ref="M1:Q1"/>
    <mergeCell ref="M2:Q2"/>
    <mergeCell ref="A3:Q3"/>
    <mergeCell ref="A4:Q4"/>
    <mergeCell ref="A5:Q5"/>
    <mergeCell ref="A6:Q6"/>
    <mergeCell ref="C11:C12"/>
    <mergeCell ref="Q11:Q12"/>
  </mergeCells>
  <pageMargins left="0.59055118110236227" right="0.39370078740157483" top="0.43307086614173229" bottom="0.39370078740157483" header="0" footer="0"/>
  <pageSetup paperSize="10000" scale="84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Q1001"/>
  <sheetViews>
    <sheetView workbookViewId="0">
      <selection activeCell="C38" sqref="C38"/>
    </sheetView>
  </sheetViews>
  <sheetFormatPr defaultColWidth="14.42578125" defaultRowHeight="15" customHeight="1" x14ac:dyDescent="0.25"/>
  <cols>
    <col min="1" max="1" width="4.85546875" customWidth="1"/>
    <col min="2" max="2" width="8.7109375" customWidth="1"/>
    <col min="3" max="3" width="39.140625" customWidth="1"/>
    <col min="4" max="8" width="3.5703125" customWidth="1"/>
    <col min="9" max="11" width="4.140625" customWidth="1"/>
    <col min="12" max="16" width="4.42578125" customWidth="1"/>
    <col min="17" max="17" width="5" customWidth="1"/>
    <col min="18" max="26" width="8.7109375" customWidth="1"/>
  </cols>
  <sheetData>
    <row r="1" spans="1:17" x14ac:dyDescent="0.25">
      <c r="M1" s="188" t="s">
        <v>0</v>
      </c>
      <c r="N1" s="185"/>
      <c r="O1" s="185"/>
      <c r="P1" s="185"/>
      <c r="Q1" s="186"/>
    </row>
    <row r="2" spans="1:17" x14ac:dyDescent="0.25">
      <c r="M2" s="188" t="s">
        <v>1</v>
      </c>
      <c r="N2" s="185"/>
      <c r="O2" s="185"/>
      <c r="P2" s="185"/>
      <c r="Q2" s="186"/>
    </row>
    <row r="3" spans="1:17" ht="15.75" x14ac:dyDescent="0.3">
      <c r="A3" s="189" t="s">
        <v>2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</row>
    <row r="4" spans="1:17" x14ac:dyDescent="0.25">
      <c r="A4" s="191" t="s">
        <v>3</v>
      </c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</row>
    <row r="5" spans="1:17" x14ac:dyDescent="0.25">
      <c r="A5" s="192" t="s">
        <v>4</v>
      </c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</row>
    <row r="6" spans="1:17" ht="15.75" x14ac:dyDescent="0.25">
      <c r="A6" s="193" t="s">
        <v>5187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</row>
    <row r="7" spans="1:17" ht="15.7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9.5" customHeight="1" x14ac:dyDescent="0.25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3"/>
      <c r="L8" s="2" t="s">
        <v>6</v>
      </c>
      <c r="M8" s="2"/>
      <c r="N8" s="2"/>
      <c r="O8" s="2"/>
      <c r="P8" s="2"/>
      <c r="Q8" s="2"/>
    </row>
    <row r="9" spans="1:17" ht="19.5" customHeight="1" x14ac:dyDescent="0.25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3"/>
      <c r="L9" s="4" t="s">
        <v>5140</v>
      </c>
      <c r="M9" s="2"/>
      <c r="N9" s="2"/>
      <c r="O9" s="2"/>
      <c r="P9" s="2"/>
      <c r="Q9" s="2"/>
    </row>
    <row r="10" spans="1:17" ht="19.5" customHeight="1" x14ac:dyDescent="0.25">
      <c r="A10" s="2" t="s">
        <v>8</v>
      </c>
      <c r="B10" s="2"/>
      <c r="C10" s="4" t="s">
        <v>4503</v>
      </c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</row>
    <row r="11" spans="1:17" ht="15" customHeight="1" x14ac:dyDescent="0.3">
      <c r="A11" s="199" t="s">
        <v>9</v>
      </c>
      <c r="B11" s="186"/>
      <c r="C11" s="194" t="s">
        <v>10</v>
      </c>
      <c r="D11" s="200" t="s">
        <v>11</v>
      </c>
      <c r="E11" s="185"/>
      <c r="F11" s="185"/>
      <c r="G11" s="185"/>
      <c r="H11" s="186"/>
      <c r="I11" s="187" t="s">
        <v>12</v>
      </c>
      <c r="J11" s="185"/>
      <c r="K11" s="186"/>
      <c r="L11" s="187" t="s">
        <v>13</v>
      </c>
      <c r="M11" s="185"/>
      <c r="N11" s="185"/>
      <c r="O11" s="185"/>
      <c r="P11" s="186"/>
      <c r="Q11" s="196" t="s">
        <v>14</v>
      </c>
    </row>
    <row r="12" spans="1:17" ht="15" customHeight="1" x14ac:dyDescent="0.25">
      <c r="A12" s="5" t="s">
        <v>15</v>
      </c>
      <c r="B12" s="5" t="s">
        <v>16</v>
      </c>
      <c r="C12" s="195"/>
      <c r="D12" s="6"/>
      <c r="E12" s="6"/>
      <c r="F12" s="6"/>
      <c r="G12" s="6"/>
      <c r="H12" s="6"/>
      <c r="I12" s="6" t="s">
        <v>17</v>
      </c>
      <c r="J12" s="6" t="s">
        <v>18</v>
      </c>
      <c r="K12" s="6" t="s">
        <v>19</v>
      </c>
      <c r="L12" s="8">
        <v>1</v>
      </c>
      <c r="M12" s="8">
        <v>2</v>
      </c>
      <c r="N12" s="8">
        <v>3</v>
      </c>
      <c r="O12" s="8">
        <v>4</v>
      </c>
      <c r="P12" s="8">
        <v>5</v>
      </c>
      <c r="Q12" s="195"/>
    </row>
    <row r="13" spans="1:17" x14ac:dyDescent="0.25">
      <c r="A13" s="9">
        <v>1</v>
      </c>
      <c r="B13" s="54" t="s">
        <v>4672</v>
      </c>
      <c r="C13" s="11" t="s">
        <v>171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25">
      <c r="A14" s="9">
        <v>2</v>
      </c>
      <c r="B14" s="54" t="s">
        <v>4673</v>
      </c>
      <c r="C14" s="11" t="s">
        <v>172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5">
      <c r="A15" s="9">
        <v>3</v>
      </c>
      <c r="B15" s="54" t="s">
        <v>4674</v>
      </c>
      <c r="C15" s="11" t="s">
        <v>173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9">
        <v>4</v>
      </c>
      <c r="B16" s="54" t="s">
        <v>4675</v>
      </c>
      <c r="C16" s="11" t="s">
        <v>174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x14ac:dyDescent="0.25">
      <c r="A17" s="9">
        <v>5</v>
      </c>
      <c r="B17" s="54" t="s">
        <v>4676</v>
      </c>
      <c r="C17" s="11" t="s">
        <v>175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x14ac:dyDescent="0.25">
      <c r="A18" s="9">
        <v>6</v>
      </c>
      <c r="B18" s="54" t="s">
        <v>4677</v>
      </c>
      <c r="C18" s="11" t="s">
        <v>176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x14ac:dyDescent="0.25">
      <c r="A19" s="9">
        <v>7</v>
      </c>
      <c r="B19" s="54" t="s">
        <v>4678</v>
      </c>
      <c r="C19" s="11" t="s">
        <v>177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x14ac:dyDescent="0.25">
      <c r="A20" s="9">
        <v>8</v>
      </c>
      <c r="B20" s="54" t="s">
        <v>4679</v>
      </c>
      <c r="C20" s="11" t="s">
        <v>178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15.75" customHeight="1" x14ac:dyDescent="0.25">
      <c r="A21" s="9">
        <v>9</v>
      </c>
      <c r="B21" s="54" t="s">
        <v>4680</v>
      </c>
      <c r="C21" s="11" t="s">
        <v>179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15.75" customHeight="1" x14ac:dyDescent="0.25">
      <c r="A22" s="9">
        <v>10</v>
      </c>
      <c r="B22" s="54" t="s">
        <v>4681</v>
      </c>
      <c r="C22" s="11" t="s">
        <v>180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15.75" customHeight="1" x14ac:dyDescent="0.25">
      <c r="A23" s="9">
        <v>11</v>
      </c>
      <c r="B23" s="54" t="s">
        <v>4682</v>
      </c>
      <c r="C23" s="11" t="s">
        <v>181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ht="15.75" customHeight="1" x14ac:dyDescent="0.25">
      <c r="A24" s="9">
        <v>12</v>
      </c>
      <c r="B24" s="54" t="s">
        <v>4684</v>
      </c>
      <c r="C24" s="11" t="s">
        <v>183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15.75" customHeight="1" x14ac:dyDescent="0.25">
      <c r="A25" s="9">
        <v>13</v>
      </c>
      <c r="B25" s="54" t="s">
        <v>4685</v>
      </c>
      <c r="C25" s="11" t="s">
        <v>184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15.75" customHeight="1" x14ac:dyDescent="0.25">
      <c r="A26" s="9">
        <v>14</v>
      </c>
      <c r="B26" s="54" t="s">
        <v>4686</v>
      </c>
      <c r="C26" s="11" t="s">
        <v>185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ht="15.75" customHeight="1" x14ac:dyDescent="0.25">
      <c r="A27" s="9">
        <v>15</v>
      </c>
      <c r="B27" s="54" t="s">
        <v>4687</v>
      </c>
      <c r="C27" s="11" t="s">
        <v>186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ht="15.75" customHeight="1" x14ac:dyDescent="0.25">
      <c r="A28" s="9">
        <v>16</v>
      </c>
      <c r="B28" s="54" t="s">
        <v>4688</v>
      </c>
      <c r="C28" s="11" t="s">
        <v>187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ht="15.75" customHeight="1" x14ac:dyDescent="0.25">
      <c r="A29" s="9">
        <v>17</v>
      </c>
      <c r="B29" s="54" t="s">
        <v>4689</v>
      </c>
      <c r="C29" s="11" t="s">
        <v>188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15.75" customHeight="1" x14ac:dyDescent="0.25">
      <c r="A30" s="9">
        <v>18</v>
      </c>
      <c r="B30" s="54" t="s">
        <v>4690</v>
      </c>
      <c r="C30" s="11" t="s">
        <v>189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17" ht="15.75" customHeight="1" x14ac:dyDescent="0.25">
      <c r="A31" s="9">
        <v>19</v>
      </c>
      <c r="B31" s="54" t="s">
        <v>4691</v>
      </c>
      <c r="C31" s="11" t="s">
        <v>190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17" ht="15.75" customHeight="1" x14ac:dyDescent="0.25">
      <c r="A32" s="9">
        <v>20</v>
      </c>
      <c r="B32" s="54" t="s">
        <v>4692</v>
      </c>
      <c r="C32" s="11" t="s">
        <v>191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17" ht="15.75" customHeight="1" x14ac:dyDescent="0.25">
      <c r="A33" s="9">
        <v>21</v>
      </c>
      <c r="B33" s="54" t="s">
        <v>4693</v>
      </c>
      <c r="C33" s="11" t="s">
        <v>192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17" ht="15.75" customHeight="1" x14ac:dyDescent="0.25">
      <c r="A34" s="9">
        <v>22</v>
      </c>
      <c r="B34" s="54" t="s">
        <v>4694</v>
      </c>
      <c r="C34" s="11" t="s">
        <v>193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17" ht="15.75" customHeight="1" x14ac:dyDescent="0.25">
      <c r="A35" s="9">
        <v>23</v>
      </c>
      <c r="B35" s="54" t="s">
        <v>4695</v>
      </c>
      <c r="C35" s="11" t="s">
        <v>194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1:17" ht="15.75" customHeight="1" x14ac:dyDescent="0.25">
      <c r="A36" s="9">
        <v>24</v>
      </c>
      <c r="B36" s="54" t="s">
        <v>4696</v>
      </c>
      <c r="C36" s="11" t="s">
        <v>5042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17" ht="15.75" customHeight="1" x14ac:dyDescent="0.25">
      <c r="A37" s="9">
        <v>25</v>
      </c>
      <c r="B37" s="54" t="s">
        <v>4697</v>
      </c>
      <c r="C37" s="11" t="s">
        <v>195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1:17" ht="15.75" customHeight="1" x14ac:dyDescent="0.25">
      <c r="A38" s="9">
        <v>26</v>
      </c>
      <c r="B38" s="54" t="s">
        <v>4698</v>
      </c>
      <c r="C38" s="11" t="s">
        <v>196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spans="1:17" ht="15.75" customHeight="1" x14ac:dyDescent="0.25">
      <c r="A39" s="9">
        <v>27</v>
      </c>
      <c r="B39" s="54" t="s">
        <v>4699</v>
      </c>
      <c r="C39" s="11" t="s">
        <v>197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spans="1:17" ht="15.75" customHeight="1" x14ac:dyDescent="0.25">
      <c r="A40" s="9">
        <v>28</v>
      </c>
      <c r="B40" s="54" t="s">
        <v>4702</v>
      </c>
      <c r="C40" s="11" t="s">
        <v>200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spans="1:17" ht="15.75" customHeight="1" x14ac:dyDescent="0.25">
      <c r="A41" s="9">
        <v>29</v>
      </c>
      <c r="B41" s="54" t="s">
        <v>4703</v>
      </c>
      <c r="C41" s="11" t="s">
        <v>201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spans="1:17" ht="15.75" customHeight="1" x14ac:dyDescent="0.25">
      <c r="A42" s="29">
        <v>30</v>
      </c>
      <c r="B42" s="96" t="s">
        <v>4704</v>
      </c>
      <c r="C42" s="14" t="s">
        <v>202</v>
      </c>
      <c r="D42" s="15"/>
      <c r="E42" s="15"/>
      <c r="F42" s="15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spans="1:17" ht="15.75" customHeight="1" x14ac:dyDescent="0.25">
      <c r="A43" s="69">
        <v>31</v>
      </c>
      <c r="B43" s="97" t="s">
        <v>4705</v>
      </c>
      <c r="C43" s="75" t="s">
        <v>203</v>
      </c>
      <c r="D43" s="68"/>
      <c r="E43" s="68"/>
      <c r="F43" s="68"/>
      <c r="G43" s="16"/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 spans="1:17" ht="15.75" customHeight="1" x14ac:dyDescent="0.25">
      <c r="A44" s="69">
        <v>32</v>
      </c>
      <c r="B44" s="97" t="s">
        <v>4706</v>
      </c>
      <c r="C44" s="75" t="s">
        <v>204</v>
      </c>
      <c r="D44" s="68"/>
      <c r="E44" s="68"/>
      <c r="F44" s="68"/>
      <c r="G44" s="16"/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 spans="1:17" ht="15.75" customHeight="1" x14ac:dyDescent="0.25">
      <c r="A45" s="69">
        <v>33</v>
      </c>
      <c r="B45" s="97" t="s">
        <v>4707</v>
      </c>
      <c r="C45" s="75" t="s">
        <v>205</v>
      </c>
      <c r="D45" s="68"/>
      <c r="E45" s="68"/>
      <c r="F45" s="68"/>
      <c r="G45" s="16"/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 spans="1:17" ht="15.75" customHeight="1" x14ac:dyDescent="0.25">
      <c r="A46" s="69">
        <v>34</v>
      </c>
      <c r="B46" s="97" t="s">
        <v>4708</v>
      </c>
      <c r="C46" s="75" t="s">
        <v>5096</v>
      </c>
      <c r="D46" s="68"/>
      <c r="E46" s="68"/>
      <c r="F46" s="68"/>
      <c r="G46" s="16"/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 spans="1:17" ht="15.75" customHeight="1" x14ac:dyDescent="0.25">
      <c r="A47" s="69">
        <v>35</v>
      </c>
      <c r="B47" s="71"/>
      <c r="C47" s="71"/>
      <c r="D47" s="68"/>
      <c r="E47" s="68"/>
      <c r="F47" s="68"/>
      <c r="G47" s="16"/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 spans="1:17" ht="15.75" customHeight="1" x14ac:dyDescent="0.25">
      <c r="A48" s="69">
        <v>36</v>
      </c>
      <c r="B48" s="71"/>
      <c r="C48" s="71"/>
      <c r="D48" s="68"/>
      <c r="E48" s="68"/>
      <c r="F48" s="68"/>
      <c r="G48" s="16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 spans="1:17" ht="15.75" customHeight="1" x14ac:dyDescent="0.25">
      <c r="A49" s="69">
        <v>37</v>
      </c>
      <c r="B49" s="71"/>
      <c r="C49" s="71"/>
      <c r="D49" s="68"/>
      <c r="E49" s="68"/>
      <c r="F49" s="68"/>
      <c r="G49" s="16"/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 spans="1:17" ht="15.75" customHeight="1" x14ac:dyDescent="0.25">
      <c r="A50" s="2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spans="1:17" ht="15.75" customHeight="1" x14ac:dyDescent="0.25">
      <c r="A51" s="201" t="s">
        <v>50</v>
      </c>
      <c r="B51" s="185"/>
      <c r="C51" s="185"/>
      <c r="D51" s="185"/>
      <c r="E51" s="185"/>
      <c r="F51" s="185"/>
      <c r="G51" s="185"/>
      <c r="H51" s="185"/>
      <c r="I51" s="185"/>
      <c r="J51" s="185"/>
      <c r="K51" s="186"/>
      <c r="L51" s="202" t="s">
        <v>51</v>
      </c>
      <c r="M51" s="203"/>
      <c r="N51" s="203"/>
      <c r="O51" s="203"/>
      <c r="P51" s="203"/>
      <c r="Q51" s="204"/>
    </row>
    <row r="52" spans="1:17" ht="15.75" customHeight="1" x14ac:dyDescent="0.25">
      <c r="A52" s="8" t="s">
        <v>52</v>
      </c>
      <c r="B52" s="8" t="s">
        <v>53</v>
      </c>
      <c r="C52" s="23" t="s">
        <v>54</v>
      </c>
      <c r="D52" s="201" t="s">
        <v>55</v>
      </c>
      <c r="E52" s="185"/>
      <c r="F52" s="185"/>
      <c r="G52" s="185"/>
      <c r="H52" s="185"/>
      <c r="I52" s="185"/>
      <c r="J52" s="185"/>
      <c r="K52" s="186"/>
      <c r="L52" s="205"/>
      <c r="M52" s="206"/>
      <c r="N52" s="206"/>
      <c r="O52" s="206"/>
      <c r="P52" s="206"/>
      <c r="Q52" s="207"/>
    </row>
    <row r="53" spans="1:17" ht="15.75" customHeight="1" x14ac:dyDescent="0.3">
      <c r="A53" s="9">
        <v>1</v>
      </c>
      <c r="B53" s="12"/>
      <c r="C53" s="24" t="s">
        <v>56</v>
      </c>
      <c r="D53" s="184"/>
      <c r="E53" s="185"/>
      <c r="F53" s="185"/>
      <c r="G53" s="185"/>
      <c r="H53" s="185"/>
      <c r="I53" s="185"/>
      <c r="J53" s="185"/>
      <c r="K53" s="186"/>
      <c r="L53" s="9">
        <v>1</v>
      </c>
      <c r="M53" s="184"/>
      <c r="N53" s="185"/>
      <c r="O53" s="185"/>
      <c r="P53" s="185"/>
      <c r="Q53" s="186"/>
    </row>
    <row r="54" spans="1:17" ht="15.75" customHeight="1" x14ac:dyDescent="0.3">
      <c r="A54" s="9">
        <v>2</v>
      </c>
      <c r="B54" s="12"/>
      <c r="C54" s="24" t="s">
        <v>56</v>
      </c>
      <c r="D54" s="184"/>
      <c r="E54" s="185"/>
      <c r="F54" s="185"/>
      <c r="G54" s="185"/>
      <c r="H54" s="185"/>
      <c r="I54" s="185"/>
      <c r="J54" s="185"/>
      <c r="K54" s="186"/>
      <c r="L54" s="9">
        <v>2</v>
      </c>
      <c r="M54" s="184"/>
      <c r="N54" s="185"/>
      <c r="O54" s="185"/>
      <c r="P54" s="185"/>
      <c r="Q54" s="186"/>
    </row>
    <row r="55" spans="1:17" ht="15.75" customHeight="1" x14ac:dyDescent="0.3">
      <c r="A55" s="9">
        <v>3</v>
      </c>
      <c r="B55" s="12"/>
      <c r="C55" s="24" t="s">
        <v>56</v>
      </c>
      <c r="D55" s="184"/>
      <c r="E55" s="185"/>
      <c r="F55" s="185"/>
      <c r="G55" s="185"/>
      <c r="H55" s="185"/>
      <c r="I55" s="185"/>
      <c r="J55" s="185"/>
      <c r="K55" s="186"/>
      <c r="L55" s="9">
        <v>3</v>
      </c>
      <c r="M55" s="184"/>
      <c r="N55" s="185"/>
      <c r="O55" s="185"/>
      <c r="P55" s="185"/>
      <c r="Q55" s="186"/>
    </row>
    <row r="56" spans="1:17" ht="15.75" customHeight="1" x14ac:dyDescent="0.3">
      <c r="A56" s="9">
        <v>4</v>
      </c>
      <c r="B56" s="12"/>
      <c r="C56" s="24" t="s">
        <v>56</v>
      </c>
      <c r="D56" s="184"/>
      <c r="E56" s="185"/>
      <c r="F56" s="185"/>
      <c r="G56" s="185"/>
      <c r="H56" s="185"/>
      <c r="I56" s="185"/>
      <c r="J56" s="185"/>
      <c r="K56" s="186"/>
      <c r="L56" s="9">
        <v>4</v>
      </c>
      <c r="M56" s="184"/>
      <c r="N56" s="185"/>
      <c r="O56" s="185"/>
      <c r="P56" s="185"/>
      <c r="Q56" s="186"/>
    </row>
    <row r="57" spans="1:17" ht="15.75" customHeight="1" x14ac:dyDescent="0.3">
      <c r="A57" s="9">
        <v>5</v>
      </c>
      <c r="B57" s="12"/>
      <c r="C57" s="24" t="s">
        <v>56</v>
      </c>
      <c r="D57" s="184"/>
      <c r="E57" s="185"/>
      <c r="F57" s="185"/>
      <c r="G57" s="185"/>
      <c r="H57" s="185"/>
      <c r="I57" s="185"/>
      <c r="J57" s="185"/>
      <c r="K57" s="186"/>
      <c r="L57" s="9">
        <v>5</v>
      </c>
      <c r="M57" s="184"/>
      <c r="N57" s="185"/>
      <c r="O57" s="185"/>
      <c r="P57" s="185"/>
      <c r="Q57" s="186"/>
    </row>
    <row r="58" spans="1:17" ht="15.75" customHeight="1" x14ac:dyDescent="0.25">
      <c r="A58" s="25" t="s">
        <v>57</v>
      </c>
      <c r="K58" s="13" t="s">
        <v>58</v>
      </c>
    </row>
    <row r="59" spans="1:17" ht="16.5" customHeight="1" x14ac:dyDescent="0.25">
      <c r="A59" s="197" t="s">
        <v>59</v>
      </c>
      <c r="B59" s="190"/>
      <c r="C59" s="190"/>
      <c r="D59" s="190"/>
      <c r="E59" s="190"/>
      <c r="F59" s="190"/>
      <c r="G59" s="190"/>
      <c r="H59" s="190"/>
      <c r="K59" s="13" t="s">
        <v>60</v>
      </c>
    </row>
    <row r="60" spans="1:17" ht="15.75" customHeight="1" x14ac:dyDescent="0.25">
      <c r="A60" s="190"/>
      <c r="B60" s="190"/>
      <c r="C60" s="190"/>
      <c r="D60" s="190"/>
      <c r="E60" s="190"/>
      <c r="F60" s="190"/>
      <c r="G60" s="190"/>
      <c r="H60" s="190"/>
    </row>
    <row r="61" spans="1:17" ht="15.75" customHeight="1" x14ac:dyDescent="0.25">
      <c r="A61" s="198" t="s">
        <v>61</v>
      </c>
      <c r="B61" s="190"/>
      <c r="C61" s="190"/>
      <c r="D61" s="190"/>
      <c r="E61" s="190"/>
      <c r="F61" s="190"/>
      <c r="G61" s="190"/>
      <c r="H61" s="190"/>
    </row>
    <row r="62" spans="1:17" ht="15.75" customHeight="1" x14ac:dyDescent="0.25">
      <c r="A62" s="190"/>
      <c r="B62" s="190"/>
      <c r="C62" s="190"/>
      <c r="D62" s="190"/>
      <c r="E62" s="190"/>
      <c r="F62" s="190"/>
      <c r="G62" s="190"/>
      <c r="H62" s="190"/>
      <c r="K62" s="13" t="s">
        <v>62</v>
      </c>
    </row>
    <row r="63" spans="1:17" ht="15.75" customHeight="1" x14ac:dyDescent="0.25">
      <c r="A63" s="190"/>
      <c r="B63" s="190"/>
      <c r="C63" s="190"/>
      <c r="D63" s="190"/>
      <c r="E63" s="190"/>
      <c r="F63" s="190"/>
      <c r="G63" s="190"/>
      <c r="H63" s="190"/>
      <c r="K63" s="13" t="s">
        <v>63</v>
      </c>
    </row>
    <row r="64" spans="1:17" ht="15.75" customHeight="1" x14ac:dyDescent="0.25"/>
    <row r="65" spans="1:1" ht="15.75" customHeight="1" x14ac:dyDescent="0.25">
      <c r="A65" s="26" t="s">
        <v>5195</v>
      </c>
    </row>
    <row r="66" spans="1:1" ht="15.75" customHeight="1" x14ac:dyDescent="0.25"/>
    <row r="67" spans="1:1" ht="15.75" customHeight="1" x14ac:dyDescent="0.25"/>
    <row r="68" spans="1:1" ht="15.75" customHeight="1" x14ac:dyDescent="0.25"/>
    <row r="69" spans="1:1" ht="15.75" customHeight="1" x14ac:dyDescent="0.25"/>
    <row r="70" spans="1:1" ht="15.75" customHeight="1" x14ac:dyDescent="0.25"/>
    <row r="71" spans="1:1" ht="15.75" customHeight="1" x14ac:dyDescent="0.25"/>
    <row r="72" spans="1:1" ht="15.75" customHeight="1" x14ac:dyDescent="0.25"/>
    <row r="73" spans="1:1" ht="15.75" customHeight="1" x14ac:dyDescent="0.25"/>
    <row r="74" spans="1:1" ht="15.75" customHeight="1" x14ac:dyDescent="0.25"/>
    <row r="75" spans="1:1" ht="15.75" customHeight="1" x14ac:dyDescent="0.25"/>
    <row r="76" spans="1:1" ht="15.75" customHeight="1" x14ac:dyDescent="0.25"/>
    <row r="77" spans="1:1" ht="15.75" customHeight="1" x14ac:dyDescent="0.25"/>
    <row r="78" spans="1:1" ht="15.75" customHeight="1" x14ac:dyDescent="0.25"/>
    <row r="79" spans="1:1" ht="15.75" customHeight="1" x14ac:dyDescent="0.25"/>
    <row r="80" spans="1:1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7">
    <mergeCell ref="D57:K57"/>
    <mergeCell ref="M57:Q57"/>
    <mergeCell ref="A59:H60"/>
    <mergeCell ref="A61:H63"/>
    <mergeCell ref="A11:B11"/>
    <mergeCell ref="D11:H11"/>
    <mergeCell ref="A51:K51"/>
    <mergeCell ref="L51:Q52"/>
    <mergeCell ref="D52:K52"/>
    <mergeCell ref="D53:K53"/>
    <mergeCell ref="D54:K54"/>
    <mergeCell ref="M53:Q53"/>
    <mergeCell ref="M54:Q54"/>
    <mergeCell ref="D55:K55"/>
    <mergeCell ref="M55:Q55"/>
    <mergeCell ref="D56:K56"/>
    <mergeCell ref="M56:Q56"/>
    <mergeCell ref="I11:K11"/>
    <mergeCell ref="L11:P11"/>
    <mergeCell ref="M1:Q1"/>
    <mergeCell ref="M2:Q2"/>
    <mergeCell ref="A3:Q3"/>
    <mergeCell ref="A4:Q4"/>
    <mergeCell ref="A5:Q5"/>
    <mergeCell ref="A6:Q6"/>
    <mergeCell ref="C11:C12"/>
    <mergeCell ref="Q11:Q12"/>
  </mergeCells>
  <pageMargins left="0.59055118110236227" right="0.39370078740157483" top="0.43307086614173229" bottom="0.39370078740157483" header="0" footer="0"/>
  <pageSetup paperSize="10000" scale="84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Q1000"/>
  <sheetViews>
    <sheetView workbookViewId="0">
      <selection activeCell="A65" sqref="A65"/>
    </sheetView>
  </sheetViews>
  <sheetFormatPr defaultColWidth="14.42578125" defaultRowHeight="15" customHeight="1" x14ac:dyDescent="0.25"/>
  <cols>
    <col min="1" max="1" width="4.85546875" customWidth="1"/>
    <col min="2" max="2" width="8.7109375" customWidth="1"/>
    <col min="3" max="3" width="40.5703125" customWidth="1"/>
    <col min="4" max="8" width="3.5703125" customWidth="1"/>
    <col min="9" max="11" width="4.140625" customWidth="1"/>
    <col min="12" max="16" width="4.42578125" customWidth="1"/>
    <col min="17" max="17" width="5" customWidth="1"/>
    <col min="18" max="26" width="8.7109375" customWidth="1"/>
  </cols>
  <sheetData>
    <row r="1" spans="1:17" x14ac:dyDescent="0.25">
      <c r="M1" s="188" t="s">
        <v>0</v>
      </c>
      <c r="N1" s="185"/>
      <c r="O1" s="185"/>
      <c r="P1" s="185"/>
      <c r="Q1" s="186"/>
    </row>
    <row r="2" spans="1:17" x14ac:dyDescent="0.25">
      <c r="M2" s="188" t="s">
        <v>1</v>
      </c>
      <c r="N2" s="185"/>
      <c r="O2" s="185"/>
      <c r="P2" s="185"/>
      <c r="Q2" s="186"/>
    </row>
    <row r="3" spans="1:17" ht="15.75" x14ac:dyDescent="0.3">
      <c r="A3" s="189" t="s">
        <v>2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</row>
    <row r="4" spans="1:17" x14ac:dyDescent="0.25">
      <c r="A4" s="191" t="s">
        <v>3</v>
      </c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</row>
    <row r="5" spans="1:17" x14ac:dyDescent="0.25">
      <c r="A5" s="192" t="s">
        <v>4</v>
      </c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</row>
    <row r="6" spans="1:17" ht="15.75" x14ac:dyDescent="0.25">
      <c r="A6" s="193" t="s">
        <v>5186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</row>
    <row r="7" spans="1:17" ht="15.7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9.5" customHeight="1" x14ac:dyDescent="0.25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3"/>
      <c r="L8" s="2" t="s">
        <v>6</v>
      </c>
      <c r="M8" s="2"/>
      <c r="N8" s="2"/>
      <c r="O8" s="2"/>
      <c r="P8" s="2"/>
      <c r="Q8" s="2"/>
    </row>
    <row r="9" spans="1:17" ht="19.5" customHeight="1" x14ac:dyDescent="0.25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3"/>
      <c r="L9" s="4" t="s">
        <v>5140</v>
      </c>
      <c r="M9" s="2"/>
      <c r="N9" s="2"/>
      <c r="O9" s="2"/>
      <c r="P9" s="2"/>
      <c r="Q9" s="2"/>
    </row>
    <row r="10" spans="1:17" ht="19.5" customHeight="1" x14ac:dyDescent="0.25">
      <c r="A10" s="2" t="s">
        <v>8</v>
      </c>
      <c r="B10" s="2"/>
      <c r="C10" s="4" t="s">
        <v>4504</v>
      </c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</row>
    <row r="11" spans="1:17" ht="15" customHeight="1" x14ac:dyDescent="0.3">
      <c r="A11" s="199" t="s">
        <v>9</v>
      </c>
      <c r="B11" s="186"/>
      <c r="C11" s="194" t="s">
        <v>10</v>
      </c>
      <c r="D11" s="200" t="s">
        <v>11</v>
      </c>
      <c r="E11" s="185"/>
      <c r="F11" s="185"/>
      <c r="G11" s="185"/>
      <c r="H11" s="186"/>
      <c r="I11" s="187" t="s">
        <v>12</v>
      </c>
      <c r="J11" s="185"/>
      <c r="K11" s="186"/>
      <c r="L11" s="187" t="s">
        <v>13</v>
      </c>
      <c r="M11" s="185"/>
      <c r="N11" s="185"/>
      <c r="O11" s="185"/>
      <c r="P11" s="186"/>
      <c r="Q11" s="196" t="s">
        <v>14</v>
      </c>
    </row>
    <row r="12" spans="1:17" ht="15" customHeight="1" x14ac:dyDescent="0.3">
      <c r="A12" s="5" t="s">
        <v>15</v>
      </c>
      <c r="B12" s="5" t="s">
        <v>16</v>
      </c>
      <c r="C12" s="208"/>
      <c r="D12" s="6"/>
      <c r="E12" s="6"/>
      <c r="F12" s="6"/>
      <c r="G12" s="6"/>
      <c r="H12" s="6"/>
      <c r="I12" s="7" t="s">
        <v>17</v>
      </c>
      <c r="J12" s="7" t="s">
        <v>18</v>
      </c>
      <c r="K12" s="7" t="s">
        <v>19</v>
      </c>
      <c r="L12" s="8">
        <v>1</v>
      </c>
      <c r="M12" s="8">
        <v>2</v>
      </c>
      <c r="N12" s="8">
        <v>3</v>
      </c>
      <c r="O12" s="8">
        <v>4</v>
      </c>
      <c r="P12" s="8">
        <v>5</v>
      </c>
      <c r="Q12" s="195"/>
    </row>
    <row r="13" spans="1:17" x14ac:dyDescent="0.25">
      <c r="A13" s="9">
        <v>1</v>
      </c>
      <c r="B13" s="10" t="s">
        <v>4709</v>
      </c>
      <c r="C13" s="27" t="s">
        <v>206</v>
      </c>
      <c r="D13" s="16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25">
      <c r="A14" s="9">
        <v>2</v>
      </c>
      <c r="B14" s="10" t="s">
        <v>4710</v>
      </c>
      <c r="C14" s="27" t="s">
        <v>207</v>
      </c>
      <c r="D14" s="16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5">
      <c r="A15" s="9">
        <v>3</v>
      </c>
      <c r="B15" s="10" t="s">
        <v>4711</v>
      </c>
      <c r="C15" s="27" t="s">
        <v>208</v>
      </c>
      <c r="D15" s="16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9">
        <v>4</v>
      </c>
      <c r="B16" s="10" t="s">
        <v>4712</v>
      </c>
      <c r="C16" s="27" t="s">
        <v>209</v>
      </c>
      <c r="D16" s="16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x14ac:dyDescent="0.25">
      <c r="A17" s="9">
        <v>5</v>
      </c>
      <c r="B17" s="10" t="s">
        <v>4713</v>
      </c>
      <c r="C17" s="27" t="s">
        <v>210</v>
      </c>
      <c r="D17" s="16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x14ac:dyDescent="0.25">
      <c r="A18" s="9">
        <v>6</v>
      </c>
      <c r="B18" s="10" t="s">
        <v>4714</v>
      </c>
      <c r="C18" s="27" t="s">
        <v>211</v>
      </c>
      <c r="D18" s="16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x14ac:dyDescent="0.25">
      <c r="A19" s="9">
        <v>7</v>
      </c>
      <c r="B19" s="10" t="s">
        <v>4715</v>
      </c>
      <c r="C19" s="27" t="s">
        <v>212</v>
      </c>
      <c r="D19" s="16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x14ac:dyDescent="0.25">
      <c r="A20" s="9">
        <v>8</v>
      </c>
      <c r="B20" s="10" t="s">
        <v>4716</v>
      </c>
      <c r="C20" s="27" t="s">
        <v>213</v>
      </c>
      <c r="D20" s="16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15.75" customHeight="1" x14ac:dyDescent="0.25">
      <c r="A21" s="9">
        <v>9</v>
      </c>
      <c r="B21" s="10" t="s">
        <v>4717</v>
      </c>
      <c r="C21" s="27" t="s">
        <v>214</v>
      </c>
      <c r="D21" s="16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15.75" customHeight="1" x14ac:dyDescent="0.25">
      <c r="A22" s="9">
        <v>10</v>
      </c>
      <c r="B22" s="10" t="s">
        <v>4718</v>
      </c>
      <c r="C22" s="27" t="s">
        <v>215</v>
      </c>
      <c r="D22" s="16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15.75" customHeight="1" x14ac:dyDescent="0.25">
      <c r="A23" s="9">
        <v>11</v>
      </c>
      <c r="B23" s="10" t="s">
        <v>4719</v>
      </c>
      <c r="C23" s="27" t="s">
        <v>216</v>
      </c>
      <c r="D23" s="16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ht="15.75" customHeight="1" x14ac:dyDescent="0.25">
      <c r="A24" s="9">
        <v>12</v>
      </c>
      <c r="B24" s="10" t="s">
        <v>4721</v>
      </c>
      <c r="C24" s="27" t="s">
        <v>218</v>
      </c>
      <c r="D24" s="16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15.75" customHeight="1" x14ac:dyDescent="0.25">
      <c r="A25" s="9">
        <v>13</v>
      </c>
      <c r="B25" s="10" t="s">
        <v>4722</v>
      </c>
      <c r="C25" s="27" t="s">
        <v>219</v>
      </c>
      <c r="D25" s="16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15.75" customHeight="1" x14ac:dyDescent="0.25">
      <c r="A26" s="9">
        <v>14</v>
      </c>
      <c r="B26" s="10" t="s">
        <v>4723</v>
      </c>
      <c r="C26" s="27" t="s">
        <v>220</v>
      </c>
      <c r="D26" s="16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ht="15.75" customHeight="1" x14ac:dyDescent="0.25">
      <c r="A27" s="9">
        <v>15</v>
      </c>
      <c r="B27" s="10" t="s">
        <v>4724</v>
      </c>
      <c r="C27" s="27" t="s">
        <v>221</v>
      </c>
      <c r="D27" s="16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ht="15.75" customHeight="1" x14ac:dyDescent="0.25">
      <c r="A28" s="9">
        <v>16</v>
      </c>
      <c r="B28" s="10" t="s">
        <v>4725</v>
      </c>
      <c r="C28" s="27" t="s">
        <v>222</v>
      </c>
      <c r="D28" s="16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ht="15.75" customHeight="1" x14ac:dyDescent="0.25">
      <c r="A29" s="9">
        <v>17</v>
      </c>
      <c r="B29" s="10" t="s">
        <v>4726</v>
      </c>
      <c r="C29" s="27" t="s">
        <v>223</v>
      </c>
      <c r="D29" s="16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15.75" customHeight="1" x14ac:dyDescent="0.25">
      <c r="A30" s="9">
        <v>18</v>
      </c>
      <c r="B30" s="10" t="s">
        <v>4727</v>
      </c>
      <c r="C30" s="27" t="s">
        <v>224</v>
      </c>
      <c r="D30" s="16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17" ht="15.75" customHeight="1" x14ac:dyDescent="0.25">
      <c r="A31" s="9">
        <v>19</v>
      </c>
      <c r="B31" s="10" t="s">
        <v>4728</v>
      </c>
      <c r="C31" s="27" t="s">
        <v>225</v>
      </c>
      <c r="D31" s="16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17" ht="15.75" customHeight="1" x14ac:dyDescent="0.25">
      <c r="A32" s="9">
        <v>20</v>
      </c>
      <c r="B32" s="10" t="s">
        <v>4729</v>
      </c>
      <c r="C32" s="27" t="s">
        <v>226</v>
      </c>
      <c r="D32" s="16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17" ht="15.75" customHeight="1" x14ac:dyDescent="0.25">
      <c r="A33" s="9">
        <v>21</v>
      </c>
      <c r="B33" s="10" t="s">
        <v>4730</v>
      </c>
      <c r="C33" s="27" t="s">
        <v>227</v>
      </c>
      <c r="D33" s="16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17" ht="15.75" customHeight="1" x14ac:dyDescent="0.25">
      <c r="A34" s="9">
        <v>22</v>
      </c>
      <c r="B34" s="10" t="s">
        <v>4731</v>
      </c>
      <c r="C34" s="27" t="s">
        <v>228</v>
      </c>
      <c r="D34" s="16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17" ht="15.75" customHeight="1" x14ac:dyDescent="0.25">
      <c r="A35" s="9">
        <v>23</v>
      </c>
      <c r="B35" s="10" t="s">
        <v>4732</v>
      </c>
      <c r="C35" s="27" t="s">
        <v>229</v>
      </c>
      <c r="D35" s="16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1:17" ht="15.75" customHeight="1" x14ac:dyDescent="0.25">
      <c r="A36" s="9">
        <v>24</v>
      </c>
      <c r="B36" s="10" t="s">
        <v>4733</v>
      </c>
      <c r="C36" s="27" t="s">
        <v>230</v>
      </c>
      <c r="D36" s="16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17" ht="15.75" customHeight="1" x14ac:dyDescent="0.25">
      <c r="A37" s="9">
        <v>25</v>
      </c>
      <c r="B37" s="10" t="s">
        <v>4734</v>
      </c>
      <c r="C37" s="27" t="s">
        <v>231</v>
      </c>
      <c r="D37" s="16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1:17" ht="15.75" customHeight="1" x14ac:dyDescent="0.25">
      <c r="A38" s="9">
        <v>26</v>
      </c>
      <c r="B38" s="74" t="s">
        <v>4735</v>
      </c>
      <c r="C38" s="14" t="s">
        <v>232</v>
      </c>
      <c r="D38" s="16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spans="1:17" ht="15.75" customHeight="1" x14ac:dyDescent="0.25">
      <c r="A39" s="29">
        <v>27</v>
      </c>
      <c r="B39" s="10" t="s">
        <v>4736</v>
      </c>
      <c r="C39" s="27" t="s">
        <v>233</v>
      </c>
      <c r="D39" s="21"/>
      <c r="E39" s="15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spans="1:17" ht="15.75" customHeight="1" x14ac:dyDescent="0.25">
      <c r="A40" s="9">
        <v>28</v>
      </c>
      <c r="B40" s="10" t="s">
        <v>4737</v>
      </c>
      <c r="C40" s="27" t="s">
        <v>234</v>
      </c>
      <c r="D40" s="12"/>
      <c r="E40" s="12"/>
      <c r="F40" s="16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spans="1:17" ht="15.75" customHeight="1" x14ac:dyDescent="0.25">
      <c r="A41" s="29">
        <v>29</v>
      </c>
      <c r="B41" s="182" t="s">
        <v>4738</v>
      </c>
      <c r="C41" s="28" t="s">
        <v>235</v>
      </c>
      <c r="D41" s="15"/>
      <c r="E41" s="15"/>
      <c r="F41" s="21"/>
      <c r="G41" s="15"/>
      <c r="H41" s="15"/>
      <c r="I41" s="15"/>
      <c r="J41" s="15"/>
      <c r="K41" s="15"/>
      <c r="L41" s="15"/>
      <c r="M41" s="15"/>
      <c r="N41" s="12"/>
      <c r="O41" s="12"/>
      <c r="P41" s="12"/>
      <c r="Q41" s="12"/>
    </row>
    <row r="42" spans="1:17" ht="15.75" customHeight="1" x14ac:dyDescent="0.25">
      <c r="A42" s="69">
        <v>30</v>
      </c>
      <c r="B42" s="70" t="s">
        <v>4739</v>
      </c>
      <c r="C42" s="75" t="s">
        <v>236</v>
      </c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16"/>
      <c r="O42" s="12"/>
      <c r="P42" s="12"/>
      <c r="Q42" s="12"/>
    </row>
    <row r="43" spans="1:17" ht="15.75" customHeight="1" x14ac:dyDescent="0.25">
      <c r="A43" s="69">
        <v>31</v>
      </c>
      <c r="B43" s="70" t="s">
        <v>4740</v>
      </c>
      <c r="C43" s="75" t="s">
        <v>237</v>
      </c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16"/>
      <c r="O43" s="12"/>
      <c r="P43" s="12"/>
      <c r="Q43" s="12"/>
    </row>
    <row r="44" spans="1:17" ht="15.75" customHeight="1" x14ac:dyDescent="0.25">
      <c r="A44" s="69">
        <v>32</v>
      </c>
      <c r="B44" s="70" t="s">
        <v>4741</v>
      </c>
      <c r="C44" s="75" t="s">
        <v>238</v>
      </c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16"/>
      <c r="O44" s="12"/>
      <c r="P44" s="12"/>
      <c r="Q44" s="12"/>
    </row>
    <row r="45" spans="1:17" ht="15.75" customHeight="1" x14ac:dyDescent="0.25">
      <c r="A45" s="69">
        <v>33</v>
      </c>
      <c r="B45" s="71"/>
      <c r="C45" s="71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16"/>
      <c r="O45" s="12"/>
      <c r="P45" s="12"/>
      <c r="Q45" s="12"/>
    </row>
    <row r="46" spans="1:17" ht="15.75" customHeight="1" x14ac:dyDescent="0.25">
      <c r="A46" s="69">
        <v>34</v>
      </c>
      <c r="B46" s="70"/>
      <c r="C46" s="75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16"/>
      <c r="O46" s="12"/>
      <c r="P46" s="12"/>
      <c r="Q46" s="12"/>
    </row>
    <row r="47" spans="1:17" ht="15.75" customHeight="1" x14ac:dyDescent="0.25">
      <c r="A47" s="69">
        <v>35</v>
      </c>
      <c r="B47" s="70"/>
      <c r="C47" s="144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16"/>
      <c r="O47" s="12"/>
      <c r="P47" s="12"/>
      <c r="Q47" s="12"/>
    </row>
    <row r="48" spans="1:17" ht="15.75" customHeight="1" x14ac:dyDescent="0.25">
      <c r="A48" s="31">
        <v>36</v>
      </c>
      <c r="B48" s="17"/>
      <c r="C48" s="18"/>
      <c r="D48" s="32"/>
      <c r="E48" s="20"/>
      <c r="F48" s="20"/>
      <c r="G48" s="20"/>
      <c r="H48" s="20"/>
      <c r="I48" s="20"/>
      <c r="J48" s="20"/>
      <c r="K48" s="20"/>
      <c r="L48" s="20"/>
      <c r="M48" s="20"/>
      <c r="N48" s="12"/>
      <c r="O48" s="12"/>
      <c r="P48" s="12"/>
      <c r="Q48" s="12"/>
    </row>
    <row r="49" spans="1:17" ht="15.75" customHeight="1" x14ac:dyDescent="0.25">
      <c r="A49" s="2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 ht="15.75" customHeight="1" x14ac:dyDescent="0.25">
      <c r="A50" s="201" t="s">
        <v>50</v>
      </c>
      <c r="B50" s="185"/>
      <c r="C50" s="185"/>
      <c r="D50" s="185"/>
      <c r="E50" s="185"/>
      <c r="F50" s="185"/>
      <c r="G50" s="185"/>
      <c r="H50" s="185"/>
      <c r="I50" s="185"/>
      <c r="J50" s="185"/>
      <c r="K50" s="186"/>
      <c r="L50" s="202" t="s">
        <v>51</v>
      </c>
      <c r="M50" s="203"/>
      <c r="N50" s="203"/>
      <c r="O50" s="203"/>
      <c r="P50" s="203"/>
      <c r="Q50" s="204"/>
    </row>
    <row r="51" spans="1:17" ht="15.75" customHeight="1" x14ac:dyDescent="0.25">
      <c r="A51" s="8" t="s">
        <v>52</v>
      </c>
      <c r="B51" s="8" t="s">
        <v>53</v>
      </c>
      <c r="C51" s="23" t="s">
        <v>54</v>
      </c>
      <c r="D51" s="201" t="s">
        <v>55</v>
      </c>
      <c r="E51" s="185"/>
      <c r="F51" s="185"/>
      <c r="G51" s="185"/>
      <c r="H51" s="185"/>
      <c r="I51" s="185"/>
      <c r="J51" s="185"/>
      <c r="K51" s="186"/>
      <c r="L51" s="205"/>
      <c r="M51" s="206"/>
      <c r="N51" s="206"/>
      <c r="O51" s="206"/>
      <c r="P51" s="206"/>
      <c r="Q51" s="207"/>
    </row>
    <row r="52" spans="1:17" ht="15.75" customHeight="1" x14ac:dyDescent="0.3">
      <c r="A52" s="9">
        <v>1</v>
      </c>
      <c r="B52" s="12"/>
      <c r="C52" s="24" t="s">
        <v>56</v>
      </c>
      <c r="D52" s="184"/>
      <c r="E52" s="185"/>
      <c r="F52" s="185"/>
      <c r="G52" s="185"/>
      <c r="H52" s="185"/>
      <c r="I52" s="185"/>
      <c r="J52" s="185"/>
      <c r="K52" s="186"/>
      <c r="L52" s="9">
        <v>1</v>
      </c>
      <c r="M52" s="184"/>
      <c r="N52" s="185"/>
      <c r="O52" s="185"/>
      <c r="P52" s="185"/>
      <c r="Q52" s="186"/>
    </row>
    <row r="53" spans="1:17" ht="15.75" customHeight="1" x14ac:dyDescent="0.3">
      <c r="A53" s="9">
        <v>2</v>
      </c>
      <c r="B53" s="12"/>
      <c r="C53" s="24" t="s">
        <v>56</v>
      </c>
      <c r="D53" s="184"/>
      <c r="E53" s="185"/>
      <c r="F53" s="185"/>
      <c r="G53" s="185"/>
      <c r="H53" s="185"/>
      <c r="I53" s="185"/>
      <c r="J53" s="185"/>
      <c r="K53" s="186"/>
      <c r="L53" s="9">
        <v>2</v>
      </c>
      <c r="M53" s="184"/>
      <c r="N53" s="185"/>
      <c r="O53" s="185"/>
      <c r="P53" s="185"/>
      <c r="Q53" s="186"/>
    </row>
    <row r="54" spans="1:17" ht="15.75" customHeight="1" x14ac:dyDescent="0.3">
      <c r="A54" s="9">
        <v>3</v>
      </c>
      <c r="B54" s="12"/>
      <c r="C54" s="24" t="s">
        <v>56</v>
      </c>
      <c r="D54" s="184"/>
      <c r="E54" s="185"/>
      <c r="F54" s="185"/>
      <c r="G54" s="185"/>
      <c r="H54" s="185"/>
      <c r="I54" s="185"/>
      <c r="J54" s="185"/>
      <c r="K54" s="186"/>
      <c r="L54" s="9">
        <v>3</v>
      </c>
      <c r="M54" s="184"/>
      <c r="N54" s="185"/>
      <c r="O54" s="185"/>
      <c r="P54" s="185"/>
      <c r="Q54" s="186"/>
    </row>
    <row r="55" spans="1:17" ht="15.75" customHeight="1" x14ac:dyDescent="0.3">
      <c r="A55" s="9">
        <v>4</v>
      </c>
      <c r="B55" s="12"/>
      <c r="C55" s="24" t="s">
        <v>56</v>
      </c>
      <c r="D55" s="184"/>
      <c r="E55" s="185"/>
      <c r="F55" s="185"/>
      <c r="G55" s="185"/>
      <c r="H55" s="185"/>
      <c r="I55" s="185"/>
      <c r="J55" s="185"/>
      <c r="K55" s="186"/>
      <c r="L55" s="9">
        <v>4</v>
      </c>
      <c r="M55" s="184"/>
      <c r="N55" s="185"/>
      <c r="O55" s="185"/>
      <c r="P55" s="185"/>
      <c r="Q55" s="186"/>
    </row>
    <row r="56" spans="1:17" ht="15.75" customHeight="1" x14ac:dyDescent="0.3">
      <c r="A56" s="9">
        <v>5</v>
      </c>
      <c r="B56" s="12"/>
      <c r="C56" s="24" t="s">
        <v>56</v>
      </c>
      <c r="D56" s="184"/>
      <c r="E56" s="185"/>
      <c r="F56" s="185"/>
      <c r="G56" s="185"/>
      <c r="H56" s="185"/>
      <c r="I56" s="185"/>
      <c r="J56" s="185"/>
      <c r="K56" s="186"/>
      <c r="L56" s="9">
        <v>5</v>
      </c>
      <c r="M56" s="184"/>
      <c r="N56" s="185"/>
      <c r="O56" s="185"/>
      <c r="P56" s="185"/>
      <c r="Q56" s="186"/>
    </row>
    <row r="57" spans="1:17" ht="15.75" customHeight="1" x14ac:dyDescent="0.25">
      <c r="A57" s="25" t="s">
        <v>57</v>
      </c>
      <c r="K57" s="13" t="s">
        <v>58</v>
      </c>
    </row>
    <row r="58" spans="1:17" ht="16.5" customHeight="1" x14ac:dyDescent="0.25">
      <c r="A58" s="197" t="s">
        <v>59</v>
      </c>
      <c r="B58" s="190"/>
      <c r="C58" s="190"/>
      <c r="D58" s="190"/>
      <c r="E58" s="190"/>
      <c r="F58" s="190"/>
      <c r="G58" s="190"/>
      <c r="H58" s="190"/>
      <c r="K58" s="13" t="s">
        <v>60</v>
      </c>
    </row>
    <row r="59" spans="1:17" ht="15.75" customHeight="1" x14ac:dyDescent="0.25">
      <c r="A59" s="190"/>
      <c r="B59" s="190"/>
      <c r="C59" s="190"/>
      <c r="D59" s="190"/>
      <c r="E59" s="190"/>
      <c r="F59" s="190"/>
      <c r="G59" s="190"/>
      <c r="H59" s="190"/>
    </row>
    <row r="60" spans="1:17" ht="15.75" customHeight="1" x14ac:dyDescent="0.25">
      <c r="A60" s="198" t="s">
        <v>61</v>
      </c>
      <c r="B60" s="190"/>
      <c r="C60" s="190"/>
      <c r="D60" s="190"/>
      <c r="E60" s="190"/>
      <c r="F60" s="190"/>
      <c r="G60" s="190"/>
      <c r="H60" s="190"/>
    </row>
    <row r="61" spans="1:17" ht="15.75" customHeight="1" x14ac:dyDescent="0.25">
      <c r="A61" s="190"/>
      <c r="B61" s="190"/>
      <c r="C61" s="190"/>
      <c r="D61" s="190"/>
      <c r="E61" s="190"/>
      <c r="F61" s="190"/>
      <c r="G61" s="190"/>
      <c r="H61" s="190"/>
      <c r="K61" s="13" t="s">
        <v>62</v>
      </c>
    </row>
    <row r="62" spans="1:17" ht="15.75" customHeight="1" x14ac:dyDescent="0.25">
      <c r="A62" s="190"/>
      <c r="B62" s="190"/>
      <c r="C62" s="190"/>
      <c r="D62" s="190"/>
      <c r="E62" s="190"/>
      <c r="F62" s="190"/>
      <c r="G62" s="190"/>
      <c r="H62" s="190"/>
      <c r="K62" s="13" t="s">
        <v>63</v>
      </c>
    </row>
    <row r="63" spans="1:17" ht="15.75" customHeight="1" x14ac:dyDescent="0.25"/>
    <row r="64" spans="1:17" ht="15.75" customHeight="1" x14ac:dyDescent="0.25">
      <c r="A64" s="26" t="s">
        <v>5192</v>
      </c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7">
    <mergeCell ref="D56:K56"/>
    <mergeCell ref="M56:Q56"/>
    <mergeCell ref="A58:H59"/>
    <mergeCell ref="A60:H62"/>
    <mergeCell ref="A11:B11"/>
    <mergeCell ref="D11:H11"/>
    <mergeCell ref="A50:K50"/>
    <mergeCell ref="L50:Q51"/>
    <mergeCell ref="D51:K51"/>
    <mergeCell ref="D52:K52"/>
    <mergeCell ref="D53:K53"/>
    <mergeCell ref="M52:Q52"/>
    <mergeCell ref="M53:Q53"/>
    <mergeCell ref="D54:K54"/>
    <mergeCell ref="M54:Q54"/>
    <mergeCell ref="D55:K55"/>
    <mergeCell ref="M55:Q55"/>
    <mergeCell ref="I11:K11"/>
    <mergeCell ref="L11:P11"/>
    <mergeCell ref="M1:Q1"/>
    <mergeCell ref="M2:Q2"/>
    <mergeCell ref="A3:Q3"/>
    <mergeCell ref="A4:Q4"/>
    <mergeCell ref="A5:Q5"/>
    <mergeCell ref="A6:Q6"/>
    <mergeCell ref="C11:C12"/>
    <mergeCell ref="Q11:Q12"/>
  </mergeCells>
  <pageMargins left="0.59055118110236227" right="0.39370078740157483" top="0.43307086614173229" bottom="0.39370078740157483" header="0" footer="0"/>
  <pageSetup paperSize="10000" scale="83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Q1000"/>
  <sheetViews>
    <sheetView workbookViewId="0">
      <selection activeCell="C36" sqref="C36"/>
    </sheetView>
  </sheetViews>
  <sheetFormatPr defaultColWidth="14.42578125" defaultRowHeight="15" customHeight="1" x14ac:dyDescent="0.25"/>
  <cols>
    <col min="1" max="1" width="4.85546875" customWidth="1"/>
    <col min="2" max="2" width="8.7109375" customWidth="1"/>
    <col min="3" max="3" width="36" customWidth="1"/>
    <col min="4" max="8" width="3.5703125" customWidth="1"/>
    <col min="9" max="11" width="4.140625" customWidth="1"/>
    <col min="12" max="16" width="4.42578125" customWidth="1"/>
    <col min="17" max="17" width="5" customWidth="1"/>
    <col min="18" max="26" width="8.7109375" customWidth="1"/>
  </cols>
  <sheetData>
    <row r="1" spans="1:17" x14ac:dyDescent="0.25">
      <c r="M1" s="188" t="s">
        <v>0</v>
      </c>
      <c r="N1" s="185"/>
      <c r="O1" s="185"/>
      <c r="P1" s="185"/>
      <c r="Q1" s="186"/>
    </row>
    <row r="2" spans="1:17" x14ac:dyDescent="0.25">
      <c r="M2" s="188" t="s">
        <v>1</v>
      </c>
      <c r="N2" s="185"/>
      <c r="O2" s="185"/>
      <c r="P2" s="185"/>
      <c r="Q2" s="186"/>
    </row>
    <row r="3" spans="1:17" ht="15.75" x14ac:dyDescent="0.3">
      <c r="A3" s="189" t="s">
        <v>2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</row>
    <row r="4" spans="1:17" x14ac:dyDescent="0.25">
      <c r="A4" s="191" t="s">
        <v>3</v>
      </c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</row>
    <row r="5" spans="1:17" x14ac:dyDescent="0.25">
      <c r="A5" s="192" t="s">
        <v>4</v>
      </c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</row>
    <row r="6" spans="1:17" ht="15.75" x14ac:dyDescent="0.25">
      <c r="A6" s="193" t="s">
        <v>5185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</row>
    <row r="7" spans="1:17" ht="15.7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9.5" customHeight="1" x14ac:dyDescent="0.25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3"/>
      <c r="L8" s="2" t="s">
        <v>6</v>
      </c>
      <c r="M8" s="2"/>
      <c r="N8" s="2"/>
      <c r="O8" s="2"/>
      <c r="P8" s="2"/>
      <c r="Q8" s="2"/>
    </row>
    <row r="9" spans="1:17" ht="19.5" customHeight="1" x14ac:dyDescent="0.25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3"/>
      <c r="L9" s="4" t="s">
        <v>5140</v>
      </c>
      <c r="M9" s="2"/>
      <c r="N9" s="2"/>
      <c r="O9" s="2"/>
      <c r="P9" s="2"/>
      <c r="Q9" s="2"/>
    </row>
    <row r="10" spans="1:17" ht="19.5" customHeight="1" x14ac:dyDescent="0.25">
      <c r="A10" s="2" t="s">
        <v>8</v>
      </c>
      <c r="B10" s="2"/>
      <c r="C10" s="4" t="s">
        <v>4505</v>
      </c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</row>
    <row r="11" spans="1:17" ht="15" customHeight="1" x14ac:dyDescent="0.3">
      <c r="A11" s="199" t="s">
        <v>9</v>
      </c>
      <c r="B11" s="186"/>
      <c r="C11" s="194" t="s">
        <v>10</v>
      </c>
      <c r="D11" s="200" t="s">
        <v>11</v>
      </c>
      <c r="E11" s="185"/>
      <c r="F11" s="185"/>
      <c r="G11" s="185"/>
      <c r="H11" s="186"/>
      <c r="I11" s="187" t="s">
        <v>12</v>
      </c>
      <c r="J11" s="185"/>
      <c r="K11" s="186"/>
      <c r="L11" s="187" t="s">
        <v>13</v>
      </c>
      <c r="M11" s="185"/>
      <c r="N11" s="185"/>
      <c r="O11" s="185"/>
      <c r="P11" s="186"/>
      <c r="Q11" s="196" t="s">
        <v>14</v>
      </c>
    </row>
    <row r="12" spans="1:17" ht="15" customHeight="1" x14ac:dyDescent="0.3">
      <c r="A12" s="5" t="s">
        <v>15</v>
      </c>
      <c r="B12" s="5" t="s">
        <v>16</v>
      </c>
      <c r="C12" s="195"/>
      <c r="D12" s="6"/>
      <c r="E12" s="6"/>
      <c r="F12" s="6"/>
      <c r="G12" s="6"/>
      <c r="H12" s="6"/>
      <c r="I12" s="7" t="s">
        <v>17</v>
      </c>
      <c r="J12" s="7" t="s">
        <v>18</v>
      </c>
      <c r="K12" s="7" t="s">
        <v>19</v>
      </c>
      <c r="L12" s="8">
        <v>1</v>
      </c>
      <c r="M12" s="8">
        <v>2</v>
      </c>
      <c r="N12" s="8">
        <v>3</v>
      </c>
      <c r="O12" s="8">
        <v>4</v>
      </c>
      <c r="P12" s="8">
        <v>5</v>
      </c>
      <c r="Q12" s="195"/>
    </row>
    <row r="13" spans="1:17" x14ac:dyDescent="0.25">
      <c r="A13" s="9">
        <v>1</v>
      </c>
      <c r="B13" s="54" t="s">
        <v>4743</v>
      </c>
      <c r="C13" s="11" t="s">
        <v>240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25">
      <c r="A14" s="9">
        <v>2</v>
      </c>
      <c r="B14" s="54" t="s">
        <v>4744</v>
      </c>
      <c r="C14" s="11" t="s">
        <v>241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5">
      <c r="A15" s="9">
        <v>3</v>
      </c>
      <c r="B15" s="54" t="s">
        <v>4745</v>
      </c>
      <c r="C15" s="11" t="s">
        <v>242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9">
        <v>4</v>
      </c>
      <c r="B16" s="54" t="s">
        <v>4746</v>
      </c>
      <c r="C16" s="11" t="s">
        <v>243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x14ac:dyDescent="0.25">
      <c r="A17" s="9">
        <v>5</v>
      </c>
      <c r="B17" s="54" t="s">
        <v>4747</v>
      </c>
      <c r="C17" s="11" t="s">
        <v>244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x14ac:dyDescent="0.25">
      <c r="A18" s="9">
        <v>6</v>
      </c>
      <c r="B18" s="54" t="s">
        <v>4748</v>
      </c>
      <c r="C18" s="11" t="s">
        <v>245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x14ac:dyDescent="0.25">
      <c r="A19" s="9">
        <v>7</v>
      </c>
      <c r="B19" s="54" t="s">
        <v>4749</v>
      </c>
      <c r="C19" s="11" t="s">
        <v>246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x14ac:dyDescent="0.25">
      <c r="A20" s="9">
        <v>8</v>
      </c>
      <c r="B20" s="54" t="s">
        <v>4750</v>
      </c>
      <c r="C20" s="11" t="s">
        <v>247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15.75" customHeight="1" x14ac:dyDescent="0.25">
      <c r="A21" s="9">
        <v>9</v>
      </c>
      <c r="B21" s="54" t="s">
        <v>4751</v>
      </c>
      <c r="C21" s="11" t="s">
        <v>248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15.75" customHeight="1" x14ac:dyDescent="0.25">
      <c r="A22" s="9">
        <v>10</v>
      </c>
      <c r="B22" s="54" t="s">
        <v>4752</v>
      </c>
      <c r="C22" s="11" t="s">
        <v>5095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15.75" customHeight="1" x14ac:dyDescent="0.25">
      <c r="A23" s="9">
        <v>11</v>
      </c>
      <c r="B23" s="54" t="s">
        <v>4753</v>
      </c>
      <c r="C23" s="11" t="s">
        <v>249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ht="15.75" customHeight="1" x14ac:dyDescent="0.25">
      <c r="A24" s="9">
        <v>12</v>
      </c>
      <c r="B24" s="54" t="s">
        <v>4754</v>
      </c>
      <c r="C24" s="11" t="s">
        <v>250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15.75" customHeight="1" x14ac:dyDescent="0.25">
      <c r="A25" s="9">
        <v>13</v>
      </c>
      <c r="B25" s="54" t="s">
        <v>4755</v>
      </c>
      <c r="C25" s="11" t="s">
        <v>251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15.75" customHeight="1" x14ac:dyDescent="0.25">
      <c r="A26" s="9">
        <v>14</v>
      </c>
      <c r="B26" s="54" t="s">
        <v>4756</v>
      </c>
      <c r="C26" s="11" t="s">
        <v>252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ht="15.75" customHeight="1" x14ac:dyDescent="0.25">
      <c r="A27" s="9">
        <v>15</v>
      </c>
      <c r="B27" s="54" t="s">
        <v>4757</v>
      </c>
      <c r="C27" s="11" t="s">
        <v>253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ht="15.75" customHeight="1" x14ac:dyDescent="0.25">
      <c r="A28" s="9">
        <v>16</v>
      </c>
      <c r="B28" s="54" t="s">
        <v>4760</v>
      </c>
      <c r="C28" s="11" t="s">
        <v>255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ht="15.75" customHeight="1" x14ac:dyDescent="0.25">
      <c r="A29" s="9">
        <v>17</v>
      </c>
      <c r="B29" s="54" t="s">
        <v>4761</v>
      </c>
      <c r="C29" s="11" t="s">
        <v>256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15.75" customHeight="1" x14ac:dyDescent="0.25">
      <c r="A30" s="9">
        <v>18</v>
      </c>
      <c r="B30" s="54" t="s">
        <v>4762</v>
      </c>
      <c r="C30" s="35" t="s">
        <v>257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17" ht="15.75" customHeight="1" x14ac:dyDescent="0.25">
      <c r="A31" s="9">
        <v>19</v>
      </c>
      <c r="B31" s="54" t="s">
        <v>4763</v>
      </c>
      <c r="C31" s="11" t="s">
        <v>258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17" ht="15.75" customHeight="1" x14ac:dyDescent="0.25">
      <c r="A32" s="9">
        <v>20</v>
      </c>
      <c r="B32" s="54" t="s">
        <v>4764</v>
      </c>
      <c r="C32" s="11" t="s">
        <v>259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17" ht="15.75" customHeight="1" x14ac:dyDescent="0.25">
      <c r="A33" s="9">
        <v>21</v>
      </c>
      <c r="B33" s="54" t="s">
        <v>4765</v>
      </c>
      <c r="C33" s="11" t="s">
        <v>260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17" ht="15.75" customHeight="1" x14ac:dyDescent="0.25">
      <c r="A34" s="9">
        <v>22</v>
      </c>
      <c r="B34" s="54" t="s">
        <v>4766</v>
      </c>
      <c r="C34" s="11" t="s">
        <v>5094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17" ht="15.75" customHeight="1" x14ac:dyDescent="0.25">
      <c r="A35" s="9">
        <v>23</v>
      </c>
      <c r="B35" s="54" t="s">
        <v>4767</v>
      </c>
      <c r="C35" s="11" t="s">
        <v>261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1:17" ht="15.75" customHeight="1" x14ac:dyDescent="0.25">
      <c r="A36" s="9">
        <v>24</v>
      </c>
      <c r="B36" s="54" t="s">
        <v>4768</v>
      </c>
      <c r="C36" s="11" t="s">
        <v>262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17" ht="15.75" customHeight="1" x14ac:dyDescent="0.25">
      <c r="A37" s="9">
        <v>25</v>
      </c>
      <c r="B37" s="54" t="s">
        <v>4769</v>
      </c>
      <c r="C37" s="11" t="s">
        <v>263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1:17" ht="15.75" customHeight="1" x14ac:dyDescent="0.25">
      <c r="A38" s="9">
        <v>26</v>
      </c>
      <c r="B38" s="54" t="s">
        <v>4770</v>
      </c>
      <c r="C38" s="11" t="s">
        <v>264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spans="1:17" ht="15.75" customHeight="1" x14ac:dyDescent="0.25">
      <c r="A39" s="9">
        <v>27</v>
      </c>
      <c r="B39" s="54" t="s">
        <v>4771</v>
      </c>
      <c r="C39" s="11" t="s">
        <v>265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spans="1:17" ht="15.75" customHeight="1" x14ac:dyDescent="0.25">
      <c r="A40" s="29">
        <v>28</v>
      </c>
      <c r="B40" s="96" t="s">
        <v>4772</v>
      </c>
      <c r="C40" s="14" t="s">
        <v>266</v>
      </c>
      <c r="D40" s="15"/>
      <c r="E40" s="15"/>
      <c r="F40" s="15"/>
      <c r="G40" s="15"/>
      <c r="H40" s="15"/>
      <c r="I40" s="15"/>
      <c r="J40" s="12"/>
      <c r="K40" s="12"/>
      <c r="L40" s="12"/>
      <c r="M40" s="12"/>
      <c r="N40" s="12"/>
      <c r="O40" s="12"/>
      <c r="P40" s="12"/>
      <c r="Q40" s="12"/>
    </row>
    <row r="41" spans="1:17" ht="15.75" customHeight="1" x14ac:dyDescent="0.25">
      <c r="A41" s="69">
        <v>29</v>
      </c>
      <c r="B41" s="97" t="s">
        <v>4773</v>
      </c>
      <c r="C41" s="75" t="s">
        <v>267</v>
      </c>
      <c r="D41" s="68"/>
      <c r="E41" s="68"/>
      <c r="F41" s="68"/>
      <c r="G41" s="68"/>
      <c r="H41" s="68"/>
      <c r="I41" s="68"/>
      <c r="J41" s="16"/>
      <c r="K41" s="12"/>
      <c r="L41" s="12"/>
      <c r="M41" s="12"/>
      <c r="N41" s="12"/>
      <c r="O41" s="12"/>
      <c r="P41" s="12"/>
      <c r="Q41" s="12"/>
    </row>
    <row r="42" spans="1:17" ht="15.75" customHeight="1" x14ac:dyDescent="0.25">
      <c r="A42" s="69">
        <v>30</v>
      </c>
      <c r="B42" s="97" t="s">
        <v>4774</v>
      </c>
      <c r="C42" s="75" t="s">
        <v>268</v>
      </c>
      <c r="D42" s="68"/>
      <c r="E42" s="68"/>
      <c r="F42" s="68"/>
      <c r="G42" s="68"/>
      <c r="H42" s="68"/>
      <c r="I42" s="68"/>
      <c r="J42" s="16"/>
      <c r="K42" s="12"/>
      <c r="L42" s="12"/>
      <c r="M42" s="12"/>
      <c r="N42" s="12"/>
      <c r="O42" s="12"/>
      <c r="P42" s="12"/>
      <c r="Q42" s="12"/>
    </row>
    <row r="43" spans="1:17" ht="15.75" customHeight="1" x14ac:dyDescent="0.25">
      <c r="A43" s="69">
        <v>31</v>
      </c>
      <c r="B43" s="97" t="s">
        <v>4775</v>
      </c>
      <c r="C43" s="75" t="s">
        <v>269</v>
      </c>
      <c r="D43" s="68"/>
      <c r="E43" s="68"/>
      <c r="F43" s="68"/>
      <c r="G43" s="68"/>
      <c r="H43" s="68"/>
      <c r="I43" s="68"/>
      <c r="J43" s="16"/>
      <c r="K43" s="12"/>
      <c r="L43" s="12"/>
      <c r="M43" s="12"/>
      <c r="N43" s="12"/>
      <c r="O43" s="12"/>
      <c r="P43" s="12"/>
      <c r="Q43" s="12"/>
    </row>
    <row r="44" spans="1:17" ht="15.75" customHeight="1" x14ac:dyDescent="0.25">
      <c r="A44" s="69">
        <v>32</v>
      </c>
      <c r="B44" s="97" t="s">
        <v>4776</v>
      </c>
      <c r="C44" s="75" t="s">
        <v>270</v>
      </c>
      <c r="D44" s="68"/>
      <c r="E44" s="68"/>
      <c r="F44" s="68"/>
      <c r="G44" s="68"/>
      <c r="H44" s="68"/>
      <c r="I44" s="68"/>
      <c r="J44" s="16"/>
      <c r="K44" s="12"/>
      <c r="L44" s="12"/>
      <c r="M44" s="12"/>
      <c r="N44" s="12"/>
      <c r="O44" s="12"/>
      <c r="P44" s="12"/>
      <c r="Q44" s="12"/>
    </row>
    <row r="45" spans="1:17" ht="15.75" customHeight="1" x14ac:dyDescent="0.25">
      <c r="A45" s="69">
        <v>33</v>
      </c>
      <c r="B45" s="97" t="s">
        <v>4777</v>
      </c>
      <c r="C45" s="75" t="s">
        <v>271</v>
      </c>
      <c r="D45" s="68"/>
      <c r="E45" s="68"/>
      <c r="F45" s="68"/>
      <c r="G45" s="68"/>
      <c r="H45" s="68"/>
      <c r="I45" s="68"/>
      <c r="J45" s="16"/>
      <c r="K45" s="12"/>
      <c r="L45" s="12"/>
      <c r="M45" s="12"/>
      <c r="N45" s="12"/>
      <c r="O45" s="12"/>
      <c r="P45" s="12"/>
      <c r="Q45" s="12"/>
    </row>
    <row r="46" spans="1:17" ht="15.75" customHeight="1" x14ac:dyDescent="0.25">
      <c r="A46" s="69">
        <v>34</v>
      </c>
      <c r="B46" s="71"/>
      <c r="C46" s="71"/>
      <c r="D46" s="68"/>
      <c r="E46" s="68"/>
      <c r="F46" s="68"/>
      <c r="G46" s="68"/>
      <c r="H46" s="68"/>
      <c r="I46" s="68"/>
      <c r="J46" s="16"/>
      <c r="K46" s="12"/>
      <c r="L46" s="12"/>
      <c r="M46" s="12"/>
      <c r="N46" s="12"/>
      <c r="O46" s="12"/>
      <c r="P46" s="12"/>
      <c r="Q46" s="12"/>
    </row>
    <row r="47" spans="1:17" ht="15.75" customHeight="1" x14ac:dyDescent="0.25">
      <c r="A47" s="69">
        <v>35</v>
      </c>
      <c r="B47" s="71"/>
      <c r="C47" s="71"/>
      <c r="D47" s="68"/>
      <c r="E47" s="68"/>
      <c r="F47" s="68"/>
      <c r="G47" s="68"/>
      <c r="H47" s="68"/>
      <c r="I47" s="68"/>
      <c r="J47" s="16"/>
      <c r="K47" s="12"/>
      <c r="L47" s="12"/>
      <c r="M47" s="12"/>
      <c r="N47" s="12"/>
      <c r="O47" s="12"/>
      <c r="P47" s="12"/>
      <c r="Q47" s="12"/>
    </row>
    <row r="48" spans="1:17" ht="15.75" customHeight="1" x14ac:dyDescent="0.25">
      <c r="A48" s="114">
        <v>36</v>
      </c>
      <c r="B48" s="183"/>
      <c r="C48" s="183"/>
      <c r="D48" s="115"/>
      <c r="E48" s="115"/>
      <c r="F48" s="115"/>
      <c r="G48" s="115"/>
      <c r="H48" s="32"/>
      <c r="I48" s="20"/>
      <c r="J48" s="12"/>
      <c r="K48" s="12"/>
      <c r="L48" s="12"/>
      <c r="M48" s="12"/>
      <c r="N48" s="12"/>
      <c r="O48" s="12"/>
      <c r="P48" s="12"/>
      <c r="Q48" s="12"/>
    </row>
    <row r="49" spans="1:17" ht="15.75" customHeight="1" x14ac:dyDescent="0.25">
      <c r="A49" s="2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 ht="15.75" customHeight="1" x14ac:dyDescent="0.25">
      <c r="A50" s="201" t="s">
        <v>50</v>
      </c>
      <c r="B50" s="185"/>
      <c r="C50" s="185"/>
      <c r="D50" s="185"/>
      <c r="E50" s="185"/>
      <c r="F50" s="185"/>
      <c r="G50" s="185"/>
      <c r="H50" s="185"/>
      <c r="I50" s="185"/>
      <c r="J50" s="185"/>
      <c r="K50" s="186"/>
      <c r="L50" s="202" t="s">
        <v>51</v>
      </c>
      <c r="M50" s="203"/>
      <c r="N50" s="203"/>
      <c r="O50" s="203"/>
      <c r="P50" s="203"/>
      <c r="Q50" s="204"/>
    </row>
    <row r="51" spans="1:17" ht="15.75" customHeight="1" x14ac:dyDescent="0.25">
      <c r="A51" s="8" t="s">
        <v>52</v>
      </c>
      <c r="B51" s="8" t="s">
        <v>53</v>
      </c>
      <c r="C51" s="23" t="s">
        <v>54</v>
      </c>
      <c r="D51" s="201" t="s">
        <v>55</v>
      </c>
      <c r="E51" s="185"/>
      <c r="F51" s="185"/>
      <c r="G51" s="185"/>
      <c r="H51" s="185"/>
      <c r="I51" s="185"/>
      <c r="J51" s="185"/>
      <c r="K51" s="186"/>
      <c r="L51" s="205"/>
      <c r="M51" s="206"/>
      <c r="N51" s="206"/>
      <c r="O51" s="206"/>
      <c r="P51" s="206"/>
      <c r="Q51" s="207"/>
    </row>
    <row r="52" spans="1:17" ht="15.75" customHeight="1" x14ac:dyDescent="0.3">
      <c r="A52" s="9">
        <v>1</v>
      </c>
      <c r="B52" s="12"/>
      <c r="C52" s="24" t="s">
        <v>56</v>
      </c>
      <c r="D52" s="184"/>
      <c r="E52" s="185"/>
      <c r="F52" s="185"/>
      <c r="G52" s="185"/>
      <c r="H52" s="185"/>
      <c r="I52" s="185"/>
      <c r="J52" s="185"/>
      <c r="K52" s="186"/>
      <c r="L52" s="9">
        <v>1</v>
      </c>
      <c r="M52" s="184"/>
      <c r="N52" s="185"/>
      <c r="O52" s="185"/>
      <c r="P52" s="185"/>
      <c r="Q52" s="186"/>
    </row>
    <row r="53" spans="1:17" ht="15.75" customHeight="1" x14ac:dyDescent="0.3">
      <c r="A53" s="9">
        <v>2</v>
      </c>
      <c r="B53" s="12"/>
      <c r="C53" s="24" t="s">
        <v>56</v>
      </c>
      <c r="D53" s="184"/>
      <c r="E53" s="185"/>
      <c r="F53" s="185"/>
      <c r="G53" s="185"/>
      <c r="H53" s="185"/>
      <c r="I53" s="185"/>
      <c r="J53" s="185"/>
      <c r="K53" s="186"/>
      <c r="L53" s="9">
        <v>2</v>
      </c>
      <c r="M53" s="184"/>
      <c r="N53" s="185"/>
      <c r="O53" s="185"/>
      <c r="P53" s="185"/>
      <c r="Q53" s="186"/>
    </row>
    <row r="54" spans="1:17" ht="15.75" customHeight="1" x14ac:dyDescent="0.3">
      <c r="A54" s="9">
        <v>3</v>
      </c>
      <c r="B54" s="12"/>
      <c r="C54" s="24" t="s">
        <v>56</v>
      </c>
      <c r="D54" s="184"/>
      <c r="E54" s="185"/>
      <c r="F54" s="185"/>
      <c r="G54" s="185"/>
      <c r="H54" s="185"/>
      <c r="I54" s="185"/>
      <c r="J54" s="185"/>
      <c r="K54" s="186"/>
      <c r="L54" s="9">
        <v>3</v>
      </c>
      <c r="M54" s="184"/>
      <c r="N54" s="185"/>
      <c r="O54" s="185"/>
      <c r="P54" s="185"/>
      <c r="Q54" s="186"/>
    </row>
    <row r="55" spans="1:17" ht="15.75" customHeight="1" x14ac:dyDescent="0.3">
      <c r="A55" s="9">
        <v>4</v>
      </c>
      <c r="B55" s="12"/>
      <c r="C55" s="24" t="s">
        <v>56</v>
      </c>
      <c r="D55" s="184"/>
      <c r="E55" s="185"/>
      <c r="F55" s="185"/>
      <c r="G55" s="185"/>
      <c r="H55" s="185"/>
      <c r="I55" s="185"/>
      <c r="J55" s="185"/>
      <c r="K55" s="186"/>
      <c r="L55" s="9">
        <v>4</v>
      </c>
      <c r="M55" s="184"/>
      <c r="N55" s="185"/>
      <c r="O55" s="185"/>
      <c r="P55" s="185"/>
      <c r="Q55" s="186"/>
    </row>
    <row r="56" spans="1:17" ht="15.75" customHeight="1" x14ac:dyDescent="0.3">
      <c r="A56" s="9">
        <v>5</v>
      </c>
      <c r="B56" s="12"/>
      <c r="C56" s="24" t="s">
        <v>56</v>
      </c>
      <c r="D56" s="184"/>
      <c r="E56" s="185"/>
      <c r="F56" s="185"/>
      <c r="G56" s="185"/>
      <c r="H56" s="185"/>
      <c r="I56" s="185"/>
      <c r="J56" s="185"/>
      <c r="K56" s="186"/>
      <c r="L56" s="9">
        <v>5</v>
      </c>
      <c r="M56" s="184"/>
      <c r="N56" s="185"/>
      <c r="O56" s="185"/>
      <c r="P56" s="185"/>
      <c r="Q56" s="186"/>
    </row>
    <row r="57" spans="1:17" ht="15.75" customHeight="1" x14ac:dyDescent="0.25">
      <c r="A57" s="25" t="s">
        <v>57</v>
      </c>
      <c r="K57" s="13" t="s">
        <v>58</v>
      </c>
    </row>
    <row r="58" spans="1:17" ht="16.5" customHeight="1" x14ac:dyDescent="0.25">
      <c r="A58" s="197" t="s">
        <v>59</v>
      </c>
      <c r="B58" s="190"/>
      <c r="C58" s="190"/>
      <c r="D58" s="190"/>
      <c r="E58" s="190"/>
      <c r="F58" s="190"/>
      <c r="G58" s="190"/>
      <c r="H58" s="190"/>
      <c r="K58" s="13" t="s">
        <v>60</v>
      </c>
    </row>
    <row r="59" spans="1:17" ht="15.75" customHeight="1" x14ac:dyDescent="0.25">
      <c r="A59" s="190"/>
      <c r="B59" s="190"/>
      <c r="C59" s="190"/>
      <c r="D59" s="190"/>
      <c r="E59" s="190"/>
      <c r="F59" s="190"/>
      <c r="G59" s="190"/>
      <c r="H59" s="190"/>
    </row>
    <row r="60" spans="1:17" ht="15.75" customHeight="1" x14ac:dyDescent="0.25">
      <c r="A60" s="198" t="s">
        <v>61</v>
      </c>
      <c r="B60" s="190"/>
      <c r="C60" s="190"/>
      <c r="D60" s="190"/>
      <c r="E60" s="190"/>
      <c r="F60" s="190"/>
      <c r="G60" s="190"/>
      <c r="H60" s="190"/>
    </row>
    <row r="61" spans="1:17" ht="15.75" customHeight="1" x14ac:dyDescent="0.25">
      <c r="A61" s="190"/>
      <c r="B61" s="190"/>
      <c r="C61" s="190"/>
      <c r="D61" s="190"/>
      <c r="E61" s="190"/>
      <c r="F61" s="190"/>
      <c r="G61" s="190"/>
      <c r="H61" s="190"/>
      <c r="K61" s="13" t="s">
        <v>62</v>
      </c>
    </row>
    <row r="62" spans="1:17" ht="15.75" customHeight="1" x14ac:dyDescent="0.25">
      <c r="A62" s="190"/>
      <c r="B62" s="190"/>
      <c r="C62" s="190"/>
      <c r="D62" s="190"/>
      <c r="E62" s="190"/>
      <c r="F62" s="190"/>
      <c r="G62" s="190"/>
      <c r="H62" s="190"/>
      <c r="K62" s="13" t="s">
        <v>63</v>
      </c>
    </row>
    <row r="63" spans="1:17" ht="15.75" customHeight="1" x14ac:dyDescent="0.25"/>
    <row r="64" spans="1:17" ht="15.75" customHeight="1" x14ac:dyDescent="0.25">
      <c r="A64" s="26" t="s">
        <v>5195</v>
      </c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C13:C48">
    <sortCondition ref="C13:C48"/>
  </sortState>
  <mergeCells count="27">
    <mergeCell ref="D56:K56"/>
    <mergeCell ref="M56:Q56"/>
    <mergeCell ref="A58:H59"/>
    <mergeCell ref="A60:H62"/>
    <mergeCell ref="A11:B11"/>
    <mergeCell ref="D11:H11"/>
    <mergeCell ref="A50:K50"/>
    <mergeCell ref="L50:Q51"/>
    <mergeCell ref="D51:K51"/>
    <mergeCell ref="D52:K52"/>
    <mergeCell ref="D53:K53"/>
    <mergeCell ref="M52:Q52"/>
    <mergeCell ref="M53:Q53"/>
    <mergeCell ref="D54:K54"/>
    <mergeCell ref="M54:Q54"/>
    <mergeCell ref="D55:K55"/>
    <mergeCell ref="M55:Q55"/>
    <mergeCell ref="I11:K11"/>
    <mergeCell ref="L11:P11"/>
    <mergeCell ref="M1:Q1"/>
    <mergeCell ref="M2:Q2"/>
    <mergeCell ref="A3:Q3"/>
    <mergeCell ref="A4:Q4"/>
    <mergeCell ref="A5:Q5"/>
    <mergeCell ref="A6:Q6"/>
    <mergeCell ref="C11:C12"/>
    <mergeCell ref="Q11:Q12"/>
  </mergeCells>
  <pageMargins left="0.59055118110236227" right="0.39370078740157483" top="0.43307086614173229" bottom="0.39370078740157483" header="0" footer="0"/>
  <pageSetup paperSize="10000" scale="8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1:Q1000"/>
  <sheetViews>
    <sheetView workbookViewId="0">
      <selection activeCell="A7" sqref="A7"/>
    </sheetView>
  </sheetViews>
  <sheetFormatPr defaultColWidth="14.42578125" defaultRowHeight="15" customHeight="1" x14ac:dyDescent="0.25"/>
  <cols>
    <col min="1" max="1" width="4.85546875" customWidth="1"/>
    <col min="2" max="2" width="8.7109375" customWidth="1"/>
    <col min="3" max="3" width="37.42578125" customWidth="1"/>
    <col min="4" max="8" width="3.5703125" customWidth="1"/>
    <col min="9" max="11" width="4.140625" customWidth="1"/>
    <col min="12" max="16" width="4.42578125" customWidth="1"/>
    <col min="17" max="17" width="5" customWidth="1"/>
    <col min="18" max="26" width="8.7109375" customWidth="1"/>
  </cols>
  <sheetData>
    <row r="1" spans="1:17" x14ac:dyDescent="0.25">
      <c r="M1" s="188" t="s">
        <v>0</v>
      </c>
      <c r="N1" s="185"/>
      <c r="O1" s="185"/>
      <c r="P1" s="185"/>
      <c r="Q1" s="186"/>
    </row>
    <row r="2" spans="1:17" x14ac:dyDescent="0.25">
      <c r="M2" s="188" t="s">
        <v>1</v>
      </c>
      <c r="N2" s="185"/>
      <c r="O2" s="185"/>
      <c r="P2" s="185"/>
      <c r="Q2" s="186"/>
    </row>
    <row r="3" spans="1:17" ht="15.75" x14ac:dyDescent="0.3">
      <c r="A3" s="189" t="s">
        <v>2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</row>
    <row r="4" spans="1:17" x14ac:dyDescent="0.25">
      <c r="A4" s="191" t="s">
        <v>3</v>
      </c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</row>
    <row r="5" spans="1:17" x14ac:dyDescent="0.25">
      <c r="A5" s="192" t="s">
        <v>4</v>
      </c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</row>
    <row r="6" spans="1:17" ht="15.75" x14ac:dyDescent="0.25">
      <c r="A6" s="193" t="s">
        <v>5184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</row>
    <row r="7" spans="1:17" ht="15.7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9.5" customHeight="1" x14ac:dyDescent="0.25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3"/>
      <c r="L8" s="2" t="s">
        <v>6</v>
      </c>
      <c r="M8" s="2"/>
      <c r="N8" s="2"/>
      <c r="O8" s="2"/>
      <c r="P8" s="2"/>
      <c r="Q8" s="2"/>
    </row>
    <row r="9" spans="1:17" ht="19.5" customHeight="1" x14ac:dyDescent="0.25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3"/>
      <c r="L9" s="4" t="s">
        <v>5140</v>
      </c>
      <c r="M9" s="2"/>
      <c r="N9" s="2"/>
      <c r="O9" s="2"/>
      <c r="P9" s="2"/>
      <c r="Q9" s="2"/>
    </row>
    <row r="10" spans="1:17" ht="19.5" customHeight="1" x14ac:dyDescent="0.25">
      <c r="A10" s="2" t="s">
        <v>8</v>
      </c>
      <c r="B10" s="2"/>
      <c r="C10" s="4" t="s">
        <v>4506</v>
      </c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</row>
    <row r="11" spans="1:17" ht="15" customHeight="1" x14ac:dyDescent="0.3">
      <c r="A11" s="199" t="s">
        <v>9</v>
      </c>
      <c r="B11" s="186"/>
      <c r="C11" s="194" t="s">
        <v>10</v>
      </c>
      <c r="D11" s="200" t="s">
        <v>11</v>
      </c>
      <c r="E11" s="185"/>
      <c r="F11" s="185"/>
      <c r="G11" s="185"/>
      <c r="H11" s="186"/>
      <c r="I11" s="187" t="s">
        <v>12</v>
      </c>
      <c r="J11" s="185"/>
      <c r="K11" s="186"/>
      <c r="L11" s="187" t="s">
        <v>13</v>
      </c>
      <c r="M11" s="185"/>
      <c r="N11" s="185"/>
      <c r="O11" s="185"/>
      <c r="P11" s="186"/>
      <c r="Q11" s="196" t="s">
        <v>14</v>
      </c>
    </row>
    <row r="12" spans="1:17" ht="15" customHeight="1" x14ac:dyDescent="0.3">
      <c r="A12" s="5" t="s">
        <v>15</v>
      </c>
      <c r="B12" s="5" t="s">
        <v>16</v>
      </c>
      <c r="C12" s="208"/>
      <c r="D12" s="6"/>
      <c r="E12" s="6"/>
      <c r="F12" s="6"/>
      <c r="G12" s="6"/>
      <c r="H12" s="6"/>
      <c r="I12" s="7" t="s">
        <v>17</v>
      </c>
      <c r="J12" s="7" t="s">
        <v>18</v>
      </c>
      <c r="K12" s="7" t="s">
        <v>19</v>
      </c>
      <c r="L12" s="8">
        <v>1</v>
      </c>
      <c r="M12" s="8">
        <v>2</v>
      </c>
      <c r="N12" s="8">
        <v>3</v>
      </c>
      <c r="O12" s="8">
        <v>4</v>
      </c>
      <c r="P12" s="8">
        <v>5</v>
      </c>
      <c r="Q12" s="195"/>
    </row>
    <row r="13" spans="1:17" x14ac:dyDescent="0.25">
      <c r="A13" s="9">
        <v>1</v>
      </c>
      <c r="B13" s="10" t="s">
        <v>4778</v>
      </c>
      <c r="C13" s="30" t="s">
        <v>272</v>
      </c>
      <c r="D13" s="16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25">
      <c r="A14" s="9">
        <v>2</v>
      </c>
      <c r="B14" s="10" t="s">
        <v>4779</v>
      </c>
      <c r="C14" s="30" t="s">
        <v>273</v>
      </c>
      <c r="D14" s="16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5">
      <c r="A15" s="9">
        <v>3</v>
      </c>
      <c r="B15" s="10" t="s">
        <v>4780</v>
      </c>
      <c r="C15" s="30" t="s">
        <v>274</v>
      </c>
      <c r="D15" s="16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9">
        <v>4</v>
      </c>
      <c r="B16" s="10" t="s">
        <v>4781</v>
      </c>
      <c r="C16" s="30" t="s">
        <v>275</v>
      </c>
      <c r="D16" s="16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x14ac:dyDescent="0.25">
      <c r="A17" s="9">
        <v>5</v>
      </c>
      <c r="B17" s="10" t="s">
        <v>4782</v>
      </c>
      <c r="C17" s="30" t="s">
        <v>276</v>
      </c>
      <c r="D17" s="16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x14ac:dyDescent="0.25">
      <c r="A18" s="9">
        <v>6</v>
      </c>
      <c r="B18" s="10" t="s">
        <v>4783</v>
      </c>
      <c r="C18" s="30" t="s">
        <v>277</v>
      </c>
      <c r="D18" s="16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x14ac:dyDescent="0.25">
      <c r="A19" s="9">
        <v>7</v>
      </c>
      <c r="B19" s="10" t="s">
        <v>4784</v>
      </c>
      <c r="C19" s="30" t="s">
        <v>278</v>
      </c>
      <c r="D19" s="16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x14ac:dyDescent="0.25">
      <c r="A20" s="9">
        <v>8</v>
      </c>
      <c r="B20" s="10" t="s">
        <v>4785</v>
      </c>
      <c r="C20" s="30" t="s">
        <v>279</v>
      </c>
      <c r="D20" s="16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15.75" customHeight="1" x14ac:dyDescent="0.25">
      <c r="A21" s="9">
        <v>9</v>
      </c>
      <c r="B21" s="10" t="s">
        <v>4787</v>
      </c>
      <c r="C21" s="30" t="s">
        <v>281</v>
      </c>
      <c r="D21" s="16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15.75" customHeight="1" x14ac:dyDescent="0.25">
      <c r="A22" s="9">
        <v>10</v>
      </c>
      <c r="B22" s="10" t="s">
        <v>4788</v>
      </c>
      <c r="C22" s="30" t="s">
        <v>282</v>
      </c>
      <c r="D22" s="16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15.75" customHeight="1" x14ac:dyDescent="0.25">
      <c r="A23" s="9">
        <v>11</v>
      </c>
      <c r="B23" s="10" t="s">
        <v>4789</v>
      </c>
      <c r="C23" s="30" t="s">
        <v>283</v>
      </c>
      <c r="D23" s="16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ht="15.75" customHeight="1" x14ac:dyDescent="0.25">
      <c r="A24" s="9">
        <v>12</v>
      </c>
      <c r="B24" s="10" t="s">
        <v>4790</v>
      </c>
      <c r="C24" s="30" t="s">
        <v>284</v>
      </c>
      <c r="D24" s="16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15.75" customHeight="1" x14ac:dyDescent="0.25">
      <c r="A25" s="9">
        <v>13</v>
      </c>
      <c r="B25" s="10" t="s">
        <v>4791</v>
      </c>
      <c r="C25" s="30" t="s">
        <v>285</v>
      </c>
      <c r="D25" s="16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15.75" customHeight="1" x14ac:dyDescent="0.25">
      <c r="A26" s="9">
        <v>14</v>
      </c>
      <c r="B26" s="10" t="s">
        <v>4792</v>
      </c>
      <c r="C26" s="30" t="s">
        <v>286</v>
      </c>
      <c r="D26" s="16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ht="15.75" customHeight="1" x14ac:dyDescent="0.25">
      <c r="A27" s="9">
        <v>15</v>
      </c>
      <c r="B27" s="10" t="s">
        <v>4793</v>
      </c>
      <c r="C27" s="30" t="s">
        <v>287</v>
      </c>
      <c r="D27" s="16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ht="15.75" customHeight="1" x14ac:dyDescent="0.25">
      <c r="A28" s="9">
        <v>16</v>
      </c>
      <c r="B28" s="10" t="s">
        <v>4794</v>
      </c>
      <c r="C28" s="30" t="s">
        <v>288</v>
      </c>
      <c r="D28" s="16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ht="15.75" customHeight="1" x14ac:dyDescent="0.25">
      <c r="A29" s="9">
        <v>17</v>
      </c>
      <c r="B29" s="10" t="s">
        <v>4795</v>
      </c>
      <c r="C29" s="30" t="s">
        <v>289</v>
      </c>
      <c r="D29" s="16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15.75" customHeight="1" x14ac:dyDescent="0.25">
      <c r="A30" s="9">
        <v>18</v>
      </c>
      <c r="B30" s="10" t="s">
        <v>4796</v>
      </c>
      <c r="C30" s="30" t="s">
        <v>290</v>
      </c>
      <c r="D30" s="16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17" ht="15.75" customHeight="1" x14ac:dyDescent="0.25">
      <c r="A31" s="9">
        <v>19</v>
      </c>
      <c r="B31" s="10" t="s">
        <v>4797</v>
      </c>
      <c r="C31" s="30" t="s">
        <v>291</v>
      </c>
      <c r="D31" s="16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17" ht="15.75" customHeight="1" x14ac:dyDescent="0.25">
      <c r="A32" s="9">
        <v>20</v>
      </c>
      <c r="B32" s="10" t="s">
        <v>4798</v>
      </c>
      <c r="C32" s="30" t="s">
        <v>292</v>
      </c>
      <c r="D32" s="16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17" ht="15.75" customHeight="1" x14ac:dyDescent="0.25">
      <c r="A33" s="9">
        <v>21</v>
      </c>
      <c r="B33" s="10" t="s">
        <v>4800</v>
      </c>
      <c r="C33" s="30" t="s">
        <v>294</v>
      </c>
      <c r="D33" s="16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17" ht="15.75" customHeight="1" x14ac:dyDescent="0.25">
      <c r="A34" s="9">
        <v>22</v>
      </c>
      <c r="B34" s="10" t="s">
        <v>4801</v>
      </c>
      <c r="C34" s="30" t="s">
        <v>295</v>
      </c>
      <c r="D34" s="16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17" ht="15.75" customHeight="1" x14ac:dyDescent="0.25">
      <c r="A35" s="9">
        <v>23</v>
      </c>
      <c r="B35" s="10" t="s">
        <v>4802</v>
      </c>
      <c r="C35" s="30" t="s">
        <v>296</v>
      </c>
      <c r="D35" s="16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1:17" ht="15.75" customHeight="1" x14ac:dyDescent="0.25">
      <c r="A36" s="9">
        <v>24</v>
      </c>
      <c r="B36" s="10" t="s">
        <v>4803</v>
      </c>
      <c r="C36" s="30" t="s">
        <v>297</v>
      </c>
      <c r="D36" s="16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17" ht="15.75" customHeight="1" x14ac:dyDescent="0.25">
      <c r="A37" s="9">
        <v>25</v>
      </c>
      <c r="B37" s="168" t="s">
        <v>4804</v>
      </c>
      <c r="C37" s="163" t="s">
        <v>298</v>
      </c>
      <c r="D37" s="16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1:17" ht="15.75" customHeight="1" x14ac:dyDescent="0.25">
      <c r="A38" s="29">
        <v>26</v>
      </c>
      <c r="B38" s="142" t="s">
        <v>4805</v>
      </c>
      <c r="C38" s="170" t="s">
        <v>5093</v>
      </c>
      <c r="D38" s="21"/>
      <c r="E38" s="15"/>
      <c r="F38" s="15"/>
      <c r="G38" s="15"/>
      <c r="H38" s="15"/>
      <c r="I38" s="12"/>
      <c r="J38" s="12"/>
      <c r="K38" s="12"/>
      <c r="L38" s="12"/>
      <c r="M38" s="12"/>
      <c r="N38" s="12"/>
      <c r="O38" s="12"/>
      <c r="P38" s="12"/>
      <c r="Q38" s="12"/>
    </row>
    <row r="39" spans="1:17" ht="15.75" customHeight="1" x14ac:dyDescent="0.25">
      <c r="A39" s="69">
        <v>27</v>
      </c>
      <c r="B39" s="70" t="s">
        <v>4806</v>
      </c>
      <c r="C39" s="162" t="s">
        <v>299</v>
      </c>
      <c r="D39" s="68"/>
      <c r="E39" s="68"/>
      <c r="F39" s="68"/>
      <c r="G39" s="68"/>
      <c r="H39" s="68"/>
      <c r="I39" s="16"/>
      <c r="J39" s="12"/>
      <c r="K39" s="12"/>
      <c r="L39" s="12"/>
      <c r="M39" s="12"/>
      <c r="N39" s="12"/>
      <c r="O39" s="12"/>
      <c r="P39" s="12"/>
      <c r="Q39" s="12"/>
    </row>
    <row r="40" spans="1:17" ht="15.75" customHeight="1" x14ac:dyDescent="0.25">
      <c r="A40" s="69">
        <v>28</v>
      </c>
      <c r="B40" s="70" t="s">
        <v>4807</v>
      </c>
      <c r="C40" s="162" t="s">
        <v>300</v>
      </c>
      <c r="D40" s="68"/>
      <c r="E40" s="68"/>
      <c r="F40" s="68"/>
      <c r="G40" s="68"/>
      <c r="H40" s="68"/>
      <c r="I40" s="16"/>
      <c r="J40" s="12"/>
      <c r="K40" s="12"/>
      <c r="L40" s="12"/>
      <c r="M40" s="12"/>
      <c r="N40" s="12"/>
      <c r="O40" s="12"/>
      <c r="P40" s="12"/>
      <c r="Q40" s="12"/>
    </row>
    <row r="41" spans="1:17" ht="15.75" customHeight="1" x14ac:dyDescent="0.25">
      <c r="A41" s="69">
        <v>29</v>
      </c>
      <c r="B41" s="70" t="s">
        <v>4809</v>
      </c>
      <c r="C41" s="162" t="s">
        <v>302</v>
      </c>
      <c r="D41" s="68"/>
      <c r="E41" s="68"/>
      <c r="F41" s="68"/>
      <c r="G41" s="68"/>
      <c r="H41" s="68"/>
      <c r="I41" s="16"/>
      <c r="J41" s="12"/>
      <c r="K41" s="12"/>
      <c r="L41" s="12"/>
      <c r="M41" s="12"/>
      <c r="N41" s="12"/>
      <c r="O41" s="12"/>
      <c r="P41" s="12"/>
      <c r="Q41" s="12"/>
    </row>
    <row r="42" spans="1:17" ht="15.75" customHeight="1" x14ac:dyDescent="0.25">
      <c r="A42" s="69">
        <v>30</v>
      </c>
      <c r="B42" s="71"/>
      <c r="C42" s="71"/>
      <c r="D42" s="68"/>
      <c r="E42" s="68"/>
      <c r="F42" s="68"/>
      <c r="G42" s="68"/>
      <c r="H42" s="68"/>
      <c r="I42" s="16"/>
      <c r="J42" s="12"/>
      <c r="K42" s="12"/>
      <c r="L42" s="12"/>
      <c r="M42" s="12"/>
      <c r="N42" s="12"/>
      <c r="O42" s="12"/>
      <c r="P42" s="12"/>
      <c r="Q42" s="12"/>
    </row>
    <row r="43" spans="1:17" ht="15.75" customHeight="1" x14ac:dyDescent="0.25">
      <c r="A43" s="69">
        <v>31</v>
      </c>
      <c r="B43" s="71"/>
      <c r="C43" s="71"/>
      <c r="D43" s="68"/>
      <c r="E43" s="68"/>
      <c r="F43" s="68"/>
      <c r="G43" s="68"/>
      <c r="H43" s="68"/>
      <c r="I43" s="16"/>
      <c r="J43" s="12"/>
      <c r="K43" s="12"/>
      <c r="L43" s="12"/>
      <c r="M43" s="12"/>
      <c r="N43" s="12"/>
      <c r="O43" s="12"/>
      <c r="P43" s="12"/>
      <c r="Q43" s="12"/>
    </row>
    <row r="44" spans="1:17" ht="15.75" customHeight="1" x14ac:dyDescent="0.25">
      <c r="A44" s="69">
        <v>32</v>
      </c>
      <c r="B44" s="71"/>
      <c r="C44" s="71"/>
      <c r="D44" s="68"/>
      <c r="E44" s="68"/>
      <c r="F44" s="68"/>
      <c r="G44" s="68"/>
      <c r="H44" s="68"/>
      <c r="I44" s="16"/>
      <c r="J44" s="12"/>
      <c r="K44" s="12"/>
      <c r="L44" s="12"/>
      <c r="M44" s="12"/>
      <c r="N44" s="12"/>
      <c r="O44" s="12"/>
      <c r="P44" s="12"/>
      <c r="Q44" s="12"/>
    </row>
    <row r="45" spans="1:17" ht="15.75" customHeight="1" x14ac:dyDescent="0.25">
      <c r="A45" s="69">
        <v>33</v>
      </c>
      <c r="B45" s="71"/>
      <c r="C45" s="71"/>
      <c r="D45" s="68"/>
      <c r="E45" s="68"/>
      <c r="F45" s="68"/>
      <c r="G45" s="68"/>
      <c r="H45" s="68"/>
      <c r="I45" s="16"/>
      <c r="J45" s="12"/>
      <c r="K45" s="12"/>
      <c r="L45" s="12"/>
      <c r="M45" s="12"/>
      <c r="N45" s="12"/>
      <c r="O45" s="12"/>
      <c r="P45" s="12"/>
      <c r="Q45" s="12"/>
    </row>
    <row r="46" spans="1:17" ht="15.75" customHeight="1" x14ac:dyDescent="0.25">
      <c r="A46" s="69">
        <v>34</v>
      </c>
      <c r="B46" s="70"/>
      <c r="C46" s="162"/>
      <c r="D46" s="68"/>
      <c r="E46" s="68"/>
      <c r="F46" s="68"/>
      <c r="G46" s="68"/>
      <c r="H46" s="68"/>
      <c r="I46" s="16"/>
      <c r="J46" s="12"/>
      <c r="K46" s="12"/>
      <c r="L46" s="12"/>
      <c r="M46" s="12"/>
      <c r="N46" s="12"/>
      <c r="O46" s="12"/>
      <c r="P46" s="12"/>
      <c r="Q46" s="12"/>
    </row>
    <row r="47" spans="1:17" ht="15.75" customHeight="1" x14ac:dyDescent="0.25">
      <c r="A47" s="69">
        <v>35</v>
      </c>
      <c r="B47" s="70"/>
      <c r="C47" s="162"/>
      <c r="D47" s="68"/>
      <c r="E47" s="68"/>
      <c r="F47" s="68"/>
      <c r="G47" s="68"/>
      <c r="H47" s="68"/>
      <c r="I47" s="16"/>
      <c r="J47" s="12"/>
      <c r="K47" s="12"/>
      <c r="L47" s="12"/>
      <c r="M47" s="12"/>
      <c r="N47" s="12"/>
      <c r="O47" s="12"/>
      <c r="P47" s="12"/>
      <c r="Q47" s="12"/>
    </row>
    <row r="48" spans="1:17" ht="15.75" customHeight="1" x14ac:dyDescent="0.25">
      <c r="A48" s="31">
        <v>36</v>
      </c>
      <c r="B48" s="31"/>
      <c r="C48" s="18"/>
      <c r="D48" s="20"/>
      <c r="E48" s="20"/>
      <c r="F48" s="20"/>
      <c r="G48" s="20"/>
      <c r="H48" s="20"/>
      <c r="I48" s="12"/>
      <c r="J48" s="12"/>
      <c r="K48" s="12"/>
      <c r="L48" s="12"/>
      <c r="M48" s="12"/>
      <c r="N48" s="12"/>
      <c r="O48" s="12"/>
      <c r="P48" s="12"/>
      <c r="Q48" s="12"/>
    </row>
    <row r="49" spans="1:17" ht="15.75" customHeight="1" x14ac:dyDescent="0.25">
      <c r="A49" s="2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 ht="15.75" customHeight="1" x14ac:dyDescent="0.25">
      <c r="A50" s="201" t="s">
        <v>50</v>
      </c>
      <c r="B50" s="185"/>
      <c r="C50" s="185"/>
      <c r="D50" s="185"/>
      <c r="E50" s="185"/>
      <c r="F50" s="185"/>
      <c r="G50" s="185"/>
      <c r="H50" s="185"/>
      <c r="I50" s="185"/>
      <c r="J50" s="185"/>
      <c r="K50" s="186"/>
      <c r="L50" s="202" t="s">
        <v>51</v>
      </c>
      <c r="M50" s="203"/>
      <c r="N50" s="203"/>
      <c r="O50" s="203"/>
      <c r="P50" s="203"/>
      <c r="Q50" s="204"/>
    </row>
    <row r="51" spans="1:17" ht="15.75" customHeight="1" x14ac:dyDescent="0.25">
      <c r="A51" s="8" t="s">
        <v>52</v>
      </c>
      <c r="B51" s="8" t="s">
        <v>53</v>
      </c>
      <c r="C51" s="23" t="s">
        <v>54</v>
      </c>
      <c r="D51" s="201" t="s">
        <v>55</v>
      </c>
      <c r="E51" s="185"/>
      <c r="F51" s="185"/>
      <c r="G51" s="185"/>
      <c r="H51" s="185"/>
      <c r="I51" s="185"/>
      <c r="J51" s="185"/>
      <c r="K51" s="186"/>
      <c r="L51" s="205"/>
      <c r="M51" s="206"/>
      <c r="N51" s="206"/>
      <c r="O51" s="206"/>
      <c r="P51" s="206"/>
      <c r="Q51" s="207"/>
    </row>
    <row r="52" spans="1:17" ht="15.75" customHeight="1" x14ac:dyDescent="0.3">
      <c r="A52" s="9">
        <v>1</v>
      </c>
      <c r="B52" s="12"/>
      <c r="C52" s="24" t="s">
        <v>56</v>
      </c>
      <c r="D52" s="184"/>
      <c r="E52" s="185"/>
      <c r="F52" s="185"/>
      <c r="G52" s="185"/>
      <c r="H52" s="185"/>
      <c r="I52" s="185"/>
      <c r="J52" s="185"/>
      <c r="K52" s="186"/>
      <c r="L52" s="9">
        <v>1</v>
      </c>
      <c r="M52" s="184"/>
      <c r="N52" s="185"/>
      <c r="O52" s="185"/>
      <c r="P52" s="185"/>
      <c r="Q52" s="186"/>
    </row>
    <row r="53" spans="1:17" ht="15.75" customHeight="1" x14ac:dyDescent="0.3">
      <c r="A53" s="9">
        <v>2</v>
      </c>
      <c r="B53" s="12"/>
      <c r="C53" s="24" t="s">
        <v>56</v>
      </c>
      <c r="D53" s="184"/>
      <c r="E53" s="185"/>
      <c r="F53" s="185"/>
      <c r="G53" s="185"/>
      <c r="H53" s="185"/>
      <c r="I53" s="185"/>
      <c r="J53" s="185"/>
      <c r="K53" s="186"/>
      <c r="L53" s="9">
        <v>2</v>
      </c>
      <c r="M53" s="184"/>
      <c r="N53" s="185"/>
      <c r="O53" s="185"/>
      <c r="P53" s="185"/>
      <c r="Q53" s="186"/>
    </row>
    <row r="54" spans="1:17" ht="15.75" customHeight="1" x14ac:dyDescent="0.3">
      <c r="A54" s="9">
        <v>3</v>
      </c>
      <c r="B54" s="12"/>
      <c r="C54" s="24" t="s">
        <v>56</v>
      </c>
      <c r="D54" s="184"/>
      <c r="E54" s="185"/>
      <c r="F54" s="185"/>
      <c r="G54" s="185"/>
      <c r="H54" s="185"/>
      <c r="I54" s="185"/>
      <c r="J54" s="185"/>
      <c r="K54" s="186"/>
      <c r="L54" s="9">
        <v>3</v>
      </c>
      <c r="M54" s="184"/>
      <c r="N54" s="185"/>
      <c r="O54" s="185"/>
      <c r="P54" s="185"/>
      <c r="Q54" s="186"/>
    </row>
    <row r="55" spans="1:17" ht="15.75" customHeight="1" x14ac:dyDescent="0.3">
      <c r="A55" s="9">
        <v>4</v>
      </c>
      <c r="B55" s="12"/>
      <c r="C55" s="24" t="s">
        <v>56</v>
      </c>
      <c r="D55" s="184"/>
      <c r="E55" s="185"/>
      <c r="F55" s="185"/>
      <c r="G55" s="185"/>
      <c r="H55" s="185"/>
      <c r="I55" s="185"/>
      <c r="J55" s="185"/>
      <c r="K55" s="186"/>
      <c r="L55" s="9">
        <v>4</v>
      </c>
      <c r="M55" s="184"/>
      <c r="N55" s="185"/>
      <c r="O55" s="185"/>
      <c r="P55" s="185"/>
      <c r="Q55" s="186"/>
    </row>
    <row r="56" spans="1:17" ht="15.75" customHeight="1" x14ac:dyDescent="0.3">
      <c r="A56" s="9">
        <v>5</v>
      </c>
      <c r="B56" s="12"/>
      <c r="C56" s="24" t="s">
        <v>56</v>
      </c>
      <c r="D56" s="184"/>
      <c r="E56" s="185"/>
      <c r="F56" s="185"/>
      <c r="G56" s="185"/>
      <c r="H56" s="185"/>
      <c r="I56" s="185"/>
      <c r="J56" s="185"/>
      <c r="K56" s="186"/>
      <c r="L56" s="9">
        <v>5</v>
      </c>
      <c r="M56" s="184"/>
      <c r="N56" s="185"/>
      <c r="O56" s="185"/>
      <c r="P56" s="185"/>
      <c r="Q56" s="186"/>
    </row>
    <row r="57" spans="1:17" ht="15.75" customHeight="1" x14ac:dyDescent="0.25">
      <c r="A57" s="25" t="s">
        <v>57</v>
      </c>
      <c r="K57" s="13" t="s">
        <v>58</v>
      </c>
    </row>
    <row r="58" spans="1:17" ht="16.5" customHeight="1" x14ac:dyDescent="0.25">
      <c r="A58" s="197" t="s">
        <v>59</v>
      </c>
      <c r="B58" s="190"/>
      <c r="C58" s="190"/>
      <c r="D58" s="190"/>
      <c r="E58" s="190"/>
      <c r="F58" s="190"/>
      <c r="G58" s="190"/>
      <c r="H58" s="190"/>
      <c r="K58" s="13" t="s">
        <v>60</v>
      </c>
    </row>
    <row r="59" spans="1:17" ht="15.75" customHeight="1" x14ac:dyDescent="0.25">
      <c r="A59" s="190"/>
      <c r="B59" s="190"/>
      <c r="C59" s="190"/>
      <c r="D59" s="190"/>
      <c r="E59" s="190"/>
      <c r="F59" s="190"/>
      <c r="G59" s="190"/>
      <c r="H59" s="190"/>
    </row>
    <row r="60" spans="1:17" ht="15.75" customHeight="1" x14ac:dyDescent="0.25">
      <c r="A60" s="198" t="s">
        <v>61</v>
      </c>
      <c r="B60" s="190"/>
      <c r="C60" s="190"/>
      <c r="D60" s="190"/>
      <c r="E60" s="190"/>
      <c r="F60" s="190"/>
      <c r="G60" s="190"/>
      <c r="H60" s="190"/>
    </row>
    <row r="61" spans="1:17" ht="15.75" customHeight="1" x14ac:dyDescent="0.25">
      <c r="A61" s="190"/>
      <c r="B61" s="190"/>
      <c r="C61" s="190"/>
      <c r="D61" s="190"/>
      <c r="E61" s="190"/>
      <c r="F61" s="190"/>
      <c r="G61" s="190"/>
      <c r="H61" s="190"/>
      <c r="K61" s="13" t="s">
        <v>62</v>
      </c>
    </row>
    <row r="62" spans="1:17" ht="15.75" customHeight="1" x14ac:dyDescent="0.25">
      <c r="A62" s="190"/>
      <c r="B62" s="190"/>
      <c r="C62" s="190"/>
      <c r="D62" s="190"/>
      <c r="E62" s="190"/>
      <c r="F62" s="190"/>
      <c r="G62" s="190"/>
      <c r="H62" s="190"/>
      <c r="K62" s="13" t="s">
        <v>63</v>
      </c>
    </row>
    <row r="63" spans="1:17" ht="15.75" customHeight="1" x14ac:dyDescent="0.25"/>
    <row r="64" spans="1:17" ht="15.75" customHeight="1" x14ac:dyDescent="0.25">
      <c r="A64" s="26" t="s">
        <v>5137</v>
      </c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7">
    <mergeCell ref="D56:K56"/>
    <mergeCell ref="M56:Q56"/>
    <mergeCell ref="A58:H59"/>
    <mergeCell ref="A60:H62"/>
    <mergeCell ref="A11:B11"/>
    <mergeCell ref="D11:H11"/>
    <mergeCell ref="A50:K50"/>
    <mergeCell ref="L50:Q51"/>
    <mergeCell ref="D51:K51"/>
    <mergeCell ref="D52:K52"/>
    <mergeCell ref="D53:K53"/>
    <mergeCell ref="M52:Q52"/>
    <mergeCell ref="M53:Q53"/>
    <mergeCell ref="D54:K54"/>
    <mergeCell ref="M54:Q54"/>
    <mergeCell ref="D55:K55"/>
    <mergeCell ref="M55:Q55"/>
    <mergeCell ref="I11:K11"/>
    <mergeCell ref="L11:P11"/>
    <mergeCell ref="M1:Q1"/>
    <mergeCell ref="M2:Q2"/>
    <mergeCell ref="A3:Q3"/>
    <mergeCell ref="A4:Q4"/>
    <mergeCell ref="A5:Q5"/>
    <mergeCell ref="A6:Q6"/>
    <mergeCell ref="C11:C12"/>
    <mergeCell ref="Q11:Q12"/>
  </mergeCells>
  <pageMargins left="0.59055118110236227" right="0.39370078740157483" top="0.43307086614173229" bottom="0.39370078740157483" header="0" footer="0"/>
  <pageSetup paperSize="10000" scale="86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6DDE8"/>
    <pageSetUpPr fitToPage="1"/>
  </sheetPr>
  <dimension ref="A1:Z1001"/>
  <sheetViews>
    <sheetView workbookViewId="0">
      <selection activeCell="A7" sqref="A7"/>
    </sheetView>
  </sheetViews>
  <sheetFormatPr defaultColWidth="14.42578125" defaultRowHeight="15" customHeight="1" x14ac:dyDescent="0.25"/>
  <cols>
    <col min="1" max="1" width="4.85546875" customWidth="1"/>
    <col min="2" max="2" width="8.7109375" customWidth="1"/>
    <col min="3" max="3" width="39.28515625" customWidth="1"/>
    <col min="4" max="8" width="3.5703125" customWidth="1"/>
    <col min="9" max="11" width="4.140625" customWidth="1"/>
    <col min="12" max="16" width="4.42578125" customWidth="1"/>
    <col min="17" max="17" width="5" customWidth="1"/>
    <col min="18" max="26" width="8.7109375" customWidth="1"/>
  </cols>
  <sheetData>
    <row r="1" spans="1:17" x14ac:dyDescent="0.25">
      <c r="M1" s="188" t="s">
        <v>0</v>
      </c>
      <c r="N1" s="185"/>
      <c r="O1" s="185"/>
      <c r="P1" s="185"/>
      <c r="Q1" s="186"/>
    </row>
    <row r="2" spans="1:17" x14ac:dyDescent="0.25">
      <c r="M2" s="188" t="s">
        <v>1</v>
      </c>
      <c r="N2" s="185"/>
      <c r="O2" s="185"/>
      <c r="P2" s="185"/>
      <c r="Q2" s="186"/>
    </row>
    <row r="3" spans="1:17" ht="15.75" x14ac:dyDescent="0.3">
      <c r="A3" s="189" t="s">
        <v>2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</row>
    <row r="4" spans="1:17" x14ac:dyDescent="0.25">
      <c r="A4" s="191" t="s">
        <v>3</v>
      </c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</row>
    <row r="5" spans="1:17" x14ac:dyDescent="0.25">
      <c r="A5" s="192" t="s">
        <v>4</v>
      </c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</row>
    <row r="6" spans="1:17" ht="15.75" x14ac:dyDescent="0.25">
      <c r="A6" s="193" t="s">
        <v>5183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</row>
    <row r="7" spans="1:17" ht="15.7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9.5" customHeight="1" x14ac:dyDescent="0.25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3"/>
      <c r="L8" s="2" t="s">
        <v>6</v>
      </c>
      <c r="M8" s="2"/>
      <c r="N8" s="2"/>
      <c r="O8" s="2"/>
      <c r="P8" s="2"/>
      <c r="Q8" s="2"/>
    </row>
    <row r="9" spans="1:17" ht="19.5" customHeight="1" x14ac:dyDescent="0.25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3"/>
      <c r="L9" s="4" t="s">
        <v>5140</v>
      </c>
      <c r="M9" s="2"/>
      <c r="N9" s="2"/>
      <c r="O9" s="2"/>
      <c r="P9" s="2"/>
      <c r="Q9" s="2"/>
    </row>
    <row r="10" spans="1:17" ht="19.5" customHeight="1" x14ac:dyDescent="0.25">
      <c r="A10" s="2" t="s">
        <v>8</v>
      </c>
      <c r="B10" s="2"/>
      <c r="C10" s="4" t="s">
        <v>4507</v>
      </c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</row>
    <row r="11" spans="1:17" ht="15" customHeight="1" x14ac:dyDescent="0.3">
      <c r="A11" s="199" t="s">
        <v>9</v>
      </c>
      <c r="B11" s="186"/>
      <c r="C11" s="194" t="s">
        <v>10</v>
      </c>
      <c r="D11" s="200" t="s">
        <v>11</v>
      </c>
      <c r="E11" s="185"/>
      <c r="F11" s="185"/>
      <c r="G11" s="185"/>
      <c r="H11" s="186"/>
      <c r="I11" s="187" t="s">
        <v>12</v>
      </c>
      <c r="J11" s="185"/>
      <c r="K11" s="186"/>
      <c r="L11" s="187" t="s">
        <v>13</v>
      </c>
      <c r="M11" s="185"/>
      <c r="N11" s="185"/>
      <c r="O11" s="185"/>
      <c r="P11" s="186"/>
      <c r="Q11" s="196" t="s">
        <v>14</v>
      </c>
    </row>
    <row r="12" spans="1:17" ht="15" customHeight="1" x14ac:dyDescent="0.3">
      <c r="A12" s="5" t="s">
        <v>15</v>
      </c>
      <c r="B12" s="5" t="s">
        <v>16</v>
      </c>
      <c r="C12" s="208"/>
      <c r="D12" s="6"/>
      <c r="E12" s="6"/>
      <c r="F12" s="6"/>
      <c r="G12" s="6"/>
      <c r="H12" s="6"/>
      <c r="I12" s="7" t="s">
        <v>17</v>
      </c>
      <c r="J12" s="7" t="s">
        <v>18</v>
      </c>
      <c r="K12" s="7" t="s">
        <v>19</v>
      </c>
      <c r="L12" s="8">
        <v>1</v>
      </c>
      <c r="M12" s="8">
        <v>2</v>
      </c>
      <c r="N12" s="8">
        <v>3</v>
      </c>
      <c r="O12" s="8">
        <v>4</v>
      </c>
      <c r="P12" s="8">
        <v>5</v>
      </c>
      <c r="Q12" s="195"/>
    </row>
    <row r="13" spans="1:17" x14ac:dyDescent="0.25">
      <c r="A13" s="9">
        <v>1</v>
      </c>
      <c r="B13" s="54" t="s">
        <v>4811</v>
      </c>
      <c r="C13" s="11" t="s">
        <v>304</v>
      </c>
      <c r="D13" s="16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25">
      <c r="A14" s="29">
        <v>2</v>
      </c>
      <c r="B14" s="54" t="s">
        <v>4814</v>
      </c>
      <c r="C14" s="11" t="s">
        <v>306</v>
      </c>
      <c r="D14" s="2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5">
      <c r="A15" s="9">
        <v>3</v>
      </c>
      <c r="B15" s="54" t="s">
        <v>4815</v>
      </c>
      <c r="C15" s="11" t="s">
        <v>307</v>
      </c>
      <c r="D15" s="12"/>
      <c r="E15" s="16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29">
        <v>4</v>
      </c>
      <c r="B16" s="54" t="s">
        <v>4816</v>
      </c>
      <c r="C16" s="67" t="s">
        <v>4524</v>
      </c>
      <c r="D16" s="12"/>
      <c r="E16" s="16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x14ac:dyDescent="0.25">
      <c r="A17" s="9">
        <v>5</v>
      </c>
      <c r="B17" s="54" t="s">
        <v>4817</v>
      </c>
      <c r="C17" s="11" t="s">
        <v>308</v>
      </c>
      <c r="D17" s="12"/>
      <c r="E17" s="16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x14ac:dyDescent="0.25">
      <c r="A18" s="29">
        <v>6</v>
      </c>
      <c r="B18" s="54" t="s">
        <v>4818</v>
      </c>
      <c r="C18" s="11" t="s">
        <v>309</v>
      </c>
      <c r="D18" s="12"/>
      <c r="E18" s="16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x14ac:dyDescent="0.25">
      <c r="A19" s="9">
        <v>7</v>
      </c>
      <c r="B19" s="54" t="s">
        <v>4819</v>
      </c>
      <c r="C19" s="11" t="s">
        <v>310</v>
      </c>
      <c r="D19" s="15"/>
      <c r="E19" s="21"/>
      <c r="F19" s="15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x14ac:dyDescent="0.25">
      <c r="A20" s="29">
        <v>8</v>
      </c>
      <c r="B20" s="54" t="s">
        <v>4820</v>
      </c>
      <c r="C20" s="11" t="s">
        <v>311</v>
      </c>
      <c r="D20" s="12"/>
      <c r="E20" s="12"/>
      <c r="F20" s="12"/>
      <c r="G20" s="16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15.75" customHeight="1" x14ac:dyDescent="0.25">
      <c r="A21" s="9">
        <v>9</v>
      </c>
      <c r="B21" s="54" t="s">
        <v>4821</v>
      </c>
      <c r="C21" s="11" t="s">
        <v>312</v>
      </c>
      <c r="D21" s="12"/>
      <c r="E21" s="12"/>
      <c r="F21" s="12"/>
      <c r="G21" s="16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15.75" customHeight="1" x14ac:dyDescent="0.25">
      <c r="A22" s="29">
        <v>10</v>
      </c>
      <c r="B22" s="54" t="s">
        <v>4822</v>
      </c>
      <c r="C22" s="11" t="s">
        <v>313</v>
      </c>
      <c r="D22" s="12"/>
      <c r="E22" s="12"/>
      <c r="F22" s="12"/>
      <c r="G22" s="16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15.75" customHeight="1" x14ac:dyDescent="0.25">
      <c r="A23" s="9">
        <v>11</v>
      </c>
      <c r="B23" s="54" t="s">
        <v>4823</v>
      </c>
      <c r="C23" s="11" t="s">
        <v>315</v>
      </c>
      <c r="D23" s="12"/>
      <c r="E23" s="12"/>
      <c r="F23" s="12"/>
      <c r="G23" s="16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ht="15.75" customHeight="1" x14ac:dyDescent="0.25">
      <c r="A24" s="29">
        <v>12</v>
      </c>
      <c r="B24" s="54" t="s">
        <v>4824</v>
      </c>
      <c r="C24" s="11" t="s">
        <v>316</v>
      </c>
      <c r="D24" s="12"/>
      <c r="E24" s="12"/>
      <c r="F24" s="12"/>
      <c r="G24" s="16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15.75" customHeight="1" x14ac:dyDescent="0.25">
      <c r="A25" s="9">
        <v>13</v>
      </c>
      <c r="B25" s="54" t="s">
        <v>4825</v>
      </c>
      <c r="C25" s="11" t="s">
        <v>317</v>
      </c>
      <c r="D25" s="12"/>
      <c r="E25" s="12"/>
      <c r="F25" s="12"/>
      <c r="G25" s="16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15.75" customHeight="1" x14ac:dyDescent="0.25">
      <c r="A26" s="29">
        <v>14</v>
      </c>
      <c r="B26" s="54" t="s">
        <v>4826</v>
      </c>
      <c r="C26" s="11" t="s">
        <v>318</v>
      </c>
      <c r="D26" s="12"/>
      <c r="E26" s="12"/>
      <c r="F26" s="12"/>
      <c r="G26" s="16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ht="15.75" customHeight="1" x14ac:dyDescent="0.25">
      <c r="A27" s="9">
        <v>15</v>
      </c>
      <c r="B27" s="54" t="s">
        <v>4827</v>
      </c>
      <c r="C27" s="11" t="s">
        <v>319</v>
      </c>
      <c r="D27" s="12"/>
      <c r="E27" s="12"/>
      <c r="F27" s="12"/>
      <c r="G27" s="16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ht="15.75" customHeight="1" x14ac:dyDescent="0.25">
      <c r="A28" s="29">
        <v>16</v>
      </c>
      <c r="B28" s="54" t="s">
        <v>4828</v>
      </c>
      <c r="C28" s="11" t="s">
        <v>320</v>
      </c>
      <c r="D28" s="12"/>
      <c r="E28" s="12"/>
      <c r="F28" s="12"/>
      <c r="G28" s="16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ht="15.75" customHeight="1" x14ac:dyDescent="0.25">
      <c r="A29" s="9">
        <v>17</v>
      </c>
      <c r="B29" s="54" t="s">
        <v>4829</v>
      </c>
      <c r="C29" s="11" t="s">
        <v>321</v>
      </c>
      <c r="D29" s="32"/>
      <c r="E29" s="20"/>
      <c r="F29" s="20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15.75" customHeight="1" x14ac:dyDescent="0.25">
      <c r="A30" s="29">
        <v>18</v>
      </c>
      <c r="B30" s="54" t="s">
        <v>4830</v>
      </c>
      <c r="C30" s="11" t="s">
        <v>322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17" ht="15.75" customHeight="1" x14ac:dyDescent="0.25">
      <c r="A31" s="9">
        <v>19</v>
      </c>
      <c r="B31" s="54" t="s">
        <v>4831</v>
      </c>
      <c r="C31" s="11" t="s">
        <v>323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17" ht="15.75" customHeight="1" x14ac:dyDescent="0.25">
      <c r="A32" s="29">
        <v>20</v>
      </c>
      <c r="B32" s="54" t="s">
        <v>4833</v>
      </c>
      <c r="C32" s="11" t="s">
        <v>325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26" ht="15.75" customHeight="1" x14ac:dyDescent="0.25">
      <c r="A33" s="9">
        <v>21</v>
      </c>
      <c r="B33" s="54" t="s">
        <v>4834</v>
      </c>
      <c r="C33" s="11" t="s">
        <v>326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26" ht="15.75" customHeight="1" x14ac:dyDescent="0.25">
      <c r="A34" s="29">
        <v>22</v>
      </c>
      <c r="B34" s="54" t="s">
        <v>4835</v>
      </c>
      <c r="C34" s="11" t="s">
        <v>327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26" ht="15.75" customHeight="1" x14ac:dyDescent="0.25">
      <c r="A35" s="9">
        <v>23</v>
      </c>
      <c r="B35" s="54" t="s">
        <v>4836</v>
      </c>
      <c r="C35" s="11" t="s">
        <v>328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1:26" ht="15.75" customHeight="1" x14ac:dyDescent="0.25">
      <c r="A36" s="29">
        <v>24</v>
      </c>
      <c r="B36" s="54" t="s">
        <v>4837</v>
      </c>
      <c r="C36" s="11" t="s">
        <v>329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26" ht="15.75" customHeight="1" x14ac:dyDescent="0.25">
      <c r="A37" s="9">
        <v>25</v>
      </c>
      <c r="B37" s="54" t="s">
        <v>4839</v>
      </c>
      <c r="C37" s="11" t="s">
        <v>330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1:26" ht="15.75" customHeight="1" x14ac:dyDescent="0.25">
      <c r="A38" s="29">
        <v>26</v>
      </c>
      <c r="B38" s="54" t="s">
        <v>4840</v>
      </c>
      <c r="C38" s="75" t="s">
        <v>331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spans="1:26" ht="15.75" customHeight="1" x14ac:dyDescent="0.25">
      <c r="A39" s="9">
        <v>27</v>
      </c>
      <c r="B39" s="54" t="s">
        <v>4841</v>
      </c>
      <c r="C39" s="11" t="s">
        <v>332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spans="1:26" ht="15.75" customHeight="1" x14ac:dyDescent="0.25">
      <c r="A40" s="29">
        <v>28</v>
      </c>
      <c r="B40" s="54" t="s">
        <v>4842</v>
      </c>
      <c r="C40" s="11" t="s">
        <v>333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spans="1:26" ht="15.75" customHeight="1" x14ac:dyDescent="0.25">
      <c r="A41" s="9">
        <v>29</v>
      </c>
      <c r="B41" s="96" t="s">
        <v>4843</v>
      </c>
      <c r="C41" s="14" t="s">
        <v>334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T41" s="13"/>
    </row>
    <row r="42" spans="1:26" ht="15.75" customHeight="1" x14ac:dyDescent="0.25">
      <c r="A42" s="29">
        <v>30</v>
      </c>
      <c r="B42" s="141" t="s">
        <v>4844</v>
      </c>
      <c r="C42" s="85" t="s">
        <v>335</v>
      </c>
      <c r="D42" s="15"/>
      <c r="E42" s="15"/>
      <c r="F42" s="15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spans="1:26" ht="15.75" customHeight="1" x14ac:dyDescent="0.25">
      <c r="A43" s="69">
        <v>31</v>
      </c>
      <c r="B43" s="97" t="s">
        <v>4845</v>
      </c>
      <c r="C43" s="75" t="s">
        <v>336</v>
      </c>
      <c r="D43" s="68"/>
      <c r="E43" s="68"/>
      <c r="F43" s="68"/>
      <c r="G43" s="21"/>
      <c r="H43" s="15"/>
      <c r="I43" s="12"/>
      <c r="J43" s="12"/>
      <c r="K43" s="12"/>
      <c r="L43" s="12"/>
      <c r="M43" s="12"/>
      <c r="N43" s="12"/>
      <c r="O43" s="12"/>
      <c r="P43" s="12"/>
      <c r="Q43" s="12"/>
    </row>
    <row r="44" spans="1:26" ht="15.75" customHeight="1" x14ac:dyDescent="0.25">
      <c r="A44" s="69">
        <v>32</v>
      </c>
      <c r="B44" s="97" t="s">
        <v>4846</v>
      </c>
      <c r="C44" s="75" t="s">
        <v>337</v>
      </c>
      <c r="D44" s="68"/>
      <c r="E44" s="68"/>
      <c r="F44" s="68"/>
      <c r="G44" s="113"/>
      <c r="H44" s="68"/>
      <c r="I44" s="16"/>
      <c r="J44" s="12"/>
      <c r="K44" s="12"/>
      <c r="L44" s="12"/>
      <c r="M44" s="12"/>
      <c r="N44" s="12"/>
      <c r="O44" s="12"/>
      <c r="P44" s="12"/>
      <c r="Q44" s="12"/>
    </row>
    <row r="45" spans="1:26" ht="15.75" customHeight="1" x14ac:dyDescent="0.25">
      <c r="A45" s="69">
        <v>33</v>
      </c>
      <c r="B45" s="97" t="s">
        <v>4847</v>
      </c>
      <c r="C45" s="75" t="s">
        <v>338</v>
      </c>
      <c r="D45" s="68"/>
      <c r="E45" s="68"/>
      <c r="F45" s="68"/>
      <c r="G45" s="113"/>
      <c r="H45" s="68"/>
      <c r="I45" s="16"/>
      <c r="J45" s="12"/>
      <c r="K45" s="12"/>
      <c r="L45" s="12"/>
      <c r="M45" s="12"/>
      <c r="N45" s="12"/>
      <c r="O45" s="12"/>
      <c r="P45" s="12"/>
      <c r="Q45" s="12"/>
    </row>
    <row r="46" spans="1:26" ht="15.75" customHeight="1" x14ac:dyDescent="0.25">
      <c r="A46" s="69">
        <v>34</v>
      </c>
      <c r="B46" s="71"/>
      <c r="C46" s="71"/>
      <c r="D46" s="68"/>
      <c r="E46" s="68"/>
      <c r="F46" s="68"/>
      <c r="G46" s="113"/>
      <c r="H46" s="68"/>
      <c r="I46" s="16"/>
      <c r="J46" s="12"/>
      <c r="K46" s="12"/>
      <c r="L46" s="12"/>
      <c r="M46" s="12"/>
      <c r="N46" s="12"/>
      <c r="O46" s="12"/>
      <c r="P46" s="12"/>
      <c r="Q46" s="12"/>
    </row>
    <row r="47" spans="1:26" ht="15.75" customHeight="1" x14ac:dyDescent="0.25">
      <c r="A47" s="69">
        <v>35</v>
      </c>
      <c r="B47" s="71"/>
      <c r="C47" s="71"/>
      <c r="D47" s="68"/>
      <c r="E47" s="68"/>
      <c r="F47" s="68"/>
      <c r="G47" s="113"/>
      <c r="H47" s="68"/>
      <c r="I47" s="16"/>
      <c r="J47" s="12"/>
      <c r="K47" s="12"/>
      <c r="L47" s="12"/>
      <c r="M47" s="12"/>
      <c r="N47" s="12"/>
      <c r="O47" s="12"/>
      <c r="P47" s="12"/>
      <c r="Q47" s="12"/>
    </row>
    <row r="48" spans="1:26" ht="15.75" customHeight="1" x14ac:dyDescent="0.25">
      <c r="A48" s="69">
        <v>36</v>
      </c>
      <c r="B48" s="71"/>
      <c r="C48" s="71"/>
      <c r="D48" s="68"/>
      <c r="E48" s="68"/>
      <c r="F48" s="68"/>
      <c r="G48" s="113"/>
      <c r="H48" s="68"/>
      <c r="I48" s="16"/>
      <c r="J48" s="12"/>
      <c r="K48" s="12"/>
      <c r="L48" s="12"/>
      <c r="M48" s="12"/>
      <c r="N48" s="12"/>
      <c r="O48" s="12"/>
      <c r="P48" s="12"/>
      <c r="Q48" s="12"/>
      <c r="R48" s="13"/>
      <c r="S48" s="13"/>
      <c r="T48" s="13"/>
      <c r="U48" s="13"/>
      <c r="V48" s="13"/>
      <c r="W48" s="13"/>
      <c r="X48" s="13"/>
      <c r="Y48" s="13"/>
      <c r="Z48" s="13"/>
    </row>
    <row r="49" spans="1:17" ht="15.75" customHeight="1" x14ac:dyDescent="0.25">
      <c r="A49" s="69">
        <v>37</v>
      </c>
      <c r="B49" s="71"/>
      <c r="C49" s="71"/>
      <c r="D49" s="68"/>
      <c r="E49" s="68"/>
      <c r="F49" s="68"/>
      <c r="G49" s="68"/>
      <c r="H49" s="68"/>
      <c r="I49" s="16"/>
      <c r="J49" s="12"/>
      <c r="K49" s="12"/>
      <c r="L49" s="12"/>
      <c r="M49" s="12"/>
      <c r="N49" s="12"/>
      <c r="O49" s="12"/>
      <c r="P49" s="12"/>
      <c r="Q49" s="12"/>
    </row>
    <row r="50" spans="1:17" ht="15.75" customHeight="1" x14ac:dyDescent="0.25">
      <c r="A50" s="2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spans="1:17" ht="15.75" customHeight="1" x14ac:dyDescent="0.25">
      <c r="A51" s="201" t="s">
        <v>50</v>
      </c>
      <c r="B51" s="185"/>
      <c r="C51" s="185"/>
      <c r="D51" s="185"/>
      <c r="E51" s="185"/>
      <c r="F51" s="185"/>
      <c r="G51" s="185"/>
      <c r="H51" s="185"/>
      <c r="I51" s="185"/>
      <c r="J51" s="185"/>
      <c r="K51" s="186"/>
      <c r="L51" s="202" t="s">
        <v>51</v>
      </c>
      <c r="M51" s="203"/>
      <c r="N51" s="203"/>
      <c r="O51" s="203"/>
      <c r="P51" s="203"/>
      <c r="Q51" s="204"/>
    </row>
    <row r="52" spans="1:17" ht="15.75" customHeight="1" x14ac:dyDescent="0.25">
      <c r="A52" s="8" t="s">
        <v>52</v>
      </c>
      <c r="B52" s="8" t="s">
        <v>53</v>
      </c>
      <c r="C52" s="23" t="s">
        <v>54</v>
      </c>
      <c r="D52" s="201" t="s">
        <v>55</v>
      </c>
      <c r="E52" s="185"/>
      <c r="F52" s="185"/>
      <c r="G52" s="185"/>
      <c r="H52" s="185"/>
      <c r="I52" s="185"/>
      <c r="J52" s="185"/>
      <c r="K52" s="186"/>
      <c r="L52" s="205"/>
      <c r="M52" s="206"/>
      <c r="N52" s="206"/>
      <c r="O52" s="206"/>
      <c r="P52" s="206"/>
      <c r="Q52" s="207"/>
    </row>
    <row r="53" spans="1:17" ht="15.75" customHeight="1" x14ac:dyDescent="0.3">
      <c r="A53" s="9">
        <v>1</v>
      </c>
      <c r="B53" s="12"/>
      <c r="C53" s="24" t="s">
        <v>56</v>
      </c>
      <c r="D53" s="184"/>
      <c r="E53" s="185"/>
      <c r="F53" s="185"/>
      <c r="G53" s="185"/>
      <c r="H53" s="185"/>
      <c r="I53" s="185"/>
      <c r="J53" s="185"/>
      <c r="K53" s="186"/>
      <c r="L53" s="9">
        <v>1</v>
      </c>
      <c r="M53" s="184"/>
      <c r="N53" s="185"/>
      <c r="O53" s="185"/>
      <c r="P53" s="185"/>
      <c r="Q53" s="186"/>
    </row>
    <row r="54" spans="1:17" ht="15.75" customHeight="1" x14ac:dyDescent="0.3">
      <c r="A54" s="9">
        <v>2</v>
      </c>
      <c r="B54" s="12"/>
      <c r="C54" s="24" t="s">
        <v>56</v>
      </c>
      <c r="D54" s="184"/>
      <c r="E54" s="185"/>
      <c r="F54" s="185"/>
      <c r="G54" s="185"/>
      <c r="H54" s="185"/>
      <c r="I54" s="185"/>
      <c r="J54" s="185"/>
      <c r="K54" s="186"/>
      <c r="L54" s="9">
        <v>2</v>
      </c>
      <c r="M54" s="184"/>
      <c r="N54" s="185"/>
      <c r="O54" s="185"/>
      <c r="P54" s="185"/>
      <c r="Q54" s="186"/>
    </row>
    <row r="55" spans="1:17" ht="15.75" customHeight="1" x14ac:dyDescent="0.3">
      <c r="A55" s="9">
        <v>3</v>
      </c>
      <c r="B55" s="12"/>
      <c r="C55" s="24" t="s">
        <v>56</v>
      </c>
      <c r="D55" s="184"/>
      <c r="E55" s="185"/>
      <c r="F55" s="185"/>
      <c r="G55" s="185"/>
      <c r="H55" s="185"/>
      <c r="I55" s="185"/>
      <c r="J55" s="185"/>
      <c r="K55" s="186"/>
      <c r="L55" s="9">
        <v>3</v>
      </c>
      <c r="M55" s="184"/>
      <c r="N55" s="185"/>
      <c r="O55" s="185"/>
      <c r="P55" s="185"/>
      <c r="Q55" s="186"/>
    </row>
    <row r="56" spans="1:17" ht="15.75" customHeight="1" x14ac:dyDescent="0.3">
      <c r="A56" s="9">
        <v>4</v>
      </c>
      <c r="B56" s="12"/>
      <c r="C56" s="24" t="s">
        <v>56</v>
      </c>
      <c r="D56" s="184"/>
      <c r="E56" s="185"/>
      <c r="F56" s="185"/>
      <c r="G56" s="185"/>
      <c r="H56" s="185"/>
      <c r="I56" s="185"/>
      <c r="J56" s="185"/>
      <c r="K56" s="186"/>
      <c r="L56" s="9">
        <v>4</v>
      </c>
      <c r="M56" s="184"/>
      <c r="N56" s="185"/>
      <c r="O56" s="185"/>
      <c r="P56" s="185"/>
      <c r="Q56" s="186"/>
    </row>
    <row r="57" spans="1:17" ht="15.75" customHeight="1" x14ac:dyDescent="0.3">
      <c r="A57" s="9">
        <v>5</v>
      </c>
      <c r="B57" s="12"/>
      <c r="C57" s="24" t="s">
        <v>56</v>
      </c>
      <c r="D57" s="184"/>
      <c r="E57" s="185"/>
      <c r="F57" s="185"/>
      <c r="G57" s="185"/>
      <c r="H57" s="185"/>
      <c r="I57" s="185"/>
      <c r="J57" s="185"/>
      <c r="K57" s="186"/>
      <c r="L57" s="9">
        <v>5</v>
      </c>
      <c r="M57" s="184"/>
      <c r="N57" s="185"/>
      <c r="O57" s="185"/>
      <c r="P57" s="185"/>
      <c r="Q57" s="186"/>
    </row>
    <row r="58" spans="1:17" ht="15.75" customHeight="1" x14ac:dyDescent="0.25">
      <c r="A58" s="25" t="s">
        <v>57</v>
      </c>
      <c r="K58" s="13" t="s">
        <v>58</v>
      </c>
    </row>
    <row r="59" spans="1:17" ht="16.5" customHeight="1" x14ac:dyDescent="0.25">
      <c r="A59" s="197" t="s">
        <v>59</v>
      </c>
      <c r="B59" s="190"/>
      <c r="C59" s="190"/>
      <c r="D59" s="190"/>
      <c r="E59" s="190"/>
      <c r="F59" s="190"/>
      <c r="G59" s="190"/>
      <c r="H59" s="190"/>
      <c r="K59" s="13" t="s">
        <v>60</v>
      </c>
    </row>
    <row r="60" spans="1:17" ht="15.75" customHeight="1" x14ac:dyDescent="0.25">
      <c r="A60" s="190"/>
      <c r="B60" s="190"/>
      <c r="C60" s="190"/>
      <c r="D60" s="190"/>
      <c r="E60" s="190"/>
      <c r="F60" s="190"/>
      <c r="G60" s="190"/>
      <c r="H60" s="190"/>
    </row>
    <row r="61" spans="1:17" ht="15.75" customHeight="1" x14ac:dyDescent="0.25">
      <c r="A61" s="198" t="s">
        <v>61</v>
      </c>
      <c r="B61" s="190"/>
      <c r="C61" s="190"/>
      <c r="D61" s="190"/>
      <c r="E61" s="190"/>
      <c r="F61" s="190"/>
      <c r="G61" s="190"/>
      <c r="H61" s="190"/>
    </row>
    <row r="62" spans="1:17" ht="15.75" customHeight="1" x14ac:dyDescent="0.25">
      <c r="A62" s="190"/>
      <c r="B62" s="190"/>
      <c r="C62" s="190"/>
      <c r="D62" s="190"/>
      <c r="E62" s="190"/>
      <c r="F62" s="190"/>
      <c r="G62" s="190"/>
      <c r="H62" s="190"/>
      <c r="K62" s="13" t="s">
        <v>62</v>
      </c>
    </row>
    <row r="63" spans="1:17" ht="15.75" customHeight="1" x14ac:dyDescent="0.25">
      <c r="A63" s="190"/>
      <c r="B63" s="190"/>
      <c r="C63" s="190"/>
      <c r="D63" s="190"/>
      <c r="E63" s="190"/>
      <c r="F63" s="190"/>
      <c r="G63" s="190"/>
      <c r="H63" s="190"/>
      <c r="K63" s="13" t="s">
        <v>63</v>
      </c>
    </row>
    <row r="64" spans="1:17" ht="15.75" customHeight="1" x14ac:dyDescent="0.25"/>
    <row r="65" spans="1:1" ht="15.75" customHeight="1" x14ac:dyDescent="0.25">
      <c r="A65" s="26" t="s">
        <v>5138</v>
      </c>
    </row>
    <row r="66" spans="1:1" ht="15.75" customHeight="1" x14ac:dyDescent="0.25"/>
    <row r="67" spans="1:1" ht="15.75" customHeight="1" x14ac:dyDescent="0.25"/>
    <row r="68" spans="1:1" ht="15.75" customHeight="1" x14ac:dyDescent="0.25"/>
    <row r="69" spans="1:1" ht="15.75" customHeight="1" x14ac:dyDescent="0.25"/>
    <row r="70" spans="1:1" ht="15.75" customHeight="1" x14ac:dyDescent="0.25"/>
    <row r="71" spans="1:1" ht="15.75" customHeight="1" x14ac:dyDescent="0.25"/>
    <row r="72" spans="1:1" ht="15.75" customHeight="1" x14ac:dyDescent="0.25"/>
    <row r="73" spans="1:1" ht="15.75" customHeight="1" x14ac:dyDescent="0.25"/>
    <row r="74" spans="1:1" ht="15.75" customHeight="1" x14ac:dyDescent="0.25"/>
    <row r="75" spans="1:1" ht="15.75" customHeight="1" x14ac:dyDescent="0.25"/>
    <row r="76" spans="1:1" ht="15.75" customHeight="1" x14ac:dyDescent="0.25"/>
    <row r="77" spans="1:1" ht="15.75" customHeight="1" x14ac:dyDescent="0.25"/>
    <row r="78" spans="1:1" ht="15.75" customHeight="1" x14ac:dyDescent="0.25"/>
    <row r="79" spans="1:1" ht="15.75" customHeight="1" x14ac:dyDescent="0.25"/>
    <row r="80" spans="1:1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7">
    <mergeCell ref="D57:K57"/>
    <mergeCell ref="M57:Q57"/>
    <mergeCell ref="A59:H60"/>
    <mergeCell ref="A61:H63"/>
    <mergeCell ref="A11:B11"/>
    <mergeCell ref="D11:H11"/>
    <mergeCell ref="A51:K51"/>
    <mergeCell ref="L51:Q52"/>
    <mergeCell ref="D52:K52"/>
    <mergeCell ref="D53:K53"/>
    <mergeCell ref="D54:K54"/>
    <mergeCell ref="M53:Q53"/>
    <mergeCell ref="M54:Q54"/>
    <mergeCell ref="D55:K55"/>
    <mergeCell ref="M55:Q55"/>
    <mergeCell ref="D56:K56"/>
    <mergeCell ref="M56:Q56"/>
    <mergeCell ref="I11:K11"/>
    <mergeCell ref="L11:P11"/>
    <mergeCell ref="M1:Q1"/>
    <mergeCell ref="M2:Q2"/>
    <mergeCell ref="A3:Q3"/>
    <mergeCell ref="A4:Q4"/>
    <mergeCell ref="A5:Q5"/>
    <mergeCell ref="A6:Q6"/>
    <mergeCell ref="C11:C12"/>
    <mergeCell ref="Q11:Q12"/>
  </mergeCells>
  <pageMargins left="0.59055118110236227" right="0.39370078740157483" top="0.43307086614173229" bottom="0.39370078740157483" header="0" footer="0"/>
  <pageSetup paperSize="10000" scale="84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6DDE8"/>
    <pageSetUpPr fitToPage="1"/>
  </sheetPr>
  <dimension ref="A1:Z1002"/>
  <sheetViews>
    <sheetView workbookViewId="0">
      <selection activeCell="A67" sqref="A67"/>
    </sheetView>
  </sheetViews>
  <sheetFormatPr defaultColWidth="14.42578125" defaultRowHeight="15" customHeight="1" x14ac:dyDescent="0.25"/>
  <cols>
    <col min="1" max="1" width="4.85546875" customWidth="1"/>
    <col min="2" max="2" width="8.7109375" customWidth="1"/>
    <col min="3" max="3" width="35.7109375" customWidth="1"/>
    <col min="4" max="8" width="3.5703125" customWidth="1"/>
    <col min="9" max="11" width="4.140625" customWidth="1"/>
    <col min="12" max="16" width="4.42578125" customWidth="1"/>
    <col min="17" max="17" width="5" customWidth="1"/>
    <col min="18" max="26" width="8.7109375" customWidth="1"/>
  </cols>
  <sheetData>
    <row r="1" spans="1:17" x14ac:dyDescent="0.25">
      <c r="M1" s="188" t="s">
        <v>0</v>
      </c>
      <c r="N1" s="185"/>
      <c r="O1" s="185"/>
      <c r="P1" s="185"/>
      <c r="Q1" s="186"/>
    </row>
    <row r="2" spans="1:17" x14ac:dyDescent="0.25">
      <c r="M2" s="188" t="s">
        <v>1</v>
      </c>
      <c r="N2" s="185"/>
      <c r="O2" s="185"/>
      <c r="P2" s="185"/>
      <c r="Q2" s="186"/>
    </row>
    <row r="3" spans="1:17" ht="15.75" x14ac:dyDescent="0.3">
      <c r="A3" s="189" t="s">
        <v>2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</row>
    <row r="4" spans="1:17" x14ac:dyDescent="0.25">
      <c r="A4" s="191" t="s">
        <v>3</v>
      </c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</row>
    <row r="5" spans="1:17" x14ac:dyDescent="0.25">
      <c r="A5" s="192" t="s">
        <v>4</v>
      </c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</row>
    <row r="6" spans="1:17" ht="15.75" x14ac:dyDescent="0.25">
      <c r="A6" s="209" t="s">
        <v>5182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</row>
    <row r="7" spans="1:17" ht="15.7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9.5" customHeight="1" x14ac:dyDescent="0.25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3"/>
      <c r="L8" s="2" t="s">
        <v>6</v>
      </c>
      <c r="M8" s="2"/>
      <c r="N8" s="2"/>
      <c r="O8" s="2"/>
      <c r="P8" s="2"/>
      <c r="Q8" s="2"/>
    </row>
    <row r="9" spans="1:17" ht="19.5" customHeight="1" x14ac:dyDescent="0.25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3"/>
      <c r="L9" s="4" t="s">
        <v>5140</v>
      </c>
      <c r="M9" s="2"/>
      <c r="N9" s="2"/>
      <c r="O9" s="2"/>
      <c r="P9" s="2"/>
      <c r="Q9" s="2"/>
    </row>
    <row r="10" spans="1:17" ht="19.5" customHeight="1" x14ac:dyDescent="0.25">
      <c r="A10" s="2" t="s">
        <v>8</v>
      </c>
      <c r="B10" s="2"/>
      <c r="C10" s="4" t="s">
        <v>4508</v>
      </c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</row>
    <row r="11" spans="1:17" ht="15" customHeight="1" x14ac:dyDescent="0.3">
      <c r="A11" s="199" t="s">
        <v>9</v>
      </c>
      <c r="B11" s="186"/>
      <c r="C11" s="194" t="s">
        <v>10</v>
      </c>
      <c r="D11" s="200" t="s">
        <v>11</v>
      </c>
      <c r="E11" s="185"/>
      <c r="F11" s="185"/>
      <c r="G11" s="185"/>
      <c r="H11" s="186"/>
      <c r="I11" s="187" t="s">
        <v>12</v>
      </c>
      <c r="J11" s="185"/>
      <c r="K11" s="186"/>
      <c r="L11" s="187" t="s">
        <v>13</v>
      </c>
      <c r="M11" s="185"/>
      <c r="N11" s="185"/>
      <c r="O11" s="185"/>
      <c r="P11" s="186"/>
      <c r="Q11" s="196" t="s">
        <v>14</v>
      </c>
    </row>
    <row r="12" spans="1:17" ht="15" customHeight="1" x14ac:dyDescent="0.3">
      <c r="A12" s="5" t="s">
        <v>15</v>
      </c>
      <c r="B12" s="5" t="s">
        <v>16</v>
      </c>
      <c r="C12" s="208"/>
      <c r="D12" s="6"/>
      <c r="E12" s="6"/>
      <c r="F12" s="6"/>
      <c r="G12" s="6"/>
      <c r="H12" s="6"/>
      <c r="I12" s="7" t="s">
        <v>17</v>
      </c>
      <c r="J12" s="7" t="s">
        <v>18</v>
      </c>
      <c r="K12" s="7" t="s">
        <v>19</v>
      </c>
      <c r="L12" s="8">
        <v>1</v>
      </c>
      <c r="M12" s="8">
        <v>2</v>
      </c>
      <c r="N12" s="8">
        <v>3</v>
      </c>
      <c r="O12" s="8">
        <v>4</v>
      </c>
      <c r="P12" s="8">
        <v>5</v>
      </c>
      <c r="Q12" s="195"/>
    </row>
    <row r="13" spans="1:17" x14ac:dyDescent="0.25">
      <c r="A13" s="9">
        <v>1</v>
      </c>
      <c r="B13" s="10" t="s">
        <v>4848</v>
      </c>
      <c r="C13" s="27" t="s">
        <v>339</v>
      </c>
      <c r="D13" s="16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25">
      <c r="A14" s="9">
        <v>2</v>
      </c>
      <c r="B14" s="10" t="s">
        <v>4849</v>
      </c>
      <c r="C14" s="27" t="s">
        <v>340</v>
      </c>
      <c r="D14" s="16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5">
      <c r="A15" s="9">
        <v>3</v>
      </c>
      <c r="B15" s="10" t="s">
        <v>4850</v>
      </c>
      <c r="C15" s="27" t="s">
        <v>341</v>
      </c>
      <c r="D15" s="16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9">
        <v>4</v>
      </c>
      <c r="B16" s="10" t="s">
        <v>4851</v>
      </c>
      <c r="C16" s="27" t="s">
        <v>1717</v>
      </c>
      <c r="D16" s="16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x14ac:dyDescent="0.25">
      <c r="A17" s="9">
        <v>5</v>
      </c>
      <c r="B17" s="10" t="s">
        <v>4852</v>
      </c>
      <c r="C17" s="27" t="s">
        <v>342</v>
      </c>
      <c r="D17" s="16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x14ac:dyDescent="0.25">
      <c r="A18" s="9">
        <v>6</v>
      </c>
      <c r="B18" s="10" t="s">
        <v>4854</v>
      </c>
      <c r="C18" s="27" t="s">
        <v>344</v>
      </c>
      <c r="D18" s="16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x14ac:dyDescent="0.25">
      <c r="A19" s="9">
        <v>7</v>
      </c>
      <c r="B19" s="10" t="s">
        <v>4855</v>
      </c>
      <c r="C19" s="27" t="s">
        <v>345</v>
      </c>
      <c r="D19" s="16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x14ac:dyDescent="0.25">
      <c r="A20" s="9">
        <v>8</v>
      </c>
      <c r="B20" s="10" t="s">
        <v>4856</v>
      </c>
      <c r="C20" s="27" t="s">
        <v>5055</v>
      </c>
      <c r="D20" s="16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15.75" customHeight="1" x14ac:dyDescent="0.25">
      <c r="A21" s="9">
        <v>9</v>
      </c>
      <c r="B21" s="10" t="s">
        <v>4857</v>
      </c>
      <c r="C21" s="27" t="s">
        <v>5054</v>
      </c>
      <c r="D21" s="16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15.75" customHeight="1" x14ac:dyDescent="0.25">
      <c r="A22" s="9">
        <v>10</v>
      </c>
      <c r="B22" s="10" t="s">
        <v>4860</v>
      </c>
      <c r="C22" s="27" t="s">
        <v>348</v>
      </c>
      <c r="D22" s="16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15.75" customHeight="1" x14ac:dyDescent="0.25">
      <c r="A23" s="9">
        <v>11</v>
      </c>
      <c r="B23" s="10" t="s">
        <v>4861</v>
      </c>
      <c r="C23" s="27" t="s">
        <v>349</v>
      </c>
      <c r="D23" s="16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ht="15.75" customHeight="1" x14ac:dyDescent="0.25">
      <c r="A24" s="9">
        <v>12</v>
      </c>
      <c r="B24" s="10" t="s">
        <v>4862</v>
      </c>
      <c r="C24" s="27" t="s">
        <v>350</v>
      </c>
      <c r="D24" s="16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15.75" customHeight="1" x14ac:dyDescent="0.25">
      <c r="A25" s="9">
        <v>13</v>
      </c>
      <c r="B25" s="10" t="s">
        <v>4864</v>
      </c>
      <c r="C25" s="27" t="s">
        <v>352</v>
      </c>
      <c r="D25" s="16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15.75" customHeight="1" x14ac:dyDescent="0.25">
      <c r="A26" s="9">
        <v>14</v>
      </c>
      <c r="B26" s="10" t="s">
        <v>4865</v>
      </c>
      <c r="C26" s="27" t="s">
        <v>353</v>
      </c>
      <c r="D26" s="16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ht="15.75" customHeight="1" x14ac:dyDescent="0.25">
      <c r="A27" s="9">
        <v>15</v>
      </c>
      <c r="B27" s="10" t="s">
        <v>4866</v>
      </c>
      <c r="C27" s="27" t="s">
        <v>354</v>
      </c>
      <c r="D27" s="16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ht="15.75" customHeight="1" x14ac:dyDescent="0.25">
      <c r="A28" s="9">
        <v>16</v>
      </c>
      <c r="B28" s="10" t="s">
        <v>4867</v>
      </c>
      <c r="C28" s="27" t="s">
        <v>355</v>
      </c>
      <c r="D28" s="16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ht="15.75" customHeight="1" x14ac:dyDescent="0.25">
      <c r="A29" s="9">
        <v>17</v>
      </c>
      <c r="B29" s="10" t="s">
        <v>4868</v>
      </c>
      <c r="C29" s="27" t="s">
        <v>356</v>
      </c>
      <c r="D29" s="16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15.75" customHeight="1" x14ac:dyDescent="0.25">
      <c r="A30" s="9">
        <v>18</v>
      </c>
      <c r="B30" s="10" t="s">
        <v>4869</v>
      </c>
      <c r="C30" s="27" t="s">
        <v>357</v>
      </c>
      <c r="D30" s="16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17" ht="15.75" customHeight="1" x14ac:dyDescent="0.25">
      <c r="A31" s="9">
        <v>19</v>
      </c>
      <c r="B31" s="74" t="s">
        <v>4870</v>
      </c>
      <c r="C31" s="28" t="s">
        <v>358</v>
      </c>
      <c r="D31" s="16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17" ht="15.75" customHeight="1" x14ac:dyDescent="0.25">
      <c r="A32" s="9">
        <v>20</v>
      </c>
      <c r="B32" s="10" t="s">
        <v>4871</v>
      </c>
      <c r="C32" s="11" t="s">
        <v>359</v>
      </c>
      <c r="D32" s="16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26" ht="15.75" customHeight="1" x14ac:dyDescent="0.25">
      <c r="A33" s="9">
        <v>21</v>
      </c>
      <c r="B33" s="74" t="s">
        <v>4872</v>
      </c>
      <c r="C33" s="28" t="s">
        <v>360</v>
      </c>
      <c r="D33" s="16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26" ht="15.75" customHeight="1" x14ac:dyDescent="0.25">
      <c r="A34" s="9">
        <v>22</v>
      </c>
      <c r="B34" s="10" t="s">
        <v>4873</v>
      </c>
      <c r="C34" s="27" t="s">
        <v>361</v>
      </c>
      <c r="D34" s="16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26" ht="15.75" customHeight="1" x14ac:dyDescent="0.25">
      <c r="A35" s="9">
        <v>23</v>
      </c>
      <c r="B35" s="10" t="s">
        <v>4875</v>
      </c>
      <c r="C35" s="11" t="s">
        <v>362</v>
      </c>
      <c r="D35" s="16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1:26" ht="15.75" customHeight="1" x14ac:dyDescent="0.25">
      <c r="A36" s="9">
        <v>24</v>
      </c>
      <c r="B36" s="10" t="s">
        <v>4876</v>
      </c>
      <c r="C36" s="11" t="s">
        <v>363</v>
      </c>
      <c r="D36" s="16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26" ht="15.75" customHeight="1" x14ac:dyDescent="0.25">
      <c r="A37" s="9">
        <v>25</v>
      </c>
      <c r="B37" s="10" t="s">
        <v>4877</v>
      </c>
      <c r="C37" s="11" t="s">
        <v>5053</v>
      </c>
      <c r="D37" s="16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1:26" ht="15.75" customHeight="1" x14ac:dyDescent="0.25">
      <c r="A38" s="9">
        <v>26</v>
      </c>
      <c r="B38" s="10" t="s">
        <v>4878</v>
      </c>
      <c r="C38" s="11" t="s">
        <v>364</v>
      </c>
      <c r="D38" s="21"/>
      <c r="E38" s="15"/>
      <c r="F38" s="15"/>
      <c r="G38" s="15"/>
      <c r="H38" s="15"/>
      <c r="I38" s="15"/>
      <c r="J38" s="12"/>
      <c r="K38" s="12"/>
      <c r="L38" s="12"/>
      <c r="M38" s="12"/>
      <c r="N38" s="12"/>
      <c r="O38" s="12"/>
      <c r="P38" s="12"/>
      <c r="Q38" s="12"/>
    </row>
    <row r="39" spans="1:26" ht="15.75" customHeight="1" x14ac:dyDescent="0.25">
      <c r="A39" s="9">
        <v>27</v>
      </c>
      <c r="B39" s="17" t="s">
        <v>4879</v>
      </c>
      <c r="C39" s="18" t="s">
        <v>365</v>
      </c>
      <c r="D39" s="15"/>
      <c r="E39" s="15"/>
      <c r="F39" s="15"/>
      <c r="G39" s="12"/>
      <c r="H39" s="12"/>
      <c r="I39" s="12"/>
      <c r="J39" s="16"/>
      <c r="K39" s="12"/>
      <c r="L39" s="12"/>
      <c r="M39" s="12"/>
      <c r="N39" s="12"/>
      <c r="O39" s="12"/>
      <c r="P39" s="12"/>
      <c r="Q39" s="12"/>
    </row>
    <row r="40" spans="1:26" ht="15.75" customHeight="1" x14ac:dyDescent="0.25">
      <c r="A40" s="9">
        <v>28</v>
      </c>
      <c r="B40" s="149" t="s">
        <v>4880</v>
      </c>
      <c r="C40" s="14" t="s">
        <v>366</v>
      </c>
      <c r="D40" s="12"/>
      <c r="E40" s="12"/>
      <c r="F40" s="12"/>
      <c r="G40" s="12"/>
      <c r="H40" s="12"/>
      <c r="I40" s="12"/>
      <c r="J40" s="16"/>
      <c r="K40" s="12"/>
      <c r="L40" s="12"/>
      <c r="M40" s="12"/>
      <c r="N40" s="12"/>
      <c r="O40" s="12"/>
      <c r="P40" s="12"/>
      <c r="Q40" s="12"/>
    </row>
    <row r="41" spans="1:26" ht="15.75" customHeight="1" x14ac:dyDescent="0.25">
      <c r="A41" s="9">
        <v>29</v>
      </c>
      <c r="B41" s="142" t="s">
        <v>4881</v>
      </c>
      <c r="C41" s="85" t="s">
        <v>367</v>
      </c>
      <c r="D41" s="12"/>
      <c r="E41" s="12"/>
      <c r="F41" s="12"/>
      <c r="G41" s="12"/>
      <c r="H41" s="12"/>
      <c r="I41" s="12"/>
      <c r="J41" s="16"/>
      <c r="K41" s="12"/>
      <c r="L41" s="12"/>
      <c r="M41" s="12"/>
      <c r="N41" s="12"/>
      <c r="O41" s="12"/>
      <c r="P41" s="12"/>
      <c r="Q41" s="12"/>
    </row>
    <row r="42" spans="1:26" ht="15.75" customHeight="1" x14ac:dyDescent="0.25">
      <c r="A42" s="29">
        <v>30</v>
      </c>
      <c r="B42" s="70" t="s">
        <v>4882</v>
      </c>
      <c r="C42" s="75" t="s">
        <v>368</v>
      </c>
      <c r="D42" s="15"/>
      <c r="E42" s="15"/>
      <c r="F42" s="15"/>
      <c r="G42" s="15"/>
      <c r="H42" s="15"/>
      <c r="I42" s="15"/>
      <c r="J42" s="16"/>
      <c r="K42" s="12"/>
      <c r="L42" s="12"/>
      <c r="M42" s="12"/>
      <c r="N42" s="12"/>
      <c r="O42" s="12"/>
      <c r="P42" s="12"/>
      <c r="Q42" s="12"/>
    </row>
    <row r="43" spans="1:26" ht="15.75" customHeight="1" x14ac:dyDescent="0.25">
      <c r="A43" s="69">
        <v>31</v>
      </c>
      <c r="B43" s="70" t="s">
        <v>4883</v>
      </c>
      <c r="C43" s="75" t="s">
        <v>369</v>
      </c>
      <c r="D43" s="68"/>
      <c r="E43" s="68"/>
      <c r="F43" s="68"/>
      <c r="G43" s="68"/>
      <c r="H43" s="68"/>
      <c r="I43" s="68"/>
      <c r="J43" s="16"/>
      <c r="K43" s="12"/>
      <c r="L43" s="12"/>
      <c r="M43" s="12"/>
      <c r="N43" s="12"/>
      <c r="O43" s="12"/>
      <c r="P43" s="12"/>
      <c r="Q43" s="12"/>
    </row>
    <row r="44" spans="1:26" ht="15.75" customHeight="1" x14ac:dyDescent="0.25">
      <c r="A44" s="69">
        <v>32</v>
      </c>
      <c r="B44" s="70" t="s">
        <v>4884</v>
      </c>
      <c r="C44" s="75" t="s">
        <v>370</v>
      </c>
      <c r="D44" s="68"/>
      <c r="E44" s="68"/>
      <c r="F44" s="68"/>
      <c r="G44" s="68"/>
      <c r="H44" s="68"/>
      <c r="I44" s="68"/>
      <c r="J44" s="21"/>
      <c r="K44" s="12"/>
      <c r="L44" s="12"/>
      <c r="M44" s="12"/>
      <c r="N44" s="12"/>
      <c r="O44" s="12"/>
      <c r="P44" s="12"/>
      <c r="Q44" s="12"/>
    </row>
    <row r="45" spans="1:26" ht="15.75" customHeight="1" x14ac:dyDescent="0.25">
      <c r="A45" s="69">
        <v>33</v>
      </c>
      <c r="B45" s="70" t="s">
        <v>4885</v>
      </c>
      <c r="C45" s="75" t="s">
        <v>371</v>
      </c>
      <c r="D45" s="68"/>
      <c r="E45" s="68"/>
      <c r="F45" s="68"/>
      <c r="G45" s="68"/>
      <c r="H45" s="68"/>
      <c r="I45" s="68"/>
      <c r="J45" s="113"/>
      <c r="K45" s="16"/>
      <c r="L45" s="12"/>
      <c r="M45" s="12"/>
      <c r="N45" s="12"/>
      <c r="O45" s="12"/>
      <c r="P45" s="12"/>
      <c r="Q45" s="12"/>
    </row>
    <row r="46" spans="1:26" ht="15.75" customHeight="1" x14ac:dyDescent="0.25">
      <c r="A46" s="69">
        <v>34</v>
      </c>
      <c r="B46" s="71"/>
      <c r="C46" s="71"/>
      <c r="D46" s="68"/>
      <c r="E46" s="68"/>
      <c r="F46" s="68"/>
      <c r="G46" s="68"/>
      <c r="H46" s="68"/>
      <c r="I46" s="68"/>
      <c r="J46" s="113"/>
      <c r="K46" s="16"/>
      <c r="L46" s="12"/>
      <c r="M46" s="12"/>
      <c r="N46" s="12"/>
      <c r="O46" s="12"/>
      <c r="P46" s="12"/>
      <c r="Q46" s="12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5.75" customHeight="1" x14ac:dyDescent="0.25">
      <c r="A47" s="69">
        <v>35</v>
      </c>
      <c r="B47" s="71"/>
      <c r="C47" s="71"/>
      <c r="D47" s="68"/>
      <c r="E47" s="68"/>
      <c r="F47" s="68"/>
      <c r="G47" s="68"/>
      <c r="H47" s="68"/>
      <c r="I47" s="68"/>
      <c r="J47" s="113"/>
      <c r="K47" s="16"/>
      <c r="L47" s="12"/>
      <c r="M47" s="12"/>
      <c r="N47" s="12"/>
      <c r="O47" s="12"/>
      <c r="P47" s="12"/>
      <c r="Q47" s="12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5.75" customHeight="1" x14ac:dyDescent="0.25">
      <c r="A48" s="69">
        <v>36</v>
      </c>
      <c r="B48" s="71"/>
      <c r="C48" s="71"/>
      <c r="D48" s="68"/>
      <c r="E48" s="68"/>
      <c r="F48" s="68"/>
      <c r="G48" s="68"/>
      <c r="H48" s="68"/>
      <c r="I48" s="68"/>
      <c r="J48" s="113"/>
      <c r="K48" s="16"/>
      <c r="L48" s="12"/>
      <c r="M48" s="12"/>
      <c r="N48" s="12"/>
      <c r="O48" s="12"/>
      <c r="P48" s="12"/>
      <c r="Q48" s="12"/>
    </row>
    <row r="49" spans="1:17" ht="15.75" customHeight="1" x14ac:dyDescent="0.25">
      <c r="A49" s="69">
        <v>37</v>
      </c>
      <c r="B49" s="71"/>
      <c r="C49" s="71"/>
      <c r="D49" s="68"/>
      <c r="E49" s="68"/>
      <c r="F49" s="68"/>
      <c r="G49" s="68"/>
      <c r="H49" s="68"/>
      <c r="I49" s="68"/>
      <c r="J49" s="68"/>
      <c r="K49" s="21"/>
      <c r="L49" s="15"/>
      <c r="M49" s="15"/>
      <c r="N49" s="15"/>
      <c r="O49" s="15"/>
      <c r="P49" s="15"/>
      <c r="Q49" s="15"/>
    </row>
    <row r="50" spans="1:17" s="73" customFormat="1" ht="15.75" customHeight="1" x14ac:dyDescent="0.25">
      <c r="A50" s="69">
        <v>38</v>
      </c>
      <c r="B50" s="71"/>
      <c r="C50" s="71"/>
      <c r="D50" s="68"/>
      <c r="E50" s="68"/>
      <c r="F50" s="68"/>
      <c r="G50" s="68"/>
      <c r="H50" s="68"/>
      <c r="I50" s="68"/>
      <c r="J50" s="68"/>
      <c r="K50" s="113"/>
      <c r="L50" s="68"/>
      <c r="M50" s="68"/>
      <c r="N50" s="68"/>
      <c r="O50" s="68"/>
      <c r="P50" s="68"/>
      <c r="Q50" s="68"/>
    </row>
    <row r="51" spans="1:17" ht="15.75" customHeight="1" x14ac:dyDescent="0.25">
      <c r="A51" s="2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</row>
    <row r="52" spans="1:17" ht="15.75" customHeight="1" x14ac:dyDescent="0.25">
      <c r="A52" s="201" t="s">
        <v>50</v>
      </c>
      <c r="B52" s="185"/>
      <c r="C52" s="185"/>
      <c r="D52" s="185"/>
      <c r="E52" s="185"/>
      <c r="F52" s="185"/>
      <c r="G52" s="185"/>
      <c r="H52" s="185"/>
      <c r="I52" s="185"/>
      <c r="J52" s="185"/>
      <c r="K52" s="186"/>
      <c r="L52" s="202" t="s">
        <v>51</v>
      </c>
      <c r="M52" s="203"/>
      <c r="N52" s="203"/>
      <c r="O52" s="203"/>
      <c r="P52" s="203"/>
      <c r="Q52" s="204"/>
    </row>
    <row r="53" spans="1:17" ht="15.75" customHeight="1" x14ac:dyDescent="0.25">
      <c r="A53" s="8" t="s">
        <v>52</v>
      </c>
      <c r="B53" s="8" t="s">
        <v>53</v>
      </c>
      <c r="C53" s="23" t="s">
        <v>54</v>
      </c>
      <c r="D53" s="201" t="s">
        <v>55</v>
      </c>
      <c r="E53" s="185"/>
      <c r="F53" s="185"/>
      <c r="G53" s="185"/>
      <c r="H53" s="185"/>
      <c r="I53" s="185"/>
      <c r="J53" s="185"/>
      <c r="K53" s="186"/>
      <c r="L53" s="205"/>
      <c r="M53" s="206"/>
      <c r="N53" s="206"/>
      <c r="O53" s="206"/>
      <c r="P53" s="206"/>
      <c r="Q53" s="207"/>
    </row>
    <row r="54" spans="1:17" ht="15.75" customHeight="1" x14ac:dyDescent="0.3">
      <c r="A54" s="9">
        <v>1</v>
      </c>
      <c r="B54" s="12"/>
      <c r="C54" s="24" t="s">
        <v>56</v>
      </c>
      <c r="D54" s="184"/>
      <c r="E54" s="185"/>
      <c r="F54" s="185"/>
      <c r="G54" s="185"/>
      <c r="H54" s="185"/>
      <c r="I54" s="185"/>
      <c r="J54" s="185"/>
      <c r="K54" s="186"/>
      <c r="L54" s="9">
        <v>1</v>
      </c>
      <c r="M54" s="184"/>
      <c r="N54" s="185"/>
      <c r="O54" s="185"/>
      <c r="P54" s="185"/>
      <c r="Q54" s="186"/>
    </row>
    <row r="55" spans="1:17" ht="15.75" customHeight="1" x14ac:dyDescent="0.3">
      <c r="A55" s="9">
        <v>2</v>
      </c>
      <c r="B55" s="12"/>
      <c r="C55" s="24" t="s">
        <v>56</v>
      </c>
      <c r="D55" s="184"/>
      <c r="E55" s="185"/>
      <c r="F55" s="185"/>
      <c r="G55" s="185"/>
      <c r="H55" s="185"/>
      <c r="I55" s="185"/>
      <c r="J55" s="185"/>
      <c r="K55" s="186"/>
      <c r="L55" s="9">
        <v>2</v>
      </c>
      <c r="M55" s="184"/>
      <c r="N55" s="185"/>
      <c r="O55" s="185"/>
      <c r="P55" s="185"/>
      <c r="Q55" s="186"/>
    </row>
    <row r="56" spans="1:17" ht="15.75" customHeight="1" x14ac:dyDescent="0.3">
      <c r="A56" s="9">
        <v>3</v>
      </c>
      <c r="B56" s="12"/>
      <c r="C56" s="24" t="s">
        <v>56</v>
      </c>
      <c r="D56" s="184"/>
      <c r="E56" s="185"/>
      <c r="F56" s="185"/>
      <c r="G56" s="185"/>
      <c r="H56" s="185"/>
      <c r="I56" s="185"/>
      <c r="J56" s="185"/>
      <c r="K56" s="186"/>
      <c r="L56" s="9">
        <v>3</v>
      </c>
      <c r="M56" s="184"/>
      <c r="N56" s="185"/>
      <c r="O56" s="185"/>
      <c r="P56" s="185"/>
      <c r="Q56" s="186"/>
    </row>
    <row r="57" spans="1:17" ht="15.75" customHeight="1" x14ac:dyDescent="0.3">
      <c r="A57" s="9">
        <v>4</v>
      </c>
      <c r="B57" s="12"/>
      <c r="C57" s="24" t="s">
        <v>56</v>
      </c>
      <c r="D57" s="184"/>
      <c r="E57" s="185"/>
      <c r="F57" s="185"/>
      <c r="G57" s="185"/>
      <c r="H57" s="185"/>
      <c r="I57" s="185"/>
      <c r="J57" s="185"/>
      <c r="K57" s="186"/>
      <c r="L57" s="9">
        <v>4</v>
      </c>
      <c r="M57" s="184"/>
      <c r="N57" s="185"/>
      <c r="O57" s="185"/>
      <c r="P57" s="185"/>
      <c r="Q57" s="186"/>
    </row>
    <row r="58" spans="1:17" ht="15.75" customHeight="1" x14ac:dyDescent="0.3">
      <c r="A58" s="9">
        <v>5</v>
      </c>
      <c r="B58" s="12"/>
      <c r="C58" s="24" t="s">
        <v>56</v>
      </c>
      <c r="D58" s="184"/>
      <c r="E58" s="185"/>
      <c r="F58" s="185"/>
      <c r="G58" s="185"/>
      <c r="H58" s="185"/>
      <c r="I58" s="185"/>
      <c r="J58" s="185"/>
      <c r="K58" s="186"/>
      <c r="L58" s="9">
        <v>5</v>
      </c>
      <c r="M58" s="184"/>
      <c r="N58" s="185"/>
      <c r="O58" s="185"/>
      <c r="P58" s="185"/>
      <c r="Q58" s="186"/>
    </row>
    <row r="59" spans="1:17" ht="15.75" customHeight="1" x14ac:dyDescent="0.25">
      <c r="A59" s="25" t="s">
        <v>57</v>
      </c>
      <c r="K59" s="13" t="s">
        <v>58</v>
      </c>
    </row>
    <row r="60" spans="1:17" ht="16.5" customHeight="1" x14ac:dyDescent="0.25">
      <c r="A60" s="197" t="s">
        <v>59</v>
      </c>
      <c r="B60" s="190"/>
      <c r="C60" s="190"/>
      <c r="D60" s="190"/>
      <c r="E60" s="190"/>
      <c r="F60" s="190"/>
      <c r="G60" s="190"/>
      <c r="H60" s="190"/>
      <c r="K60" s="13" t="s">
        <v>60</v>
      </c>
    </row>
    <row r="61" spans="1:17" ht="15.75" customHeight="1" x14ac:dyDescent="0.25">
      <c r="A61" s="190"/>
      <c r="B61" s="190"/>
      <c r="C61" s="190"/>
      <c r="D61" s="190"/>
      <c r="E61" s="190"/>
      <c r="F61" s="190"/>
      <c r="G61" s="190"/>
      <c r="H61" s="190"/>
    </row>
    <row r="62" spans="1:17" ht="15.75" customHeight="1" x14ac:dyDescent="0.25">
      <c r="A62" s="198" t="s">
        <v>61</v>
      </c>
      <c r="B62" s="190"/>
      <c r="C62" s="190"/>
      <c r="D62" s="190"/>
      <c r="E62" s="190"/>
      <c r="F62" s="190"/>
      <c r="G62" s="190"/>
      <c r="H62" s="190"/>
    </row>
    <row r="63" spans="1:17" ht="15.75" customHeight="1" x14ac:dyDescent="0.25">
      <c r="A63" s="190"/>
      <c r="B63" s="190"/>
      <c r="C63" s="190"/>
      <c r="D63" s="190"/>
      <c r="E63" s="190"/>
      <c r="F63" s="190"/>
      <c r="G63" s="190"/>
      <c r="H63" s="190"/>
      <c r="K63" s="13" t="s">
        <v>62</v>
      </c>
    </row>
    <row r="64" spans="1:17" ht="15.75" customHeight="1" x14ac:dyDescent="0.25">
      <c r="A64" s="190"/>
      <c r="B64" s="190"/>
      <c r="C64" s="190"/>
      <c r="D64" s="190"/>
      <c r="E64" s="190"/>
      <c r="F64" s="190"/>
      <c r="G64" s="190"/>
      <c r="H64" s="190"/>
      <c r="K64" s="13" t="s">
        <v>63</v>
      </c>
    </row>
    <row r="65" spans="1:1" ht="15.75" customHeight="1" x14ac:dyDescent="0.25"/>
    <row r="66" spans="1:1" ht="15.75" customHeight="1" x14ac:dyDescent="0.25">
      <c r="A66" s="26" t="s">
        <v>5193</v>
      </c>
    </row>
    <row r="67" spans="1:1" ht="15.75" customHeight="1" x14ac:dyDescent="0.25"/>
    <row r="68" spans="1:1" ht="15.75" customHeight="1" x14ac:dyDescent="0.25"/>
    <row r="69" spans="1:1" ht="15.75" customHeight="1" x14ac:dyDescent="0.25"/>
    <row r="70" spans="1:1" ht="15.75" customHeight="1" x14ac:dyDescent="0.25"/>
    <row r="71" spans="1:1" ht="15.75" customHeight="1" x14ac:dyDescent="0.25"/>
    <row r="72" spans="1:1" ht="15.75" customHeight="1" x14ac:dyDescent="0.25"/>
    <row r="73" spans="1:1" ht="15.75" customHeight="1" x14ac:dyDescent="0.25"/>
    <row r="74" spans="1:1" ht="15.75" customHeight="1" x14ac:dyDescent="0.25"/>
    <row r="75" spans="1:1" ht="15.75" customHeight="1" x14ac:dyDescent="0.25"/>
    <row r="76" spans="1:1" ht="15.75" customHeight="1" x14ac:dyDescent="0.25"/>
    <row r="77" spans="1:1" ht="15.75" customHeight="1" x14ac:dyDescent="0.25"/>
    <row r="78" spans="1:1" ht="15.75" customHeight="1" x14ac:dyDescent="0.25"/>
    <row r="79" spans="1:1" ht="15.75" customHeight="1" x14ac:dyDescent="0.25"/>
    <row r="80" spans="1:1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sortState xmlns:xlrd2="http://schemas.microsoft.com/office/spreadsheetml/2017/richdata2" ref="C13:C50">
    <sortCondition ref="C13:C50"/>
  </sortState>
  <mergeCells count="27">
    <mergeCell ref="D58:K58"/>
    <mergeCell ref="M58:Q58"/>
    <mergeCell ref="A60:H61"/>
    <mergeCell ref="A62:H64"/>
    <mergeCell ref="A11:B11"/>
    <mergeCell ref="D11:H11"/>
    <mergeCell ref="A52:K52"/>
    <mergeCell ref="L52:Q53"/>
    <mergeCell ref="D53:K53"/>
    <mergeCell ref="D54:K54"/>
    <mergeCell ref="D55:K55"/>
    <mergeCell ref="M54:Q54"/>
    <mergeCell ref="M55:Q55"/>
    <mergeCell ref="D56:K56"/>
    <mergeCell ref="M56:Q56"/>
    <mergeCell ref="D57:K57"/>
    <mergeCell ref="M57:Q57"/>
    <mergeCell ref="I11:K11"/>
    <mergeCell ref="L11:P11"/>
    <mergeCell ref="M1:Q1"/>
    <mergeCell ref="M2:Q2"/>
    <mergeCell ref="A3:Q3"/>
    <mergeCell ref="A4:Q4"/>
    <mergeCell ref="A5:Q5"/>
    <mergeCell ref="A6:Q6"/>
    <mergeCell ref="C11:C12"/>
    <mergeCell ref="Q11:Q12"/>
  </mergeCells>
  <pageMargins left="0.59055118110236227" right="0.39370078740157483" top="0.43307086614173229" bottom="0.39370078740157483" header="0" footer="0"/>
  <pageSetup paperSize="10000" scale="87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6DDE8"/>
    <pageSetUpPr fitToPage="1"/>
  </sheetPr>
  <dimension ref="A1:Z1001"/>
  <sheetViews>
    <sheetView topLeftCell="A7" workbookViewId="0">
      <selection activeCell="A7" sqref="A7"/>
    </sheetView>
  </sheetViews>
  <sheetFormatPr defaultColWidth="14.42578125" defaultRowHeight="15" customHeight="1" x14ac:dyDescent="0.25"/>
  <cols>
    <col min="1" max="1" width="4.85546875" customWidth="1"/>
    <col min="2" max="2" width="8.7109375" customWidth="1"/>
    <col min="3" max="3" width="35.42578125" customWidth="1"/>
    <col min="4" max="8" width="3.5703125" customWidth="1"/>
    <col min="9" max="11" width="4.140625" customWidth="1"/>
    <col min="12" max="16" width="4.42578125" customWidth="1"/>
    <col min="17" max="17" width="5" customWidth="1"/>
    <col min="18" max="26" width="8.7109375" customWidth="1"/>
  </cols>
  <sheetData>
    <row r="1" spans="1:17" x14ac:dyDescent="0.25">
      <c r="M1" s="188" t="s">
        <v>0</v>
      </c>
      <c r="N1" s="185"/>
      <c r="O1" s="185"/>
      <c r="P1" s="185"/>
      <c r="Q1" s="186"/>
    </row>
    <row r="2" spans="1:17" x14ac:dyDescent="0.25">
      <c r="M2" s="188" t="s">
        <v>1</v>
      </c>
      <c r="N2" s="185"/>
      <c r="O2" s="185"/>
      <c r="P2" s="185"/>
      <c r="Q2" s="186"/>
    </row>
    <row r="3" spans="1:17" ht="15.75" x14ac:dyDescent="0.3">
      <c r="A3" s="189" t="s">
        <v>2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</row>
    <row r="4" spans="1:17" x14ac:dyDescent="0.25">
      <c r="A4" s="191" t="s">
        <v>3</v>
      </c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</row>
    <row r="5" spans="1:17" x14ac:dyDescent="0.25">
      <c r="A5" s="192" t="s">
        <v>4</v>
      </c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</row>
    <row r="6" spans="1:17" ht="15.75" x14ac:dyDescent="0.25">
      <c r="A6" s="193" t="s">
        <v>5180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</row>
    <row r="7" spans="1:17" ht="15.7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9.5" customHeight="1" x14ac:dyDescent="0.25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3"/>
      <c r="L8" s="2" t="s">
        <v>6</v>
      </c>
      <c r="M8" s="2"/>
      <c r="N8" s="2"/>
      <c r="O8" s="2"/>
      <c r="P8" s="2"/>
      <c r="Q8" s="2"/>
    </row>
    <row r="9" spans="1:17" ht="19.5" customHeight="1" x14ac:dyDescent="0.25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3"/>
      <c r="L9" s="4" t="s">
        <v>5140</v>
      </c>
      <c r="M9" s="2"/>
      <c r="N9" s="2"/>
      <c r="O9" s="2"/>
      <c r="P9" s="2"/>
      <c r="Q9" s="2"/>
    </row>
    <row r="10" spans="1:17" ht="19.5" customHeight="1" x14ac:dyDescent="0.25">
      <c r="A10" s="2" t="s">
        <v>8</v>
      </c>
      <c r="B10" s="2"/>
      <c r="C10" s="4" t="s">
        <v>4509</v>
      </c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</row>
    <row r="11" spans="1:17" ht="15" customHeight="1" x14ac:dyDescent="0.3">
      <c r="A11" s="199" t="s">
        <v>9</v>
      </c>
      <c r="B11" s="186"/>
      <c r="C11" s="194" t="s">
        <v>10</v>
      </c>
      <c r="D11" s="200" t="s">
        <v>11</v>
      </c>
      <c r="E11" s="185"/>
      <c r="F11" s="185"/>
      <c r="G11" s="185"/>
      <c r="H11" s="186"/>
      <c r="I11" s="187" t="s">
        <v>12</v>
      </c>
      <c r="J11" s="185"/>
      <c r="K11" s="186"/>
      <c r="L11" s="187" t="s">
        <v>13</v>
      </c>
      <c r="M11" s="185"/>
      <c r="N11" s="185"/>
      <c r="O11" s="185"/>
      <c r="P11" s="186"/>
      <c r="Q11" s="196" t="s">
        <v>14</v>
      </c>
    </row>
    <row r="12" spans="1:17" ht="15" customHeight="1" x14ac:dyDescent="0.3">
      <c r="A12" s="5" t="s">
        <v>15</v>
      </c>
      <c r="B12" s="5" t="s">
        <v>16</v>
      </c>
      <c r="C12" s="195"/>
      <c r="D12" s="6"/>
      <c r="E12" s="6"/>
      <c r="F12" s="6"/>
      <c r="G12" s="6"/>
      <c r="H12" s="6"/>
      <c r="I12" s="7" t="s">
        <v>17</v>
      </c>
      <c r="J12" s="7" t="s">
        <v>18</v>
      </c>
      <c r="K12" s="7" t="s">
        <v>19</v>
      </c>
      <c r="L12" s="8">
        <v>1</v>
      </c>
      <c r="M12" s="8">
        <v>2</v>
      </c>
      <c r="N12" s="8">
        <v>3</v>
      </c>
      <c r="O12" s="8">
        <v>4</v>
      </c>
      <c r="P12" s="8">
        <v>5</v>
      </c>
      <c r="Q12" s="195"/>
    </row>
    <row r="13" spans="1:17" x14ac:dyDescent="0.25">
      <c r="A13" s="9">
        <v>1</v>
      </c>
      <c r="B13" s="54" t="s">
        <v>4886</v>
      </c>
      <c r="C13" s="11" t="s">
        <v>372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25">
      <c r="A14" s="9">
        <v>2</v>
      </c>
      <c r="B14" s="54" t="s">
        <v>4887</v>
      </c>
      <c r="C14" s="11" t="s">
        <v>373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5">
      <c r="A15" s="9">
        <v>3</v>
      </c>
      <c r="B15" s="54" t="s">
        <v>4888</v>
      </c>
      <c r="C15" s="11" t="s">
        <v>5052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9">
        <v>4</v>
      </c>
      <c r="B16" s="54" t="s">
        <v>4889</v>
      </c>
      <c r="C16" s="11" t="s">
        <v>374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x14ac:dyDescent="0.25">
      <c r="A17" s="9">
        <v>5</v>
      </c>
      <c r="B17" s="54" t="s">
        <v>4890</v>
      </c>
      <c r="C17" s="11" t="s">
        <v>375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x14ac:dyDescent="0.25">
      <c r="A18" s="9">
        <v>6</v>
      </c>
      <c r="B18" s="54" t="s">
        <v>4892</v>
      </c>
      <c r="C18" s="11" t="s">
        <v>377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x14ac:dyDescent="0.25">
      <c r="A19" s="9">
        <v>7</v>
      </c>
      <c r="B19" s="54" t="s">
        <v>4893</v>
      </c>
      <c r="C19" s="11" t="s">
        <v>378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x14ac:dyDescent="0.25">
      <c r="A20" s="9">
        <v>8</v>
      </c>
      <c r="B20" s="54" t="s">
        <v>4895</v>
      </c>
      <c r="C20" s="11" t="s">
        <v>380</v>
      </c>
      <c r="D20" s="15"/>
      <c r="E20" s="15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15.75" customHeight="1" x14ac:dyDescent="0.25">
      <c r="A21" s="9">
        <v>9</v>
      </c>
      <c r="B21" s="54" t="s">
        <v>4896</v>
      </c>
      <c r="C21" s="11" t="s">
        <v>381</v>
      </c>
      <c r="D21" s="12"/>
      <c r="E21" s="12"/>
      <c r="F21" s="16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15.75" customHeight="1" x14ac:dyDescent="0.25">
      <c r="A22" s="9">
        <v>10</v>
      </c>
      <c r="B22" s="54" t="s">
        <v>4897</v>
      </c>
      <c r="C22" s="11" t="s">
        <v>382</v>
      </c>
      <c r="D22" s="12"/>
      <c r="E22" s="12"/>
      <c r="F22" s="16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15.75" customHeight="1" x14ac:dyDescent="0.25">
      <c r="A23" s="9">
        <v>11</v>
      </c>
      <c r="B23" s="54" t="s">
        <v>4898</v>
      </c>
      <c r="C23" s="11" t="s">
        <v>383</v>
      </c>
      <c r="D23" s="12"/>
      <c r="E23" s="12"/>
      <c r="F23" s="16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ht="15.75" customHeight="1" x14ac:dyDescent="0.25">
      <c r="A24" s="9">
        <v>12</v>
      </c>
      <c r="B24" s="108" t="s">
        <v>4934</v>
      </c>
      <c r="C24" s="107" t="s">
        <v>420</v>
      </c>
      <c r="D24" s="12"/>
      <c r="E24" s="12"/>
      <c r="F24" s="16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15.75" customHeight="1" x14ac:dyDescent="0.25">
      <c r="A25" s="9">
        <v>13</v>
      </c>
      <c r="B25" s="54" t="s">
        <v>4899</v>
      </c>
      <c r="C25" s="11" t="s">
        <v>384</v>
      </c>
      <c r="D25" s="12"/>
      <c r="E25" s="12"/>
      <c r="F25" s="16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15.75" customHeight="1" x14ac:dyDescent="0.25">
      <c r="A26" s="9">
        <v>14</v>
      </c>
      <c r="B26" s="54" t="s">
        <v>4900</v>
      </c>
      <c r="C26" s="11" t="s">
        <v>385</v>
      </c>
      <c r="D26" s="20"/>
      <c r="E26" s="20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ht="15.75" customHeight="1" x14ac:dyDescent="0.25">
      <c r="A27" s="9">
        <v>15</v>
      </c>
      <c r="B27" s="54" t="s">
        <v>4901</v>
      </c>
      <c r="C27" s="11" t="s">
        <v>386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ht="15.75" customHeight="1" x14ac:dyDescent="0.25">
      <c r="A28" s="9">
        <v>16</v>
      </c>
      <c r="B28" s="54" t="s">
        <v>4902</v>
      </c>
      <c r="C28" s="11" t="s">
        <v>387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ht="15.75" customHeight="1" x14ac:dyDescent="0.25">
      <c r="A29" s="9">
        <v>17</v>
      </c>
      <c r="B29" s="54" t="s">
        <v>4903</v>
      </c>
      <c r="C29" s="11" t="s">
        <v>388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15.75" customHeight="1" x14ac:dyDescent="0.25">
      <c r="A30" s="9">
        <v>18</v>
      </c>
      <c r="B30" s="54" t="s">
        <v>4904</v>
      </c>
      <c r="C30" s="11" t="s">
        <v>389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17" ht="15.75" customHeight="1" x14ac:dyDescent="0.25">
      <c r="A31" s="9">
        <v>19</v>
      </c>
      <c r="B31" s="54" t="s">
        <v>4905</v>
      </c>
      <c r="C31" s="11" t="s">
        <v>390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17" ht="15.75" customHeight="1" x14ac:dyDescent="0.25">
      <c r="A32" s="9">
        <v>20</v>
      </c>
      <c r="B32" s="54" t="s">
        <v>4906</v>
      </c>
      <c r="C32" s="11" t="s">
        <v>391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26" ht="15.75" customHeight="1" x14ac:dyDescent="0.25">
      <c r="A33" s="9">
        <v>21</v>
      </c>
      <c r="B33" s="54" t="s">
        <v>4907</v>
      </c>
      <c r="C33" s="11" t="s">
        <v>392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26" ht="15.75" customHeight="1" x14ac:dyDescent="0.25">
      <c r="A34" s="9">
        <v>22</v>
      </c>
      <c r="B34" s="54" t="s">
        <v>4908</v>
      </c>
      <c r="C34" s="11" t="s">
        <v>393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26" ht="15.75" customHeight="1" x14ac:dyDescent="0.25">
      <c r="A35" s="9">
        <v>23</v>
      </c>
      <c r="B35" s="54" t="s">
        <v>4909</v>
      </c>
      <c r="C35" s="11" t="s">
        <v>394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1:26" ht="15.75" customHeight="1" x14ac:dyDescent="0.25">
      <c r="A36" s="9">
        <v>24</v>
      </c>
      <c r="B36" s="54" t="s">
        <v>4910</v>
      </c>
      <c r="C36" s="11" t="s">
        <v>395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26" ht="15.75" customHeight="1" x14ac:dyDescent="0.25">
      <c r="A37" s="9">
        <v>25</v>
      </c>
      <c r="B37" s="54" t="s">
        <v>4911</v>
      </c>
      <c r="C37" s="11" t="s">
        <v>397</v>
      </c>
      <c r="D37" s="15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1:26" ht="15.75" customHeight="1" x14ac:dyDescent="0.25">
      <c r="A38" s="9">
        <v>26</v>
      </c>
      <c r="B38" s="54" t="s">
        <v>4912</v>
      </c>
      <c r="C38" s="11" t="s">
        <v>398</v>
      </c>
      <c r="D38" s="12"/>
      <c r="E38" s="16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spans="1:26" ht="15.75" customHeight="1" x14ac:dyDescent="0.25">
      <c r="A39" s="9">
        <v>27</v>
      </c>
      <c r="B39" s="54" t="s">
        <v>4913</v>
      </c>
      <c r="C39" s="11" t="s">
        <v>399</v>
      </c>
      <c r="D39" s="15"/>
      <c r="E39" s="21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spans="1:26" ht="15.75" customHeight="1" x14ac:dyDescent="0.25">
      <c r="A40" s="9">
        <v>28</v>
      </c>
      <c r="B40" s="54" t="s">
        <v>4915</v>
      </c>
      <c r="C40" s="11" t="s">
        <v>401</v>
      </c>
      <c r="D40" s="15"/>
      <c r="E40" s="15"/>
      <c r="F40" s="21"/>
      <c r="G40" s="15"/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spans="1:26" ht="15.75" customHeight="1" x14ac:dyDescent="0.25">
      <c r="A41" s="9">
        <v>29</v>
      </c>
      <c r="B41" s="54" t="s">
        <v>4917</v>
      </c>
      <c r="C41" s="11" t="s">
        <v>403</v>
      </c>
      <c r="D41" s="12"/>
      <c r="E41" s="12"/>
      <c r="F41" s="12"/>
      <c r="G41" s="12"/>
      <c r="H41" s="16"/>
      <c r="I41" s="12"/>
      <c r="J41" s="12"/>
      <c r="K41" s="12"/>
      <c r="L41" s="12"/>
      <c r="M41" s="12"/>
      <c r="N41" s="12"/>
      <c r="O41" s="12"/>
      <c r="P41" s="12"/>
      <c r="Q41" s="12"/>
    </row>
    <row r="42" spans="1:26" ht="15.75" customHeight="1" x14ac:dyDescent="0.25">
      <c r="A42" s="29">
        <v>30</v>
      </c>
      <c r="B42" s="96" t="s">
        <v>4918</v>
      </c>
      <c r="C42" s="14" t="s">
        <v>404</v>
      </c>
      <c r="D42" s="15"/>
      <c r="E42" s="15"/>
      <c r="F42" s="15"/>
      <c r="G42" s="12"/>
      <c r="H42" s="16"/>
      <c r="I42" s="12"/>
      <c r="J42" s="12"/>
      <c r="K42" s="12"/>
      <c r="L42" s="12"/>
      <c r="M42" s="12"/>
      <c r="N42" s="12"/>
      <c r="O42" s="12"/>
      <c r="P42" s="12"/>
      <c r="Q42" s="12"/>
    </row>
    <row r="43" spans="1:26" ht="15.75" customHeight="1" x14ac:dyDescent="0.25">
      <c r="A43" s="69">
        <v>31</v>
      </c>
      <c r="B43" s="97" t="s">
        <v>4919</v>
      </c>
      <c r="C43" s="75" t="s">
        <v>405</v>
      </c>
      <c r="D43" s="68"/>
      <c r="E43" s="68"/>
      <c r="F43" s="68"/>
      <c r="G43" s="16"/>
      <c r="H43" s="16"/>
      <c r="I43" s="12"/>
      <c r="J43" s="12"/>
      <c r="K43" s="12"/>
      <c r="L43" s="12"/>
      <c r="M43" s="12"/>
      <c r="N43" s="12"/>
      <c r="O43" s="12"/>
      <c r="P43" s="12"/>
      <c r="Q43" s="12"/>
    </row>
    <row r="44" spans="1:26" ht="15.75" customHeight="1" x14ac:dyDescent="0.25">
      <c r="A44" s="69">
        <v>32</v>
      </c>
      <c r="B44" s="97" t="s">
        <v>4920</v>
      </c>
      <c r="C44" s="75" t="s">
        <v>406</v>
      </c>
      <c r="D44" s="68"/>
      <c r="E44" s="68"/>
      <c r="F44" s="68"/>
      <c r="G44" s="21"/>
      <c r="H44" s="21"/>
      <c r="I44" s="15"/>
      <c r="J44" s="15"/>
      <c r="K44" s="15"/>
      <c r="L44" s="15"/>
      <c r="M44" s="15"/>
      <c r="N44" s="15"/>
      <c r="O44" s="12"/>
      <c r="P44" s="12"/>
      <c r="Q44" s="12"/>
    </row>
    <row r="45" spans="1:26" ht="15.75" customHeight="1" x14ac:dyDescent="0.25">
      <c r="A45" s="69">
        <v>33</v>
      </c>
      <c r="B45" s="125" t="s">
        <v>5040</v>
      </c>
      <c r="C45" s="126" t="s">
        <v>522</v>
      </c>
      <c r="D45" s="68"/>
      <c r="E45" s="68"/>
      <c r="F45" s="68"/>
      <c r="G45" s="16"/>
      <c r="H45" s="12"/>
      <c r="I45" s="12"/>
      <c r="J45" s="12"/>
      <c r="K45" s="12"/>
      <c r="L45" s="12"/>
      <c r="M45" s="12"/>
      <c r="N45" s="12"/>
      <c r="O45" s="16"/>
      <c r="P45" s="12"/>
      <c r="Q45" s="12"/>
    </row>
    <row r="46" spans="1:26" ht="15.75" customHeight="1" x14ac:dyDescent="0.25">
      <c r="A46" s="69">
        <v>34</v>
      </c>
      <c r="B46" s="97" t="s">
        <v>4921</v>
      </c>
      <c r="C46" s="75" t="s">
        <v>407</v>
      </c>
      <c r="D46" s="68"/>
      <c r="E46" s="68"/>
      <c r="F46" s="68"/>
      <c r="G46" s="16"/>
      <c r="H46" s="12"/>
      <c r="I46" s="12"/>
      <c r="J46" s="12"/>
      <c r="K46" s="12"/>
      <c r="L46" s="12"/>
      <c r="M46" s="12"/>
      <c r="N46" s="12"/>
      <c r="O46" s="16"/>
      <c r="P46" s="12"/>
      <c r="Q46" s="12"/>
    </row>
    <row r="47" spans="1:26" ht="15.75" customHeight="1" x14ac:dyDescent="0.25">
      <c r="A47" s="69">
        <v>35</v>
      </c>
      <c r="B47" s="71"/>
      <c r="C47" s="71"/>
      <c r="D47" s="68"/>
      <c r="E47" s="68"/>
      <c r="F47" s="68"/>
      <c r="G47" s="16"/>
      <c r="H47" s="12"/>
      <c r="I47" s="12"/>
      <c r="J47" s="12"/>
      <c r="K47" s="12"/>
      <c r="L47" s="12"/>
      <c r="M47" s="12"/>
      <c r="N47" s="12"/>
      <c r="O47" s="16"/>
      <c r="P47" s="12"/>
      <c r="Q47" s="12"/>
    </row>
    <row r="48" spans="1:26" ht="15.75" customHeight="1" x14ac:dyDescent="0.25">
      <c r="A48" s="69">
        <v>36</v>
      </c>
      <c r="B48" s="71"/>
      <c r="C48" s="71"/>
      <c r="D48" s="68"/>
      <c r="E48" s="68"/>
      <c r="F48" s="68"/>
      <c r="G48" s="16"/>
      <c r="H48" s="12"/>
      <c r="I48" s="12"/>
      <c r="J48" s="12"/>
      <c r="K48" s="12"/>
      <c r="L48" s="12"/>
      <c r="M48" s="12"/>
      <c r="N48" s="12"/>
      <c r="O48" s="16"/>
      <c r="P48" s="12"/>
      <c r="Q48" s="12"/>
      <c r="R48" s="13"/>
      <c r="S48" s="13"/>
      <c r="T48" s="13"/>
      <c r="U48" s="13"/>
      <c r="V48" s="13"/>
      <c r="W48" s="13"/>
      <c r="X48" s="13"/>
      <c r="Y48" s="13"/>
      <c r="Z48" s="13"/>
    </row>
    <row r="49" spans="1:17" ht="15.75" customHeight="1" x14ac:dyDescent="0.25">
      <c r="A49" s="69">
        <v>37</v>
      </c>
      <c r="B49" s="71"/>
      <c r="C49" s="71"/>
      <c r="D49" s="68"/>
      <c r="E49" s="68"/>
      <c r="F49" s="68"/>
      <c r="G49" s="16"/>
      <c r="H49" s="12"/>
      <c r="I49" s="12"/>
      <c r="J49" s="12"/>
      <c r="K49" s="12"/>
      <c r="L49" s="12"/>
      <c r="M49" s="12"/>
      <c r="N49" s="12"/>
      <c r="O49" s="16"/>
      <c r="P49" s="12"/>
      <c r="Q49" s="12"/>
    </row>
    <row r="50" spans="1:17" ht="15.75" customHeight="1" x14ac:dyDescent="0.25">
      <c r="A50" s="2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spans="1:17" ht="15.75" customHeight="1" x14ac:dyDescent="0.25">
      <c r="A51" s="201" t="s">
        <v>50</v>
      </c>
      <c r="B51" s="185"/>
      <c r="C51" s="185"/>
      <c r="D51" s="185"/>
      <c r="E51" s="185"/>
      <c r="F51" s="185"/>
      <c r="G51" s="185"/>
      <c r="H51" s="185"/>
      <c r="I51" s="185"/>
      <c r="J51" s="185"/>
      <c r="K51" s="186"/>
      <c r="L51" s="202" t="s">
        <v>51</v>
      </c>
      <c r="M51" s="203"/>
      <c r="N51" s="203"/>
      <c r="O51" s="203"/>
      <c r="P51" s="203"/>
      <c r="Q51" s="204"/>
    </row>
    <row r="52" spans="1:17" ht="15.75" customHeight="1" x14ac:dyDescent="0.25">
      <c r="A52" s="8" t="s">
        <v>52</v>
      </c>
      <c r="B52" s="8" t="s">
        <v>53</v>
      </c>
      <c r="C52" s="23" t="s">
        <v>54</v>
      </c>
      <c r="D52" s="201" t="s">
        <v>55</v>
      </c>
      <c r="E52" s="185"/>
      <c r="F52" s="185"/>
      <c r="G52" s="185"/>
      <c r="H52" s="185"/>
      <c r="I52" s="185"/>
      <c r="J52" s="185"/>
      <c r="K52" s="186"/>
      <c r="L52" s="205"/>
      <c r="M52" s="206"/>
      <c r="N52" s="206"/>
      <c r="O52" s="206"/>
      <c r="P52" s="206"/>
      <c r="Q52" s="207"/>
    </row>
    <row r="53" spans="1:17" ht="15.75" customHeight="1" x14ac:dyDescent="0.3">
      <c r="A53" s="9">
        <v>1</v>
      </c>
      <c r="B53" s="12"/>
      <c r="C53" s="24" t="s">
        <v>56</v>
      </c>
      <c r="D53" s="184"/>
      <c r="E53" s="185"/>
      <c r="F53" s="185"/>
      <c r="G53" s="185"/>
      <c r="H53" s="185"/>
      <c r="I53" s="185"/>
      <c r="J53" s="185"/>
      <c r="K53" s="186"/>
      <c r="L53" s="9">
        <v>1</v>
      </c>
      <c r="M53" s="184"/>
      <c r="N53" s="185"/>
      <c r="O53" s="185"/>
      <c r="P53" s="185"/>
      <c r="Q53" s="186"/>
    </row>
    <row r="54" spans="1:17" ht="15.75" customHeight="1" x14ac:dyDescent="0.3">
      <c r="A54" s="9">
        <v>2</v>
      </c>
      <c r="B54" s="12"/>
      <c r="C54" s="24" t="s">
        <v>56</v>
      </c>
      <c r="D54" s="184"/>
      <c r="E54" s="185"/>
      <c r="F54" s="185"/>
      <c r="G54" s="185"/>
      <c r="H54" s="185"/>
      <c r="I54" s="185"/>
      <c r="J54" s="185"/>
      <c r="K54" s="186"/>
      <c r="L54" s="9">
        <v>2</v>
      </c>
      <c r="M54" s="184"/>
      <c r="N54" s="185"/>
      <c r="O54" s="185"/>
      <c r="P54" s="185"/>
      <c r="Q54" s="186"/>
    </row>
    <row r="55" spans="1:17" ht="15.75" customHeight="1" x14ac:dyDescent="0.3">
      <c r="A55" s="9">
        <v>3</v>
      </c>
      <c r="B55" s="12"/>
      <c r="C55" s="24" t="s">
        <v>56</v>
      </c>
      <c r="D55" s="184"/>
      <c r="E55" s="185"/>
      <c r="F55" s="185"/>
      <c r="G55" s="185"/>
      <c r="H55" s="185"/>
      <c r="I55" s="185"/>
      <c r="J55" s="185"/>
      <c r="K55" s="186"/>
      <c r="L55" s="9">
        <v>3</v>
      </c>
      <c r="M55" s="184"/>
      <c r="N55" s="185"/>
      <c r="O55" s="185"/>
      <c r="P55" s="185"/>
      <c r="Q55" s="186"/>
    </row>
    <row r="56" spans="1:17" ht="15.75" customHeight="1" x14ac:dyDescent="0.3">
      <c r="A56" s="9">
        <v>4</v>
      </c>
      <c r="B56" s="12"/>
      <c r="C56" s="24" t="s">
        <v>56</v>
      </c>
      <c r="D56" s="184"/>
      <c r="E56" s="185"/>
      <c r="F56" s="185"/>
      <c r="G56" s="185"/>
      <c r="H56" s="185"/>
      <c r="I56" s="185"/>
      <c r="J56" s="185"/>
      <c r="K56" s="186"/>
      <c r="L56" s="9">
        <v>4</v>
      </c>
      <c r="M56" s="184"/>
      <c r="N56" s="185"/>
      <c r="O56" s="185"/>
      <c r="P56" s="185"/>
      <c r="Q56" s="186"/>
    </row>
    <row r="57" spans="1:17" ht="15.75" customHeight="1" x14ac:dyDescent="0.3">
      <c r="A57" s="9">
        <v>5</v>
      </c>
      <c r="B57" s="12"/>
      <c r="C57" s="24" t="s">
        <v>56</v>
      </c>
      <c r="D57" s="184"/>
      <c r="E57" s="185"/>
      <c r="F57" s="185"/>
      <c r="G57" s="185"/>
      <c r="H57" s="185"/>
      <c r="I57" s="185"/>
      <c r="J57" s="185"/>
      <c r="K57" s="186"/>
      <c r="L57" s="9">
        <v>5</v>
      </c>
      <c r="M57" s="184"/>
      <c r="N57" s="185"/>
      <c r="O57" s="185"/>
      <c r="P57" s="185"/>
      <c r="Q57" s="186"/>
    </row>
    <row r="58" spans="1:17" ht="15.75" customHeight="1" x14ac:dyDescent="0.25">
      <c r="A58" s="25" t="s">
        <v>57</v>
      </c>
      <c r="K58" s="13" t="s">
        <v>58</v>
      </c>
    </row>
    <row r="59" spans="1:17" ht="16.5" customHeight="1" x14ac:dyDescent="0.25">
      <c r="A59" s="197" t="s">
        <v>59</v>
      </c>
      <c r="B59" s="190"/>
      <c r="C59" s="190"/>
      <c r="D59" s="190"/>
      <c r="E59" s="190"/>
      <c r="F59" s="190"/>
      <c r="G59" s="190"/>
      <c r="H59" s="190"/>
      <c r="K59" s="13" t="s">
        <v>60</v>
      </c>
    </row>
    <row r="60" spans="1:17" ht="15.75" customHeight="1" x14ac:dyDescent="0.25">
      <c r="A60" s="190"/>
      <c r="B60" s="190"/>
      <c r="C60" s="190"/>
      <c r="D60" s="190"/>
      <c r="E60" s="190"/>
      <c r="F60" s="190"/>
      <c r="G60" s="190"/>
      <c r="H60" s="190"/>
    </row>
    <row r="61" spans="1:17" ht="15.75" customHeight="1" x14ac:dyDescent="0.25">
      <c r="A61" s="198" t="s">
        <v>61</v>
      </c>
      <c r="B61" s="190"/>
      <c r="C61" s="190"/>
      <c r="D61" s="190"/>
      <c r="E61" s="190"/>
      <c r="F61" s="190"/>
      <c r="G61" s="190"/>
      <c r="H61" s="190"/>
    </row>
    <row r="62" spans="1:17" ht="15.75" customHeight="1" x14ac:dyDescent="0.25">
      <c r="A62" s="190"/>
      <c r="B62" s="190"/>
      <c r="C62" s="190"/>
      <c r="D62" s="190"/>
      <c r="E62" s="190"/>
      <c r="F62" s="190"/>
      <c r="G62" s="190"/>
      <c r="H62" s="190"/>
      <c r="K62" s="13" t="s">
        <v>62</v>
      </c>
    </row>
    <row r="63" spans="1:17" ht="15.75" customHeight="1" x14ac:dyDescent="0.25">
      <c r="A63" s="190"/>
      <c r="B63" s="190"/>
      <c r="C63" s="190"/>
      <c r="D63" s="190"/>
      <c r="E63" s="190"/>
      <c r="F63" s="190"/>
      <c r="G63" s="190"/>
      <c r="H63" s="190"/>
      <c r="K63" s="13" t="s">
        <v>63</v>
      </c>
    </row>
    <row r="64" spans="1:17" ht="15.75" customHeight="1" x14ac:dyDescent="0.25"/>
    <row r="65" spans="1:1" ht="15.75" customHeight="1" x14ac:dyDescent="0.25">
      <c r="A65" s="26" t="s">
        <v>5138</v>
      </c>
    </row>
    <row r="66" spans="1:1" ht="15.75" customHeight="1" x14ac:dyDescent="0.25"/>
    <row r="67" spans="1:1" ht="15.75" customHeight="1" x14ac:dyDescent="0.25"/>
    <row r="68" spans="1:1" ht="15.75" customHeight="1" x14ac:dyDescent="0.25"/>
    <row r="69" spans="1:1" ht="15.75" customHeight="1" x14ac:dyDescent="0.25"/>
    <row r="70" spans="1:1" ht="15.75" customHeight="1" x14ac:dyDescent="0.25"/>
    <row r="71" spans="1:1" ht="15.75" customHeight="1" x14ac:dyDescent="0.25"/>
    <row r="72" spans="1:1" ht="15.75" customHeight="1" x14ac:dyDescent="0.25"/>
    <row r="73" spans="1:1" ht="15.75" customHeight="1" x14ac:dyDescent="0.25"/>
    <row r="74" spans="1:1" ht="15.75" customHeight="1" x14ac:dyDescent="0.25"/>
    <row r="75" spans="1:1" ht="15.75" customHeight="1" x14ac:dyDescent="0.25"/>
    <row r="76" spans="1:1" ht="15.75" customHeight="1" x14ac:dyDescent="0.25"/>
    <row r="77" spans="1:1" ht="15.75" customHeight="1" x14ac:dyDescent="0.25"/>
    <row r="78" spans="1:1" ht="15.75" customHeight="1" x14ac:dyDescent="0.25"/>
    <row r="79" spans="1:1" ht="15.75" customHeight="1" x14ac:dyDescent="0.25"/>
    <row r="80" spans="1:1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7">
    <mergeCell ref="D57:K57"/>
    <mergeCell ref="M57:Q57"/>
    <mergeCell ref="A59:H60"/>
    <mergeCell ref="A61:H63"/>
    <mergeCell ref="A11:B11"/>
    <mergeCell ref="D11:H11"/>
    <mergeCell ref="A51:K51"/>
    <mergeCell ref="L51:Q52"/>
    <mergeCell ref="D52:K52"/>
    <mergeCell ref="D53:K53"/>
    <mergeCell ref="D54:K54"/>
    <mergeCell ref="M53:Q53"/>
    <mergeCell ref="M54:Q54"/>
    <mergeCell ref="D55:K55"/>
    <mergeCell ref="M55:Q55"/>
    <mergeCell ref="D56:K56"/>
    <mergeCell ref="M56:Q56"/>
    <mergeCell ref="I11:K11"/>
    <mergeCell ref="L11:P11"/>
    <mergeCell ref="M1:Q1"/>
    <mergeCell ref="M2:Q2"/>
    <mergeCell ref="A3:Q3"/>
    <mergeCell ref="A4:Q4"/>
    <mergeCell ref="A5:Q5"/>
    <mergeCell ref="A6:Q6"/>
    <mergeCell ref="C11:C12"/>
    <mergeCell ref="Q11:Q12"/>
  </mergeCells>
  <pageMargins left="0.59055118110236227" right="0.39370078740157483" top="0.43307086614173229" bottom="0.39370078740157483" header="0" footer="0"/>
  <pageSetup paperSize="10000" scale="87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B6DDE8"/>
    <pageSetUpPr fitToPage="1"/>
  </sheetPr>
  <dimension ref="A1:Z1000"/>
  <sheetViews>
    <sheetView workbookViewId="0">
      <selection activeCell="A65" sqref="A65"/>
    </sheetView>
  </sheetViews>
  <sheetFormatPr defaultColWidth="14.42578125" defaultRowHeight="15" customHeight="1" x14ac:dyDescent="0.25"/>
  <cols>
    <col min="1" max="1" width="4.85546875" customWidth="1"/>
    <col min="2" max="2" width="8.7109375" customWidth="1"/>
    <col min="3" max="3" width="35.42578125" customWidth="1"/>
    <col min="4" max="8" width="3.5703125" customWidth="1"/>
    <col min="9" max="11" width="4.140625" customWidth="1"/>
    <col min="12" max="16" width="4.42578125" customWidth="1"/>
    <col min="17" max="17" width="5" customWidth="1"/>
    <col min="18" max="26" width="8.7109375" customWidth="1"/>
  </cols>
  <sheetData>
    <row r="1" spans="1:17" x14ac:dyDescent="0.25">
      <c r="M1" s="188" t="s">
        <v>0</v>
      </c>
      <c r="N1" s="185"/>
      <c r="O1" s="185"/>
      <c r="P1" s="185"/>
      <c r="Q1" s="186"/>
    </row>
    <row r="2" spans="1:17" x14ac:dyDescent="0.25">
      <c r="M2" s="188" t="s">
        <v>1</v>
      </c>
      <c r="N2" s="185"/>
      <c r="O2" s="185"/>
      <c r="P2" s="185"/>
      <c r="Q2" s="186"/>
    </row>
    <row r="3" spans="1:17" ht="15.75" x14ac:dyDescent="0.3">
      <c r="A3" s="189" t="s">
        <v>2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</row>
    <row r="4" spans="1:17" x14ac:dyDescent="0.25">
      <c r="A4" s="191" t="s">
        <v>3</v>
      </c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</row>
    <row r="5" spans="1:17" x14ac:dyDescent="0.25">
      <c r="A5" s="192" t="s">
        <v>4</v>
      </c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</row>
    <row r="6" spans="1:17" ht="15.75" x14ac:dyDescent="0.25">
      <c r="A6" s="193" t="s">
        <v>5181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</row>
    <row r="7" spans="1:17" ht="15.7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9.5" customHeight="1" x14ac:dyDescent="0.25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3"/>
      <c r="L8" s="2" t="s">
        <v>6</v>
      </c>
      <c r="M8" s="2"/>
      <c r="N8" s="2"/>
      <c r="O8" s="2"/>
      <c r="P8" s="2"/>
      <c r="Q8" s="2"/>
    </row>
    <row r="9" spans="1:17" ht="19.5" customHeight="1" x14ac:dyDescent="0.25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3"/>
      <c r="L9" s="4" t="s">
        <v>5140</v>
      </c>
      <c r="M9" s="2"/>
      <c r="N9" s="2"/>
      <c r="O9" s="2"/>
      <c r="P9" s="2"/>
      <c r="Q9" s="2"/>
    </row>
    <row r="10" spans="1:17" ht="19.5" customHeight="1" x14ac:dyDescent="0.25">
      <c r="A10" s="2" t="s">
        <v>8</v>
      </c>
      <c r="B10" s="2"/>
      <c r="C10" s="4" t="s">
        <v>4510</v>
      </c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</row>
    <row r="11" spans="1:17" ht="15" customHeight="1" x14ac:dyDescent="0.3">
      <c r="A11" s="199" t="s">
        <v>9</v>
      </c>
      <c r="B11" s="186"/>
      <c r="C11" s="194" t="s">
        <v>10</v>
      </c>
      <c r="D11" s="200" t="s">
        <v>11</v>
      </c>
      <c r="E11" s="185"/>
      <c r="F11" s="185"/>
      <c r="G11" s="185"/>
      <c r="H11" s="186"/>
      <c r="I11" s="187" t="s">
        <v>12</v>
      </c>
      <c r="J11" s="185"/>
      <c r="K11" s="186"/>
      <c r="L11" s="187" t="s">
        <v>13</v>
      </c>
      <c r="M11" s="185"/>
      <c r="N11" s="185"/>
      <c r="O11" s="185"/>
      <c r="P11" s="186"/>
      <c r="Q11" s="196" t="s">
        <v>14</v>
      </c>
    </row>
    <row r="12" spans="1:17" ht="15" customHeight="1" x14ac:dyDescent="0.3">
      <c r="A12" s="5" t="s">
        <v>15</v>
      </c>
      <c r="B12" s="5" t="s">
        <v>16</v>
      </c>
      <c r="C12" s="195"/>
      <c r="D12" s="6"/>
      <c r="E12" s="6"/>
      <c r="F12" s="6"/>
      <c r="G12" s="6"/>
      <c r="H12" s="6"/>
      <c r="I12" s="7" t="s">
        <v>17</v>
      </c>
      <c r="J12" s="7" t="s">
        <v>18</v>
      </c>
      <c r="K12" s="7" t="s">
        <v>19</v>
      </c>
      <c r="L12" s="8">
        <v>1</v>
      </c>
      <c r="M12" s="8">
        <v>2</v>
      </c>
      <c r="N12" s="8">
        <v>3</v>
      </c>
      <c r="O12" s="8">
        <v>4</v>
      </c>
      <c r="P12" s="8">
        <v>5</v>
      </c>
      <c r="Q12" s="195"/>
    </row>
    <row r="13" spans="1:17" x14ac:dyDescent="0.25">
      <c r="A13" s="9">
        <v>1</v>
      </c>
      <c r="B13" s="10" t="s">
        <v>4922</v>
      </c>
      <c r="C13" s="11" t="s">
        <v>408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25">
      <c r="A14" s="9">
        <v>2</v>
      </c>
      <c r="B14" s="10" t="s">
        <v>4925</v>
      </c>
      <c r="C14" s="11" t="s">
        <v>411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5">
      <c r="A15" s="9">
        <v>3</v>
      </c>
      <c r="B15" s="10" t="s">
        <v>4927</v>
      </c>
      <c r="C15" s="11" t="s">
        <v>413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9">
        <v>4</v>
      </c>
      <c r="B16" s="10" t="s">
        <v>4928</v>
      </c>
      <c r="C16" s="33" t="s">
        <v>414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26" x14ac:dyDescent="0.25">
      <c r="A17" s="9">
        <v>5</v>
      </c>
      <c r="B17" s="10" t="s">
        <v>4929</v>
      </c>
      <c r="C17" s="11" t="s">
        <v>415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26" x14ac:dyDescent="0.25">
      <c r="A18" s="9">
        <v>6</v>
      </c>
      <c r="B18" s="175" t="s">
        <v>4931</v>
      </c>
      <c r="C18" s="14" t="s">
        <v>417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26" x14ac:dyDescent="0.25">
      <c r="A19" s="9">
        <v>7</v>
      </c>
      <c r="B19" s="70" t="s">
        <v>4932</v>
      </c>
      <c r="C19" s="144" t="s">
        <v>418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26" x14ac:dyDescent="0.25">
      <c r="A20" s="9">
        <v>8</v>
      </c>
      <c r="B20" s="70" t="s">
        <v>4933</v>
      </c>
      <c r="C20" s="144" t="s">
        <v>419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26" ht="15.75" customHeight="1" x14ac:dyDescent="0.25">
      <c r="A21" s="29">
        <v>9</v>
      </c>
      <c r="B21" s="70" t="s">
        <v>4938</v>
      </c>
      <c r="C21" s="75" t="s">
        <v>424</v>
      </c>
      <c r="D21" s="15"/>
      <c r="E21" s="15"/>
      <c r="F21" s="15"/>
      <c r="G21" s="15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26" ht="15.75" customHeight="1" x14ac:dyDescent="0.25">
      <c r="A22" s="69">
        <v>10</v>
      </c>
      <c r="B22" s="70" t="s">
        <v>4939</v>
      </c>
      <c r="C22" s="75" t="s">
        <v>425</v>
      </c>
      <c r="D22" s="68"/>
      <c r="E22" s="68"/>
      <c r="F22" s="68"/>
      <c r="G22" s="68"/>
      <c r="H22" s="16"/>
      <c r="I22" s="12"/>
      <c r="J22" s="12"/>
      <c r="K22" s="12"/>
      <c r="L22" s="12"/>
      <c r="M22" s="12"/>
      <c r="N22" s="12"/>
      <c r="O22" s="12"/>
      <c r="P22" s="12"/>
      <c r="Q22" s="12"/>
    </row>
    <row r="23" spans="1:26" ht="15.75" customHeight="1" x14ac:dyDescent="0.25">
      <c r="A23" s="69">
        <v>11</v>
      </c>
      <c r="B23" s="70" t="s">
        <v>4940</v>
      </c>
      <c r="C23" s="75" t="s">
        <v>426</v>
      </c>
      <c r="D23" s="68"/>
      <c r="E23" s="68"/>
      <c r="F23" s="68"/>
      <c r="G23" s="68"/>
      <c r="H23" s="16"/>
      <c r="I23" s="12"/>
      <c r="J23" s="12"/>
      <c r="K23" s="12"/>
      <c r="L23" s="12"/>
      <c r="M23" s="12"/>
      <c r="N23" s="12"/>
      <c r="O23" s="12"/>
      <c r="P23" s="12"/>
      <c r="Q23" s="12"/>
    </row>
    <row r="24" spans="1:26" ht="15.75" customHeight="1" x14ac:dyDescent="0.25">
      <c r="A24" s="69">
        <v>12</v>
      </c>
      <c r="B24" s="70" t="s">
        <v>4942</v>
      </c>
      <c r="C24" s="75" t="s">
        <v>428</v>
      </c>
      <c r="D24" s="68"/>
      <c r="E24" s="68"/>
      <c r="F24" s="68"/>
      <c r="G24" s="68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75" customHeight="1" x14ac:dyDescent="0.25">
      <c r="A25" s="69">
        <v>13</v>
      </c>
      <c r="B25" s="70" t="s">
        <v>4943</v>
      </c>
      <c r="C25" s="75" t="s">
        <v>429</v>
      </c>
      <c r="D25" s="68"/>
      <c r="E25" s="68"/>
      <c r="F25" s="68"/>
      <c r="G25" s="68"/>
      <c r="H25" s="16"/>
      <c r="I25" s="12"/>
      <c r="J25" s="12"/>
      <c r="K25" s="12"/>
      <c r="L25" s="12"/>
      <c r="M25" s="12"/>
      <c r="N25" s="12"/>
      <c r="O25" s="12"/>
      <c r="P25" s="12"/>
      <c r="Q25" s="12"/>
    </row>
    <row r="26" spans="1:26" ht="15.75" customHeight="1" x14ac:dyDescent="0.25">
      <c r="A26" s="69">
        <v>14</v>
      </c>
      <c r="B26" s="70" t="s">
        <v>4944</v>
      </c>
      <c r="C26" s="75" t="s">
        <v>430</v>
      </c>
      <c r="D26" s="68"/>
      <c r="E26" s="68"/>
      <c r="F26" s="68"/>
      <c r="G26" s="68"/>
      <c r="H26" s="16"/>
      <c r="I26" s="12"/>
      <c r="J26" s="12"/>
      <c r="K26" s="12"/>
      <c r="L26" s="12"/>
      <c r="M26" s="12"/>
      <c r="N26" s="12"/>
      <c r="O26" s="12"/>
      <c r="P26" s="12"/>
      <c r="Q26" s="12"/>
    </row>
    <row r="27" spans="1:26" ht="15.75" customHeight="1" x14ac:dyDescent="0.25">
      <c r="A27" s="69">
        <v>15</v>
      </c>
      <c r="B27" s="70" t="s">
        <v>4945</v>
      </c>
      <c r="C27" s="75" t="s">
        <v>431</v>
      </c>
      <c r="D27" s="68"/>
      <c r="E27" s="68"/>
      <c r="F27" s="68"/>
      <c r="G27" s="68"/>
      <c r="H27" s="16"/>
      <c r="I27" s="12"/>
      <c r="J27" s="12"/>
      <c r="K27" s="12"/>
      <c r="L27" s="12"/>
      <c r="M27" s="12"/>
      <c r="N27" s="12"/>
      <c r="O27" s="12"/>
      <c r="P27" s="12"/>
      <c r="Q27" s="12"/>
    </row>
    <row r="28" spans="1:26" ht="15.75" customHeight="1" x14ac:dyDescent="0.25">
      <c r="A28" s="69">
        <v>16</v>
      </c>
      <c r="B28" s="70" t="s">
        <v>4946</v>
      </c>
      <c r="C28" s="75" t="s">
        <v>432</v>
      </c>
      <c r="D28" s="68"/>
      <c r="E28" s="68"/>
      <c r="F28" s="68"/>
      <c r="G28" s="68"/>
      <c r="H28" s="16"/>
      <c r="I28" s="12"/>
      <c r="J28" s="12"/>
      <c r="K28" s="12"/>
      <c r="L28" s="12"/>
      <c r="M28" s="12"/>
      <c r="N28" s="12"/>
      <c r="O28" s="12"/>
      <c r="P28" s="12"/>
      <c r="Q28" s="12"/>
    </row>
    <row r="29" spans="1:26" ht="15.75" customHeight="1" x14ac:dyDescent="0.25">
      <c r="A29" s="69">
        <v>17</v>
      </c>
      <c r="B29" s="70" t="s">
        <v>4947</v>
      </c>
      <c r="C29" s="75" t="s">
        <v>433</v>
      </c>
      <c r="D29" s="68"/>
      <c r="E29" s="68"/>
      <c r="F29" s="68"/>
      <c r="G29" s="68"/>
      <c r="H29" s="16"/>
      <c r="I29" s="12"/>
      <c r="J29" s="12"/>
      <c r="K29" s="12"/>
      <c r="L29" s="12"/>
      <c r="M29" s="12"/>
      <c r="N29" s="12"/>
      <c r="O29" s="12"/>
      <c r="P29" s="12"/>
      <c r="Q29" s="12"/>
    </row>
    <row r="30" spans="1:26" ht="15.75" customHeight="1" x14ac:dyDescent="0.25">
      <c r="A30" s="69">
        <v>18</v>
      </c>
      <c r="B30" s="70" t="s">
        <v>4948</v>
      </c>
      <c r="C30" s="75" t="s">
        <v>434</v>
      </c>
      <c r="D30" s="68"/>
      <c r="E30" s="68"/>
      <c r="F30" s="68"/>
      <c r="G30" s="68"/>
      <c r="H30" s="16"/>
      <c r="I30" s="12"/>
      <c r="J30" s="12"/>
      <c r="K30" s="12"/>
      <c r="L30" s="12"/>
      <c r="M30" s="12"/>
      <c r="N30" s="12"/>
      <c r="O30" s="12"/>
      <c r="P30" s="12"/>
      <c r="Q30" s="12"/>
    </row>
    <row r="31" spans="1:26" ht="15.75" customHeight="1" x14ac:dyDescent="0.25">
      <c r="A31" s="69">
        <v>19</v>
      </c>
      <c r="B31" s="70" t="s">
        <v>4949</v>
      </c>
      <c r="C31" s="75" t="s">
        <v>435</v>
      </c>
      <c r="D31" s="68"/>
      <c r="E31" s="68"/>
      <c r="F31" s="68"/>
      <c r="G31" s="68"/>
      <c r="H31" s="16"/>
      <c r="I31" s="12"/>
      <c r="J31" s="12"/>
      <c r="K31" s="12"/>
      <c r="L31" s="12"/>
      <c r="M31" s="12"/>
      <c r="N31" s="12"/>
      <c r="O31" s="12"/>
      <c r="P31" s="12"/>
      <c r="Q31" s="12"/>
    </row>
    <row r="32" spans="1:26" ht="15.75" customHeight="1" x14ac:dyDescent="0.25">
      <c r="A32" s="69">
        <v>20</v>
      </c>
      <c r="B32" s="70" t="s">
        <v>4951</v>
      </c>
      <c r="C32" s="75" t="s">
        <v>437</v>
      </c>
      <c r="D32" s="68"/>
      <c r="E32" s="68"/>
      <c r="F32" s="68"/>
      <c r="G32" s="68"/>
      <c r="H32" s="16"/>
      <c r="I32" s="12"/>
      <c r="J32" s="12"/>
      <c r="K32" s="12"/>
      <c r="L32" s="12"/>
      <c r="M32" s="12"/>
      <c r="N32" s="12"/>
      <c r="O32" s="12"/>
      <c r="P32" s="12"/>
      <c r="Q32" s="12"/>
    </row>
    <row r="33" spans="1:26" ht="15.75" customHeight="1" x14ac:dyDescent="0.25">
      <c r="A33" s="69">
        <v>21</v>
      </c>
      <c r="B33" s="70" t="s">
        <v>4952</v>
      </c>
      <c r="C33" s="75" t="s">
        <v>438</v>
      </c>
      <c r="D33" s="68"/>
      <c r="E33" s="68"/>
      <c r="F33" s="68"/>
      <c r="G33" s="68"/>
      <c r="H33" s="16"/>
      <c r="I33" s="12"/>
      <c r="J33" s="12"/>
      <c r="K33" s="12"/>
      <c r="L33" s="12"/>
      <c r="M33" s="12"/>
      <c r="N33" s="12"/>
      <c r="O33" s="12"/>
      <c r="P33" s="12"/>
      <c r="Q33" s="12"/>
    </row>
    <row r="34" spans="1:26" ht="15.75" customHeight="1" x14ac:dyDescent="0.25">
      <c r="A34" s="69">
        <v>22</v>
      </c>
      <c r="B34" s="70" t="s">
        <v>4956</v>
      </c>
      <c r="C34" s="75" t="s">
        <v>442</v>
      </c>
      <c r="D34" s="68"/>
      <c r="E34" s="68"/>
      <c r="F34" s="68"/>
      <c r="G34" s="68"/>
      <c r="H34" s="16"/>
      <c r="I34" s="12"/>
      <c r="J34" s="12"/>
      <c r="K34" s="12"/>
      <c r="L34" s="12"/>
      <c r="M34" s="12"/>
      <c r="N34" s="12"/>
      <c r="O34" s="12"/>
      <c r="P34" s="12"/>
      <c r="Q34" s="12"/>
    </row>
    <row r="35" spans="1:26" ht="15.75" customHeight="1" x14ac:dyDescent="0.25">
      <c r="A35" s="69">
        <v>23</v>
      </c>
      <c r="B35" s="70" t="s">
        <v>4957</v>
      </c>
      <c r="C35" s="75" t="s">
        <v>443</v>
      </c>
      <c r="D35" s="68"/>
      <c r="E35" s="68"/>
      <c r="F35" s="68"/>
      <c r="G35" s="68"/>
      <c r="H35" s="21"/>
      <c r="I35" s="12"/>
      <c r="J35" s="12"/>
      <c r="K35" s="12"/>
      <c r="L35" s="12"/>
      <c r="M35" s="12"/>
      <c r="N35" s="12"/>
      <c r="O35" s="12"/>
      <c r="P35" s="12"/>
      <c r="Q35" s="12"/>
    </row>
    <row r="36" spans="1:26" ht="15.75" customHeight="1" x14ac:dyDescent="0.25">
      <c r="A36" s="69">
        <v>24</v>
      </c>
      <c r="B36" s="70" t="s">
        <v>4958</v>
      </c>
      <c r="C36" s="75" t="s">
        <v>444</v>
      </c>
      <c r="D36" s="68"/>
      <c r="E36" s="68"/>
      <c r="F36" s="68"/>
      <c r="G36" s="68"/>
      <c r="H36" s="113"/>
      <c r="I36" s="21"/>
      <c r="J36" s="15"/>
      <c r="K36" s="15"/>
      <c r="L36" s="15"/>
      <c r="M36" s="15"/>
      <c r="N36" s="15"/>
      <c r="O36" s="15"/>
      <c r="P36" s="12"/>
      <c r="Q36" s="12"/>
    </row>
    <row r="37" spans="1:26" ht="15.75" customHeight="1" x14ac:dyDescent="0.25">
      <c r="A37" s="69">
        <v>25</v>
      </c>
      <c r="B37" s="71"/>
      <c r="C37" s="71"/>
      <c r="D37" s="68"/>
      <c r="E37" s="68"/>
      <c r="F37" s="68"/>
      <c r="G37" s="68"/>
      <c r="H37" s="113"/>
      <c r="I37" s="113"/>
      <c r="J37" s="68"/>
      <c r="K37" s="68"/>
      <c r="L37" s="68"/>
      <c r="M37" s="68"/>
      <c r="N37" s="68"/>
      <c r="O37" s="68"/>
      <c r="P37" s="16"/>
      <c r="Q37" s="12"/>
    </row>
    <row r="38" spans="1:26" ht="15.75" customHeight="1" x14ac:dyDescent="0.25">
      <c r="A38" s="69">
        <v>26</v>
      </c>
      <c r="B38" s="71"/>
      <c r="C38" s="71"/>
      <c r="D38" s="68"/>
      <c r="E38" s="68"/>
      <c r="F38" s="68"/>
      <c r="G38" s="68"/>
      <c r="H38" s="113"/>
      <c r="I38" s="113"/>
      <c r="J38" s="68"/>
      <c r="K38" s="68"/>
      <c r="L38" s="68"/>
      <c r="M38" s="68"/>
      <c r="N38" s="68"/>
      <c r="O38" s="68"/>
      <c r="P38" s="16"/>
      <c r="Q38" s="12"/>
    </row>
    <row r="39" spans="1:26" ht="15.75" customHeight="1" x14ac:dyDescent="0.25">
      <c r="A39" s="69">
        <v>27</v>
      </c>
      <c r="B39" s="71"/>
      <c r="C39" s="71"/>
      <c r="D39" s="68"/>
      <c r="E39" s="68"/>
      <c r="F39" s="68"/>
      <c r="G39" s="68"/>
      <c r="H39" s="113"/>
      <c r="I39" s="113"/>
      <c r="J39" s="68"/>
      <c r="K39" s="68"/>
      <c r="L39" s="68"/>
      <c r="M39" s="68"/>
      <c r="N39" s="68"/>
      <c r="O39" s="68"/>
      <c r="P39" s="16"/>
      <c r="Q39" s="12"/>
    </row>
    <row r="40" spans="1:26" ht="15.75" customHeight="1" x14ac:dyDescent="0.25">
      <c r="A40" s="69">
        <v>28</v>
      </c>
      <c r="B40" s="71"/>
      <c r="C40" s="71"/>
      <c r="D40" s="68"/>
      <c r="E40" s="68"/>
      <c r="F40" s="68"/>
      <c r="G40" s="68"/>
      <c r="H40" s="113"/>
      <c r="I40" s="113"/>
      <c r="J40" s="68"/>
      <c r="K40" s="68"/>
      <c r="L40" s="68"/>
      <c r="M40" s="68"/>
      <c r="N40" s="68"/>
      <c r="O40" s="68"/>
      <c r="P40" s="16"/>
      <c r="Q40" s="12"/>
    </row>
    <row r="41" spans="1:26" ht="15.75" customHeight="1" x14ac:dyDescent="0.25">
      <c r="A41" s="69">
        <v>29</v>
      </c>
      <c r="B41" s="71"/>
      <c r="C41" s="71"/>
      <c r="D41" s="68"/>
      <c r="E41" s="68"/>
      <c r="F41" s="68"/>
      <c r="G41" s="68"/>
      <c r="H41" s="113"/>
      <c r="I41" s="113"/>
      <c r="J41" s="68"/>
      <c r="K41" s="68"/>
      <c r="L41" s="68"/>
      <c r="M41" s="68"/>
      <c r="N41" s="68"/>
      <c r="O41" s="68"/>
      <c r="P41" s="16"/>
      <c r="Q41" s="12"/>
    </row>
    <row r="42" spans="1:26" ht="15.75" customHeight="1" x14ac:dyDescent="0.25">
      <c r="A42" s="69">
        <v>30</v>
      </c>
      <c r="B42" s="71"/>
      <c r="C42" s="71"/>
      <c r="D42" s="68"/>
      <c r="E42" s="68"/>
      <c r="F42" s="68"/>
      <c r="G42" s="68"/>
      <c r="H42" s="113"/>
      <c r="I42" s="113"/>
      <c r="J42" s="68"/>
      <c r="K42" s="68"/>
      <c r="L42" s="68"/>
      <c r="M42" s="68"/>
      <c r="N42" s="68"/>
      <c r="O42" s="68"/>
      <c r="P42" s="16"/>
      <c r="Q42" s="12"/>
    </row>
    <row r="43" spans="1:26" ht="15.75" customHeight="1" x14ac:dyDescent="0.25">
      <c r="A43" s="69">
        <v>31</v>
      </c>
      <c r="B43" s="71"/>
      <c r="C43" s="71"/>
      <c r="D43" s="68"/>
      <c r="E43" s="68"/>
      <c r="F43" s="68"/>
      <c r="G43" s="68"/>
      <c r="H43" s="113"/>
      <c r="I43" s="113"/>
      <c r="J43" s="68"/>
      <c r="K43" s="68"/>
      <c r="L43" s="68"/>
      <c r="M43" s="68"/>
      <c r="N43" s="68"/>
      <c r="O43" s="68"/>
      <c r="P43" s="16"/>
      <c r="Q43" s="12"/>
    </row>
    <row r="44" spans="1:26" ht="15.75" customHeight="1" x14ac:dyDescent="0.25">
      <c r="A44" s="69">
        <v>32</v>
      </c>
      <c r="B44" s="71"/>
      <c r="C44" s="71"/>
      <c r="D44" s="68"/>
      <c r="E44" s="68"/>
      <c r="F44" s="68"/>
      <c r="G44" s="68"/>
      <c r="H44" s="113"/>
      <c r="I44" s="113"/>
      <c r="J44" s="68"/>
      <c r="K44" s="68"/>
      <c r="L44" s="68"/>
      <c r="M44" s="68"/>
      <c r="N44" s="68"/>
      <c r="O44" s="68"/>
      <c r="P44" s="16"/>
      <c r="Q44" s="12"/>
    </row>
    <row r="45" spans="1:26" ht="15.75" customHeight="1" x14ac:dyDescent="0.25">
      <c r="A45" s="69">
        <v>33</v>
      </c>
      <c r="B45" s="71"/>
      <c r="C45" s="71"/>
      <c r="D45" s="68"/>
      <c r="E45" s="68"/>
      <c r="F45" s="68"/>
      <c r="G45" s="68"/>
      <c r="H45" s="113"/>
      <c r="I45" s="113"/>
      <c r="J45" s="68"/>
      <c r="K45" s="68"/>
      <c r="L45" s="68"/>
      <c r="M45" s="68"/>
      <c r="N45" s="68"/>
      <c r="O45" s="68"/>
      <c r="P45" s="16"/>
      <c r="Q45" s="12"/>
    </row>
    <row r="46" spans="1:26" ht="15.75" customHeight="1" x14ac:dyDescent="0.25">
      <c r="A46" s="69">
        <v>34</v>
      </c>
      <c r="B46" s="71"/>
      <c r="C46" s="71"/>
      <c r="D46" s="68"/>
      <c r="E46" s="68"/>
      <c r="F46" s="68"/>
      <c r="G46" s="68"/>
      <c r="H46" s="68"/>
      <c r="I46" s="113"/>
      <c r="J46" s="68"/>
      <c r="K46" s="68"/>
      <c r="L46" s="68"/>
      <c r="M46" s="68"/>
      <c r="N46" s="68"/>
      <c r="O46" s="68"/>
      <c r="P46" s="16"/>
      <c r="Q46" s="12"/>
    </row>
    <row r="47" spans="1:26" ht="15.75" customHeight="1" x14ac:dyDescent="0.25">
      <c r="A47" s="69">
        <v>35</v>
      </c>
      <c r="B47" s="71"/>
      <c r="C47" s="71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16"/>
      <c r="Q47" s="12"/>
    </row>
    <row r="48" spans="1:26" ht="15.75" customHeight="1" x14ac:dyDescent="0.25">
      <c r="A48" s="69">
        <v>36</v>
      </c>
      <c r="B48" s="71"/>
      <c r="C48" s="71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16"/>
      <c r="Q48" s="12"/>
      <c r="R48" s="13"/>
      <c r="S48" s="13"/>
      <c r="T48" s="13"/>
      <c r="U48" s="13"/>
      <c r="V48" s="13"/>
      <c r="W48" s="13"/>
      <c r="X48" s="13"/>
      <c r="Y48" s="13"/>
      <c r="Z48" s="13"/>
    </row>
    <row r="49" spans="1:17" ht="15.75" customHeight="1" x14ac:dyDescent="0.25">
      <c r="A49" s="2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 ht="15.75" customHeight="1" x14ac:dyDescent="0.25">
      <c r="A50" s="201" t="s">
        <v>50</v>
      </c>
      <c r="B50" s="185"/>
      <c r="C50" s="185"/>
      <c r="D50" s="185"/>
      <c r="E50" s="185"/>
      <c r="F50" s="185"/>
      <c r="G50" s="185"/>
      <c r="H50" s="185"/>
      <c r="I50" s="185"/>
      <c r="J50" s="185"/>
      <c r="K50" s="186"/>
      <c r="L50" s="202" t="s">
        <v>51</v>
      </c>
      <c r="M50" s="203"/>
      <c r="N50" s="203"/>
      <c r="O50" s="203"/>
      <c r="P50" s="203"/>
      <c r="Q50" s="204"/>
    </row>
    <row r="51" spans="1:17" ht="15.75" customHeight="1" x14ac:dyDescent="0.25">
      <c r="A51" s="8" t="s">
        <v>52</v>
      </c>
      <c r="B51" s="8" t="s">
        <v>53</v>
      </c>
      <c r="C51" s="23" t="s">
        <v>54</v>
      </c>
      <c r="D51" s="201" t="s">
        <v>55</v>
      </c>
      <c r="E51" s="185"/>
      <c r="F51" s="185"/>
      <c r="G51" s="185"/>
      <c r="H51" s="185"/>
      <c r="I51" s="185"/>
      <c r="J51" s="185"/>
      <c r="K51" s="186"/>
      <c r="L51" s="205"/>
      <c r="M51" s="206"/>
      <c r="N51" s="206"/>
      <c r="O51" s="206"/>
      <c r="P51" s="206"/>
      <c r="Q51" s="207"/>
    </row>
    <row r="52" spans="1:17" ht="15.75" customHeight="1" x14ac:dyDescent="0.3">
      <c r="A52" s="9">
        <v>1</v>
      </c>
      <c r="B52" s="12"/>
      <c r="C52" s="24" t="s">
        <v>56</v>
      </c>
      <c r="D52" s="184"/>
      <c r="E52" s="185"/>
      <c r="F52" s="185"/>
      <c r="G52" s="185"/>
      <c r="H52" s="185"/>
      <c r="I52" s="185"/>
      <c r="J52" s="185"/>
      <c r="K52" s="186"/>
      <c r="L52" s="9">
        <v>1</v>
      </c>
      <c r="M52" s="184"/>
      <c r="N52" s="185"/>
      <c r="O52" s="185"/>
      <c r="P52" s="185"/>
      <c r="Q52" s="186"/>
    </row>
    <row r="53" spans="1:17" ht="15.75" customHeight="1" x14ac:dyDescent="0.3">
      <c r="A53" s="9">
        <v>2</v>
      </c>
      <c r="B53" s="12"/>
      <c r="C53" s="24" t="s">
        <v>56</v>
      </c>
      <c r="D53" s="184"/>
      <c r="E53" s="185"/>
      <c r="F53" s="185"/>
      <c r="G53" s="185"/>
      <c r="H53" s="185"/>
      <c r="I53" s="185"/>
      <c r="J53" s="185"/>
      <c r="K53" s="186"/>
      <c r="L53" s="9">
        <v>2</v>
      </c>
      <c r="M53" s="184"/>
      <c r="N53" s="185"/>
      <c r="O53" s="185"/>
      <c r="P53" s="185"/>
      <c r="Q53" s="186"/>
    </row>
    <row r="54" spans="1:17" ht="15.75" customHeight="1" x14ac:dyDescent="0.3">
      <c r="A54" s="9">
        <v>3</v>
      </c>
      <c r="B54" s="12"/>
      <c r="C54" s="24" t="s">
        <v>56</v>
      </c>
      <c r="D54" s="184"/>
      <c r="E54" s="185"/>
      <c r="F54" s="185"/>
      <c r="G54" s="185"/>
      <c r="H54" s="185"/>
      <c r="I54" s="185"/>
      <c r="J54" s="185"/>
      <c r="K54" s="186"/>
      <c r="L54" s="9">
        <v>3</v>
      </c>
      <c r="M54" s="184"/>
      <c r="N54" s="185"/>
      <c r="O54" s="185"/>
      <c r="P54" s="185"/>
      <c r="Q54" s="186"/>
    </row>
    <row r="55" spans="1:17" ht="15.75" customHeight="1" x14ac:dyDescent="0.3">
      <c r="A55" s="9">
        <v>4</v>
      </c>
      <c r="B55" s="12"/>
      <c r="C55" s="24" t="s">
        <v>56</v>
      </c>
      <c r="D55" s="184"/>
      <c r="E55" s="185"/>
      <c r="F55" s="185"/>
      <c r="G55" s="185"/>
      <c r="H55" s="185"/>
      <c r="I55" s="185"/>
      <c r="J55" s="185"/>
      <c r="K55" s="186"/>
      <c r="L55" s="9">
        <v>4</v>
      </c>
      <c r="M55" s="184"/>
      <c r="N55" s="185"/>
      <c r="O55" s="185"/>
      <c r="P55" s="185"/>
      <c r="Q55" s="186"/>
    </row>
    <row r="56" spans="1:17" ht="15.75" customHeight="1" x14ac:dyDescent="0.3">
      <c r="A56" s="9">
        <v>5</v>
      </c>
      <c r="B56" s="12"/>
      <c r="C56" s="24" t="s">
        <v>56</v>
      </c>
      <c r="D56" s="184"/>
      <c r="E56" s="185"/>
      <c r="F56" s="185"/>
      <c r="G56" s="185"/>
      <c r="H56" s="185"/>
      <c r="I56" s="185"/>
      <c r="J56" s="185"/>
      <c r="K56" s="186"/>
      <c r="L56" s="9">
        <v>5</v>
      </c>
      <c r="M56" s="184"/>
      <c r="N56" s="185"/>
      <c r="O56" s="185"/>
      <c r="P56" s="185"/>
      <c r="Q56" s="186"/>
    </row>
    <row r="57" spans="1:17" ht="15.75" customHeight="1" x14ac:dyDescent="0.25">
      <c r="A57" s="25" t="s">
        <v>57</v>
      </c>
      <c r="K57" s="13" t="s">
        <v>58</v>
      </c>
    </row>
    <row r="58" spans="1:17" ht="16.5" customHeight="1" x14ac:dyDescent="0.25">
      <c r="A58" s="197" t="s">
        <v>59</v>
      </c>
      <c r="B58" s="190"/>
      <c r="C58" s="190"/>
      <c r="D58" s="190"/>
      <c r="E58" s="190"/>
      <c r="F58" s="190"/>
      <c r="G58" s="190"/>
      <c r="H58" s="190"/>
      <c r="K58" s="13" t="s">
        <v>60</v>
      </c>
    </row>
    <row r="59" spans="1:17" ht="15.75" customHeight="1" x14ac:dyDescent="0.25">
      <c r="A59" s="190"/>
      <c r="B59" s="190"/>
      <c r="C59" s="190"/>
      <c r="D59" s="190"/>
      <c r="E59" s="190"/>
      <c r="F59" s="190"/>
      <c r="G59" s="190"/>
      <c r="H59" s="190"/>
    </row>
    <row r="60" spans="1:17" ht="15.75" customHeight="1" x14ac:dyDescent="0.25">
      <c r="A60" s="198" t="s">
        <v>61</v>
      </c>
      <c r="B60" s="190"/>
      <c r="C60" s="190"/>
      <c r="D60" s="190"/>
      <c r="E60" s="190"/>
      <c r="F60" s="190"/>
      <c r="G60" s="190"/>
      <c r="H60" s="190"/>
    </row>
    <row r="61" spans="1:17" ht="15.75" customHeight="1" x14ac:dyDescent="0.25">
      <c r="A61" s="190"/>
      <c r="B61" s="190"/>
      <c r="C61" s="190"/>
      <c r="D61" s="190"/>
      <c r="E61" s="190"/>
      <c r="F61" s="190"/>
      <c r="G61" s="190"/>
      <c r="H61" s="190"/>
      <c r="K61" s="13" t="s">
        <v>62</v>
      </c>
    </row>
    <row r="62" spans="1:17" ht="15.75" customHeight="1" x14ac:dyDescent="0.25">
      <c r="A62" s="190"/>
      <c r="B62" s="190"/>
      <c r="C62" s="190"/>
      <c r="D62" s="190"/>
      <c r="E62" s="190"/>
      <c r="F62" s="190"/>
      <c r="G62" s="190"/>
      <c r="H62" s="190"/>
      <c r="K62" s="13" t="s">
        <v>63</v>
      </c>
    </row>
    <row r="63" spans="1:17" ht="15.75" customHeight="1" x14ac:dyDescent="0.25"/>
    <row r="64" spans="1:17" ht="15.75" customHeight="1" x14ac:dyDescent="0.25">
      <c r="A64" s="26" t="s">
        <v>5196</v>
      </c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7">
    <mergeCell ref="D56:K56"/>
    <mergeCell ref="M56:Q56"/>
    <mergeCell ref="A58:H59"/>
    <mergeCell ref="A60:H62"/>
    <mergeCell ref="A11:B11"/>
    <mergeCell ref="D11:H11"/>
    <mergeCell ref="A50:K50"/>
    <mergeCell ref="L50:Q51"/>
    <mergeCell ref="D51:K51"/>
    <mergeCell ref="D52:K52"/>
    <mergeCell ref="D53:K53"/>
    <mergeCell ref="M52:Q52"/>
    <mergeCell ref="M53:Q53"/>
    <mergeCell ref="D54:K54"/>
    <mergeCell ref="M54:Q54"/>
    <mergeCell ref="D55:K55"/>
    <mergeCell ref="M55:Q55"/>
    <mergeCell ref="I11:K11"/>
    <mergeCell ref="L11:P11"/>
    <mergeCell ref="M1:Q1"/>
    <mergeCell ref="M2:Q2"/>
    <mergeCell ref="A3:Q3"/>
    <mergeCell ref="A4:Q4"/>
    <mergeCell ref="A5:Q5"/>
    <mergeCell ref="A6:Q6"/>
    <mergeCell ref="C11:C12"/>
    <mergeCell ref="Q11:Q12"/>
  </mergeCells>
  <pageMargins left="0.59055118110236227" right="0.39370078740157483" top="0.43307086614173229" bottom="0.39370078740157483" header="0" footer="0"/>
  <pageSetup paperSize="10000" scale="87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Q994"/>
  <sheetViews>
    <sheetView tabSelected="1" workbookViewId="0">
      <selection activeCell="K33" sqref="K33:L33"/>
    </sheetView>
  </sheetViews>
  <sheetFormatPr defaultColWidth="14.42578125" defaultRowHeight="15" customHeight="1" x14ac:dyDescent="0.25"/>
  <cols>
    <col min="1" max="1" width="4.85546875" customWidth="1"/>
    <col min="2" max="2" width="8.7109375" customWidth="1"/>
    <col min="3" max="3" width="41.28515625" customWidth="1"/>
    <col min="4" max="8" width="3.5703125" customWidth="1"/>
    <col min="9" max="11" width="4.140625" customWidth="1"/>
    <col min="12" max="16" width="4.42578125" customWidth="1"/>
    <col min="17" max="17" width="5" customWidth="1"/>
    <col min="18" max="26" width="8.7109375" customWidth="1"/>
  </cols>
  <sheetData>
    <row r="1" spans="1:17" x14ac:dyDescent="0.25">
      <c r="M1" s="188" t="s">
        <v>0</v>
      </c>
      <c r="N1" s="185"/>
      <c r="O1" s="185"/>
      <c r="P1" s="185"/>
      <c r="Q1" s="186"/>
    </row>
    <row r="2" spans="1:17" x14ac:dyDescent="0.25">
      <c r="M2" s="188" t="s">
        <v>1</v>
      </c>
      <c r="N2" s="185"/>
      <c r="O2" s="185"/>
      <c r="P2" s="185"/>
      <c r="Q2" s="186"/>
    </row>
    <row r="3" spans="1:17" ht="15.75" x14ac:dyDescent="0.3">
      <c r="A3" s="189" t="s">
        <v>2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</row>
    <row r="4" spans="1:17" x14ac:dyDescent="0.25">
      <c r="A4" s="191" t="s">
        <v>3</v>
      </c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</row>
    <row r="5" spans="1:17" x14ac:dyDescent="0.25">
      <c r="A5" s="192" t="s">
        <v>4</v>
      </c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</row>
    <row r="6" spans="1:17" ht="15.75" x14ac:dyDescent="0.25">
      <c r="A6" s="193" t="s">
        <v>5179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</row>
    <row r="7" spans="1:17" ht="15.7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9.5" customHeight="1" x14ac:dyDescent="0.25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3"/>
      <c r="L8" s="2" t="s">
        <v>6</v>
      </c>
      <c r="M8" s="2"/>
      <c r="N8" s="2"/>
      <c r="O8" s="2"/>
      <c r="P8" s="2"/>
      <c r="Q8" s="2"/>
    </row>
    <row r="9" spans="1:17" ht="19.5" customHeight="1" x14ac:dyDescent="0.25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3"/>
      <c r="L9" s="4" t="s">
        <v>5140</v>
      </c>
      <c r="M9" s="2"/>
      <c r="N9" s="2"/>
      <c r="O9" s="2"/>
      <c r="P9" s="2"/>
      <c r="Q9" s="2"/>
    </row>
    <row r="10" spans="1:17" ht="19.5" customHeight="1" x14ac:dyDescent="0.25">
      <c r="A10" s="2" t="s">
        <v>8</v>
      </c>
      <c r="B10" s="2"/>
      <c r="C10" s="4" t="s">
        <v>4511</v>
      </c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</row>
    <row r="11" spans="1:17" ht="15" customHeight="1" x14ac:dyDescent="0.3">
      <c r="A11" s="199" t="s">
        <v>9</v>
      </c>
      <c r="B11" s="186"/>
      <c r="C11" s="194" t="s">
        <v>10</v>
      </c>
      <c r="D11" s="200" t="s">
        <v>11</v>
      </c>
      <c r="E11" s="185"/>
      <c r="F11" s="185"/>
      <c r="G11" s="185"/>
      <c r="H11" s="186"/>
      <c r="I11" s="187" t="s">
        <v>12</v>
      </c>
      <c r="J11" s="185"/>
      <c r="K11" s="186"/>
      <c r="L11" s="187" t="s">
        <v>13</v>
      </c>
      <c r="M11" s="185"/>
      <c r="N11" s="185"/>
      <c r="O11" s="185"/>
      <c r="P11" s="186"/>
      <c r="Q11" s="196" t="s">
        <v>14</v>
      </c>
    </row>
    <row r="12" spans="1:17" ht="15" customHeight="1" x14ac:dyDescent="0.3">
      <c r="A12" s="5" t="s">
        <v>15</v>
      </c>
      <c r="B12" s="5" t="s">
        <v>16</v>
      </c>
      <c r="C12" s="208"/>
      <c r="D12" s="6"/>
      <c r="E12" s="6"/>
      <c r="F12" s="6"/>
      <c r="G12" s="6"/>
      <c r="H12" s="6"/>
      <c r="I12" s="7" t="s">
        <v>17</v>
      </c>
      <c r="J12" s="7" t="s">
        <v>18</v>
      </c>
      <c r="K12" s="7" t="s">
        <v>19</v>
      </c>
      <c r="L12" s="8">
        <v>1</v>
      </c>
      <c r="M12" s="8">
        <v>2</v>
      </c>
      <c r="N12" s="8">
        <v>3</v>
      </c>
      <c r="O12" s="8">
        <v>4</v>
      </c>
      <c r="P12" s="8">
        <v>5</v>
      </c>
      <c r="Q12" s="195"/>
    </row>
    <row r="13" spans="1:17" x14ac:dyDescent="0.25">
      <c r="A13" s="9">
        <v>1</v>
      </c>
      <c r="B13" s="54" t="s">
        <v>4959</v>
      </c>
      <c r="C13" s="11" t="s">
        <v>445</v>
      </c>
      <c r="D13" s="16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25">
      <c r="A14" s="9">
        <v>2</v>
      </c>
      <c r="B14" s="54" t="s">
        <v>4960</v>
      </c>
      <c r="C14" s="11" t="s">
        <v>446</v>
      </c>
      <c r="D14" s="16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5">
      <c r="A15" s="9">
        <v>3</v>
      </c>
      <c r="B15" s="138" t="s">
        <v>4961</v>
      </c>
      <c r="C15" s="34" t="s">
        <v>447</v>
      </c>
      <c r="D15" s="16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9">
        <v>4</v>
      </c>
      <c r="B16" s="54" t="s">
        <v>4962</v>
      </c>
      <c r="C16" s="11" t="s">
        <v>448</v>
      </c>
      <c r="D16" s="16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x14ac:dyDescent="0.25">
      <c r="A17" s="29">
        <v>5</v>
      </c>
      <c r="B17" s="96" t="s">
        <v>4963</v>
      </c>
      <c r="C17" s="14" t="s">
        <v>449</v>
      </c>
      <c r="D17" s="2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x14ac:dyDescent="0.25">
      <c r="A18" s="69">
        <v>6</v>
      </c>
      <c r="B18" s="137" t="s">
        <v>4964</v>
      </c>
      <c r="C18" s="116" t="s">
        <v>450</v>
      </c>
      <c r="D18" s="68"/>
      <c r="E18" s="21"/>
      <c r="F18" s="15"/>
      <c r="G18" s="15"/>
      <c r="H18" s="15"/>
      <c r="I18" s="15"/>
      <c r="J18" s="12"/>
      <c r="K18" s="12"/>
      <c r="L18" s="12"/>
      <c r="M18" s="12"/>
      <c r="N18" s="12"/>
      <c r="O18" s="12"/>
      <c r="P18" s="12"/>
      <c r="Q18" s="12"/>
    </row>
    <row r="19" spans="1:17" x14ac:dyDescent="0.25">
      <c r="A19" s="69">
        <v>7</v>
      </c>
      <c r="B19" s="97" t="s">
        <v>4965</v>
      </c>
      <c r="C19" s="75" t="s">
        <v>451</v>
      </c>
      <c r="D19" s="68"/>
      <c r="E19" s="113"/>
      <c r="F19" s="68"/>
      <c r="G19" s="68"/>
      <c r="H19" s="68"/>
      <c r="I19" s="68"/>
      <c r="J19" s="16"/>
      <c r="K19" s="12"/>
      <c r="L19" s="12"/>
      <c r="M19" s="12"/>
      <c r="N19" s="12"/>
      <c r="O19" s="12"/>
      <c r="P19" s="12"/>
      <c r="Q19" s="12"/>
    </row>
    <row r="20" spans="1:17" x14ac:dyDescent="0.25">
      <c r="A20" s="69">
        <v>8</v>
      </c>
      <c r="B20" s="137" t="s">
        <v>4966</v>
      </c>
      <c r="C20" s="116" t="s">
        <v>452</v>
      </c>
      <c r="D20" s="68"/>
      <c r="E20" s="113"/>
      <c r="F20" s="68"/>
      <c r="G20" s="68"/>
      <c r="H20" s="68"/>
      <c r="I20" s="68"/>
      <c r="J20" s="16"/>
      <c r="K20" s="12"/>
      <c r="L20" s="12"/>
      <c r="M20" s="12"/>
      <c r="N20" s="12"/>
      <c r="O20" s="12"/>
      <c r="P20" s="12"/>
      <c r="Q20" s="12"/>
    </row>
    <row r="21" spans="1:17" ht="15.75" customHeight="1" x14ac:dyDescent="0.25">
      <c r="A21" s="69">
        <v>9</v>
      </c>
      <c r="B21" s="137" t="s">
        <v>4967</v>
      </c>
      <c r="C21" s="116" t="s">
        <v>453</v>
      </c>
      <c r="D21" s="68"/>
      <c r="E21" s="113"/>
      <c r="F21" s="68"/>
      <c r="G21" s="68"/>
      <c r="H21" s="68"/>
      <c r="I21" s="68"/>
      <c r="J21" s="16"/>
      <c r="K21" s="12"/>
      <c r="L21" s="12"/>
      <c r="M21" s="12"/>
      <c r="N21" s="12"/>
      <c r="O21" s="12"/>
      <c r="P21" s="12"/>
      <c r="Q21" s="12"/>
    </row>
    <row r="22" spans="1:17" ht="15.75" customHeight="1" x14ac:dyDescent="0.25">
      <c r="A22" s="69">
        <v>10</v>
      </c>
      <c r="B22" s="99" t="s">
        <v>4968</v>
      </c>
      <c r="C22" s="18" t="s">
        <v>454</v>
      </c>
      <c r="D22" s="68"/>
      <c r="E22" s="113"/>
      <c r="F22" s="68"/>
      <c r="G22" s="68"/>
      <c r="H22" s="68"/>
      <c r="I22" s="68"/>
      <c r="J22" s="16"/>
      <c r="K22" s="12"/>
      <c r="L22" s="12"/>
      <c r="M22" s="12"/>
      <c r="N22" s="12"/>
      <c r="O22" s="12"/>
      <c r="P22" s="12"/>
      <c r="Q22" s="12"/>
    </row>
    <row r="23" spans="1:17" ht="15.75" customHeight="1" x14ac:dyDescent="0.25">
      <c r="A23" s="114">
        <v>11</v>
      </c>
      <c r="B23" s="54" t="s">
        <v>4969</v>
      </c>
      <c r="C23" s="88" t="s">
        <v>455</v>
      </c>
      <c r="D23" s="115"/>
      <c r="E23" s="68"/>
      <c r="F23" s="68"/>
      <c r="G23" s="68"/>
      <c r="H23" s="68"/>
      <c r="I23" s="68"/>
      <c r="J23" s="16"/>
      <c r="K23" s="12"/>
      <c r="L23" s="12"/>
      <c r="M23" s="12"/>
      <c r="N23" s="12"/>
      <c r="O23" s="12"/>
      <c r="P23" s="12"/>
      <c r="Q23" s="12"/>
    </row>
    <row r="24" spans="1:17" ht="15.75" customHeight="1" x14ac:dyDescent="0.25">
      <c r="A24" s="69">
        <v>12</v>
      </c>
      <c r="B24" s="138" t="s">
        <v>4970</v>
      </c>
      <c r="C24" s="34" t="s">
        <v>456</v>
      </c>
      <c r="D24" s="68"/>
      <c r="E24" s="68"/>
      <c r="F24" s="68"/>
      <c r="G24" s="68"/>
      <c r="H24" s="68"/>
      <c r="I24" s="68"/>
      <c r="J24" s="16"/>
      <c r="K24" s="12"/>
      <c r="L24" s="12"/>
      <c r="M24" s="12"/>
      <c r="N24" s="12"/>
      <c r="O24" s="12"/>
      <c r="P24" s="12"/>
      <c r="Q24" s="12"/>
    </row>
    <row r="25" spans="1:17" ht="15.75" customHeight="1" x14ac:dyDescent="0.25">
      <c r="A25" s="69">
        <v>13</v>
      </c>
      <c r="B25" s="138" t="s">
        <v>4971</v>
      </c>
      <c r="C25" s="89" t="s">
        <v>4531</v>
      </c>
      <c r="D25" s="68"/>
      <c r="E25" s="68"/>
      <c r="F25" s="68"/>
      <c r="G25" s="68"/>
      <c r="H25" s="68"/>
      <c r="I25" s="68"/>
      <c r="J25" s="16"/>
      <c r="K25" s="12"/>
      <c r="L25" s="12"/>
      <c r="M25" s="12"/>
      <c r="N25" s="12"/>
      <c r="O25" s="12"/>
      <c r="P25" s="12"/>
      <c r="Q25" s="12"/>
    </row>
    <row r="26" spans="1:17" ht="15.75" customHeight="1" x14ac:dyDescent="0.25">
      <c r="A26" s="69">
        <v>14</v>
      </c>
      <c r="B26" s="54" t="s">
        <v>4972</v>
      </c>
      <c r="C26" s="11" t="s">
        <v>457</v>
      </c>
      <c r="D26" s="68"/>
      <c r="E26" s="68"/>
      <c r="F26" s="68"/>
      <c r="G26" s="68"/>
      <c r="H26" s="68"/>
      <c r="I26" s="68"/>
      <c r="J26" s="16"/>
      <c r="K26" s="12"/>
      <c r="L26" s="12"/>
      <c r="M26" s="12"/>
      <c r="N26" s="12"/>
      <c r="O26" s="12"/>
      <c r="P26" s="12"/>
      <c r="Q26" s="12"/>
    </row>
    <row r="27" spans="1:17" ht="15.75" customHeight="1" x14ac:dyDescent="0.25">
      <c r="A27" s="69">
        <v>15</v>
      </c>
      <c r="B27" s="138" t="s">
        <v>4973</v>
      </c>
      <c r="C27" s="34" t="s">
        <v>458</v>
      </c>
      <c r="D27" s="68"/>
      <c r="E27" s="68"/>
      <c r="F27" s="68"/>
      <c r="G27" s="68"/>
      <c r="H27" s="68"/>
      <c r="I27" s="68"/>
      <c r="J27" s="16"/>
      <c r="K27" s="12"/>
      <c r="L27" s="12"/>
      <c r="M27" s="12"/>
      <c r="N27" s="12"/>
      <c r="O27" s="12"/>
      <c r="P27" s="12"/>
      <c r="Q27" s="12"/>
    </row>
    <row r="28" spans="1:17" ht="15.75" customHeight="1" x14ac:dyDescent="0.25">
      <c r="A28" s="69">
        <v>16</v>
      </c>
      <c r="B28" s="138" t="s">
        <v>4974</v>
      </c>
      <c r="C28" s="34" t="s">
        <v>459</v>
      </c>
      <c r="D28" s="68"/>
      <c r="E28" s="68"/>
      <c r="F28" s="68"/>
      <c r="G28" s="68"/>
      <c r="H28" s="68"/>
      <c r="I28" s="68"/>
      <c r="J28" s="16"/>
      <c r="K28" s="12"/>
      <c r="L28" s="12"/>
      <c r="M28" s="12"/>
      <c r="N28" s="12"/>
      <c r="O28" s="12"/>
      <c r="P28" s="12"/>
      <c r="Q28" s="12"/>
    </row>
    <row r="29" spans="1:17" ht="15.75" customHeight="1" x14ac:dyDescent="0.25">
      <c r="A29" s="69">
        <v>17</v>
      </c>
      <c r="B29" s="54" t="s">
        <v>4975</v>
      </c>
      <c r="C29" s="11" t="s">
        <v>460</v>
      </c>
      <c r="D29" s="68"/>
      <c r="E29" s="68"/>
      <c r="F29" s="68"/>
      <c r="G29" s="68"/>
      <c r="H29" s="68"/>
      <c r="I29" s="68"/>
      <c r="J29" s="16"/>
      <c r="K29" s="12"/>
      <c r="L29" s="12"/>
      <c r="M29" s="12"/>
      <c r="N29" s="12"/>
      <c r="O29" s="12"/>
      <c r="P29" s="12"/>
      <c r="Q29" s="12"/>
    </row>
    <row r="30" spans="1:17" ht="15.75" customHeight="1" x14ac:dyDescent="0.25">
      <c r="A30" s="172">
        <v>18</v>
      </c>
      <c r="B30" s="96" t="s">
        <v>4976</v>
      </c>
      <c r="C30" s="14" t="s">
        <v>461</v>
      </c>
      <c r="D30" s="173"/>
      <c r="E30" s="150"/>
      <c r="F30" s="150"/>
      <c r="G30" s="20"/>
      <c r="H30" s="20"/>
      <c r="I30" s="20"/>
      <c r="J30" s="12"/>
      <c r="K30" s="12"/>
      <c r="L30" s="12"/>
      <c r="M30" s="12"/>
      <c r="N30" s="12"/>
      <c r="O30" s="12"/>
      <c r="P30" s="12"/>
      <c r="Q30" s="12"/>
    </row>
    <row r="31" spans="1:17" ht="15.75" customHeight="1" x14ac:dyDescent="0.25">
      <c r="A31" s="69">
        <v>19</v>
      </c>
      <c r="B31" s="97" t="s">
        <v>4977</v>
      </c>
      <c r="C31" s="75" t="s">
        <v>462</v>
      </c>
      <c r="D31" s="68"/>
      <c r="E31" s="68"/>
      <c r="F31" s="68"/>
      <c r="G31" s="16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17" ht="15.75" customHeight="1" x14ac:dyDescent="0.25">
      <c r="A32" s="214">
        <v>20</v>
      </c>
      <c r="B32" s="141" t="s">
        <v>4978</v>
      </c>
      <c r="C32" s="85" t="s">
        <v>463</v>
      </c>
      <c r="D32" s="124"/>
      <c r="E32" s="124"/>
      <c r="F32" s="124"/>
      <c r="G32" s="21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17" ht="15.75" customHeight="1" x14ac:dyDescent="0.25">
      <c r="A33" s="69">
        <v>21</v>
      </c>
      <c r="B33" s="137" t="s">
        <v>4979</v>
      </c>
      <c r="C33" s="116" t="s">
        <v>464</v>
      </c>
      <c r="D33" s="68"/>
      <c r="E33" s="68"/>
      <c r="F33" s="68"/>
      <c r="G33" s="68"/>
      <c r="H33" s="21"/>
      <c r="I33" s="15"/>
      <c r="J33" s="12"/>
      <c r="K33" s="12"/>
      <c r="L33" s="12"/>
      <c r="M33" s="12"/>
      <c r="N33" s="12"/>
      <c r="O33" s="12"/>
      <c r="P33" s="12"/>
      <c r="Q33" s="12"/>
    </row>
    <row r="34" spans="1:17" ht="15.75" customHeight="1" x14ac:dyDescent="0.25">
      <c r="A34" s="69">
        <v>22</v>
      </c>
      <c r="B34" s="137" t="s">
        <v>4981</v>
      </c>
      <c r="C34" s="116" t="s">
        <v>466</v>
      </c>
      <c r="D34" s="68"/>
      <c r="E34" s="68"/>
      <c r="F34" s="68"/>
      <c r="G34" s="68"/>
      <c r="H34" s="171"/>
      <c r="I34" s="68"/>
      <c r="J34" s="16"/>
      <c r="K34" s="12"/>
      <c r="L34" s="12"/>
      <c r="M34" s="12"/>
      <c r="N34" s="12"/>
      <c r="O34" s="12"/>
      <c r="P34" s="12"/>
      <c r="Q34" s="12"/>
    </row>
    <row r="35" spans="1:17" ht="15.75" customHeight="1" x14ac:dyDescent="0.25">
      <c r="A35" s="69">
        <v>23</v>
      </c>
      <c r="B35" s="97" t="s">
        <v>4982</v>
      </c>
      <c r="C35" s="75" t="s">
        <v>467</v>
      </c>
      <c r="D35" s="68"/>
      <c r="E35" s="68"/>
      <c r="F35" s="68"/>
      <c r="G35" s="68"/>
      <c r="H35" s="113"/>
      <c r="I35" s="113"/>
      <c r="J35" s="16"/>
      <c r="K35" s="12"/>
      <c r="L35" s="12"/>
      <c r="M35" s="12"/>
      <c r="N35" s="12"/>
      <c r="O35" s="12"/>
      <c r="P35" s="12"/>
      <c r="Q35" s="12"/>
    </row>
    <row r="36" spans="1:17" ht="15.75" customHeight="1" x14ac:dyDescent="0.25">
      <c r="A36" s="69">
        <v>24</v>
      </c>
      <c r="B36" s="133" t="s">
        <v>5116</v>
      </c>
      <c r="C36" s="134" t="s">
        <v>5110</v>
      </c>
      <c r="D36" s="68"/>
      <c r="E36" s="68"/>
      <c r="F36" s="68"/>
      <c r="G36" s="68"/>
      <c r="H36" s="113"/>
      <c r="I36" s="113"/>
      <c r="J36" s="16"/>
      <c r="K36" s="12"/>
      <c r="L36" s="12"/>
      <c r="M36" s="12"/>
      <c r="N36" s="12"/>
      <c r="O36" s="12"/>
      <c r="P36" s="12"/>
      <c r="Q36" s="12"/>
    </row>
    <row r="37" spans="1:17" ht="15.75" customHeight="1" x14ac:dyDescent="0.25">
      <c r="A37" s="69">
        <v>25</v>
      </c>
      <c r="B37" s="97" t="s">
        <v>4984</v>
      </c>
      <c r="C37" s="75" t="s">
        <v>469</v>
      </c>
      <c r="D37" s="68"/>
      <c r="E37" s="68"/>
      <c r="F37" s="68"/>
      <c r="G37" s="68"/>
      <c r="H37" s="113"/>
      <c r="I37" s="113"/>
      <c r="J37" s="16"/>
      <c r="K37" s="12"/>
      <c r="L37" s="12"/>
      <c r="M37" s="12"/>
      <c r="N37" s="12"/>
      <c r="O37" s="12"/>
      <c r="P37" s="12"/>
      <c r="Q37" s="12"/>
    </row>
    <row r="38" spans="1:17" ht="15.75" customHeight="1" x14ac:dyDescent="0.25">
      <c r="A38" s="69">
        <v>26</v>
      </c>
      <c r="B38" s="97" t="s">
        <v>4985</v>
      </c>
      <c r="C38" s="75" t="s">
        <v>470</v>
      </c>
      <c r="D38" s="68"/>
      <c r="E38" s="68"/>
      <c r="F38" s="68"/>
      <c r="G38" s="68"/>
      <c r="H38" s="113"/>
      <c r="I38" s="113"/>
      <c r="J38" s="16"/>
      <c r="K38" s="12"/>
      <c r="L38" s="12"/>
      <c r="M38" s="12"/>
      <c r="N38" s="12"/>
      <c r="O38" s="12"/>
      <c r="P38" s="12"/>
      <c r="Q38" s="12"/>
    </row>
    <row r="39" spans="1:17" ht="15.75" customHeight="1" x14ac:dyDescent="0.25">
      <c r="A39" s="69">
        <v>27</v>
      </c>
      <c r="B39" s="137" t="s">
        <v>4986</v>
      </c>
      <c r="C39" s="116" t="s">
        <v>471</v>
      </c>
      <c r="D39" s="68"/>
      <c r="E39" s="68"/>
      <c r="F39" s="68"/>
      <c r="G39" s="68"/>
      <c r="H39" s="113"/>
      <c r="I39" s="113"/>
      <c r="J39" s="16"/>
      <c r="K39" s="12"/>
      <c r="L39" s="12"/>
      <c r="M39" s="12"/>
      <c r="N39" s="12"/>
      <c r="O39" s="12"/>
      <c r="P39" s="12"/>
      <c r="Q39" s="12"/>
    </row>
    <row r="40" spans="1:17" ht="15.75" customHeight="1" x14ac:dyDescent="0.25">
      <c r="A40" s="69">
        <v>28</v>
      </c>
      <c r="B40" s="71"/>
      <c r="C40" s="71"/>
      <c r="D40" s="68"/>
      <c r="E40" s="68"/>
      <c r="F40" s="68"/>
      <c r="G40" s="68"/>
      <c r="H40" s="113"/>
      <c r="I40" s="113"/>
      <c r="J40" s="16"/>
      <c r="K40" s="12"/>
      <c r="L40" s="12"/>
      <c r="M40" s="12"/>
      <c r="N40" s="12"/>
      <c r="O40" s="12"/>
      <c r="P40" s="12"/>
      <c r="Q40" s="12"/>
    </row>
    <row r="41" spans="1:17" ht="15.75" customHeight="1" x14ac:dyDescent="0.25">
      <c r="A41" s="69">
        <v>29</v>
      </c>
      <c r="B41" s="71"/>
      <c r="C41" s="71"/>
      <c r="D41" s="68"/>
      <c r="E41" s="68"/>
      <c r="F41" s="68"/>
      <c r="G41" s="68"/>
      <c r="H41" s="113"/>
      <c r="I41" s="113"/>
      <c r="J41" s="16"/>
      <c r="K41" s="12"/>
      <c r="L41" s="12"/>
      <c r="M41" s="12"/>
      <c r="N41" s="12"/>
      <c r="O41" s="12"/>
      <c r="P41" s="12"/>
      <c r="Q41" s="12"/>
    </row>
    <row r="42" spans="1:17" ht="15.75" customHeight="1" x14ac:dyDescent="0.25">
      <c r="A42" s="69">
        <v>30</v>
      </c>
      <c r="B42" s="71"/>
      <c r="C42" s="71"/>
      <c r="D42" s="68"/>
      <c r="E42" s="68"/>
      <c r="F42" s="68"/>
      <c r="G42" s="113"/>
      <c r="H42" s="68"/>
      <c r="I42" s="32"/>
      <c r="J42" s="12"/>
      <c r="K42" s="12"/>
      <c r="L42" s="12"/>
      <c r="M42" s="12"/>
      <c r="N42" s="12"/>
      <c r="O42" s="12"/>
      <c r="P42" s="12"/>
      <c r="Q42" s="12"/>
    </row>
    <row r="43" spans="1:17" ht="15.75" customHeight="1" x14ac:dyDescent="0.25">
      <c r="A43" s="2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 spans="1:17" ht="15.75" customHeight="1" x14ac:dyDescent="0.25">
      <c r="A44" s="201" t="s">
        <v>50</v>
      </c>
      <c r="B44" s="185"/>
      <c r="C44" s="185"/>
      <c r="D44" s="185"/>
      <c r="E44" s="185"/>
      <c r="F44" s="185"/>
      <c r="G44" s="185"/>
      <c r="H44" s="185"/>
      <c r="I44" s="185"/>
      <c r="J44" s="185"/>
      <c r="K44" s="186"/>
      <c r="L44" s="202" t="s">
        <v>51</v>
      </c>
      <c r="M44" s="203"/>
      <c r="N44" s="203"/>
      <c r="O44" s="203"/>
      <c r="P44" s="203"/>
      <c r="Q44" s="204"/>
    </row>
    <row r="45" spans="1:17" ht="15.75" customHeight="1" x14ac:dyDescent="0.25">
      <c r="A45" s="8" t="s">
        <v>52</v>
      </c>
      <c r="B45" s="8" t="s">
        <v>53</v>
      </c>
      <c r="C45" s="23" t="s">
        <v>54</v>
      </c>
      <c r="D45" s="201" t="s">
        <v>55</v>
      </c>
      <c r="E45" s="185"/>
      <c r="F45" s="185"/>
      <c r="G45" s="185"/>
      <c r="H45" s="185"/>
      <c r="I45" s="185"/>
      <c r="J45" s="185"/>
      <c r="K45" s="186"/>
      <c r="L45" s="205"/>
      <c r="M45" s="206"/>
      <c r="N45" s="206"/>
      <c r="O45" s="206"/>
      <c r="P45" s="206"/>
      <c r="Q45" s="207"/>
    </row>
    <row r="46" spans="1:17" ht="15.75" customHeight="1" x14ac:dyDescent="0.3">
      <c r="A46" s="9">
        <v>1</v>
      </c>
      <c r="B46" s="12"/>
      <c r="C46" s="24" t="s">
        <v>56</v>
      </c>
      <c r="D46" s="184"/>
      <c r="E46" s="185"/>
      <c r="F46" s="185"/>
      <c r="G46" s="185"/>
      <c r="H46" s="185"/>
      <c r="I46" s="185"/>
      <c r="J46" s="185"/>
      <c r="K46" s="186"/>
      <c r="L46" s="9">
        <v>1</v>
      </c>
      <c r="M46" s="184"/>
      <c r="N46" s="185"/>
      <c r="O46" s="185"/>
      <c r="P46" s="185"/>
      <c r="Q46" s="186"/>
    </row>
    <row r="47" spans="1:17" ht="15.75" customHeight="1" x14ac:dyDescent="0.3">
      <c r="A47" s="9">
        <v>2</v>
      </c>
      <c r="B47" s="12"/>
      <c r="C47" s="24" t="s">
        <v>56</v>
      </c>
      <c r="D47" s="184"/>
      <c r="E47" s="185"/>
      <c r="F47" s="185"/>
      <c r="G47" s="185"/>
      <c r="H47" s="185"/>
      <c r="I47" s="185"/>
      <c r="J47" s="185"/>
      <c r="K47" s="186"/>
      <c r="L47" s="9">
        <v>2</v>
      </c>
      <c r="M47" s="184"/>
      <c r="N47" s="185"/>
      <c r="O47" s="185"/>
      <c r="P47" s="185"/>
      <c r="Q47" s="186"/>
    </row>
    <row r="48" spans="1:17" ht="15.75" customHeight="1" x14ac:dyDescent="0.3">
      <c r="A48" s="9">
        <v>3</v>
      </c>
      <c r="B48" s="12"/>
      <c r="C48" s="24" t="s">
        <v>56</v>
      </c>
      <c r="D48" s="184"/>
      <c r="E48" s="185"/>
      <c r="F48" s="185"/>
      <c r="G48" s="185"/>
      <c r="H48" s="185"/>
      <c r="I48" s="185"/>
      <c r="J48" s="185"/>
      <c r="K48" s="186"/>
      <c r="L48" s="9">
        <v>3</v>
      </c>
      <c r="M48" s="184"/>
      <c r="N48" s="185"/>
      <c r="O48" s="185"/>
      <c r="P48" s="185"/>
      <c r="Q48" s="186"/>
    </row>
    <row r="49" spans="1:17" ht="15.75" customHeight="1" x14ac:dyDescent="0.3">
      <c r="A49" s="9">
        <v>4</v>
      </c>
      <c r="B49" s="12"/>
      <c r="C49" s="24" t="s">
        <v>56</v>
      </c>
      <c r="D49" s="184"/>
      <c r="E49" s="185"/>
      <c r="F49" s="185"/>
      <c r="G49" s="185"/>
      <c r="H49" s="185"/>
      <c r="I49" s="185"/>
      <c r="J49" s="185"/>
      <c r="K49" s="186"/>
      <c r="L49" s="9">
        <v>4</v>
      </c>
      <c r="M49" s="184"/>
      <c r="N49" s="185"/>
      <c r="O49" s="185"/>
      <c r="P49" s="185"/>
      <c r="Q49" s="186"/>
    </row>
    <row r="50" spans="1:17" ht="15.75" customHeight="1" x14ac:dyDescent="0.3">
      <c r="A50" s="9">
        <v>5</v>
      </c>
      <c r="B50" s="12"/>
      <c r="C50" s="24" t="s">
        <v>56</v>
      </c>
      <c r="D50" s="184"/>
      <c r="E50" s="185"/>
      <c r="F50" s="185"/>
      <c r="G50" s="185"/>
      <c r="H50" s="185"/>
      <c r="I50" s="185"/>
      <c r="J50" s="185"/>
      <c r="K50" s="186"/>
      <c r="L50" s="9">
        <v>5</v>
      </c>
      <c r="M50" s="184"/>
      <c r="N50" s="185"/>
      <c r="O50" s="185"/>
      <c r="P50" s="185"/>
      <c r="Q50" s="186"/>
    </row>
    <row r="51" spans="1:17" ht="15.75" customHeight="1" x14ac:dyDescent="0.25">
      <c r="A51" s="25" t="s">
        <v>57</v>
      </c>
      <c r="K51" s="13" t="s">
        <v>58</v>
      </c>
    </row>
    <row r="52" spans="1:17" ht="16.5" customHeight="1" x14ac:dyDescent="0.25">
      <c r="A52" s="197" t="s">
        <v>59</v>
      </c>
      <c r="B52" s="190"/>
      <c r="C52" s="190"/>
      <c r="D52" s="190"/>
      <c r="E52" s="190"/>
      <c r="F52" s="190"/>
      <c r="G52" s="190"/>
      <c r="H52" s="190"/>
      <c r="K52" s="13" t="s">
        <v>60</v>
      </c>
    </row>
    <row r="53" spans="1:17" ht="15.75" customHeight="1" x14ac:dyDescent="0.25">
      <c r="A53" s="190"/>
      <c r="B53" s="190"/>
      <c r="C53" s="190"/>
      <c r="D53" s="190"/>
      <c r="E53" s="190"/>
      <c r="F53" s="190"/>
      <c r="G53" s="190"/>
      <c r="H53" s="190"/>
    </row>
    <row r="54" spans="1:17" ht="15.75" customHeight="1" x14ac:dyDescent="0.25">
      <c r="A54" s="198" t="s">
        <v>61</v>
      </c>
      <c r="B54" s="190"/>
      <c r="C54" s="190"/>
      <c r="D54" s="190"/>
      <c r="E54" s="190"/>
      <c r="F54" s="190"/>
      <c r="G54" s="190"/>
      <c r="H54" s="190"/>
    </row>
    <row r="55" spans="1:17" ht="15.75" customHeight="1" x14ac:dyDescent="0.25">
      <c r="A55" s="190"/>
      <c r="B55" s="190"/>
      <c r="C55" s="190"/>
      <c r="D55" s="190"/>
      <c r="E55" s="190"/>
      <c r="F55" s="190"/>
      <c r="G55" s="190"/>
      <c r="H55" s="190"/>
      <c r="K55" s="13" t="s">
        <v>62</v>
      </c>
    </row>
    <row r="56" spans="1:17" ht="15.75" customHeight="1" x14ac:dyDescent="0.25">
      <c r="A56" s="190"/>
      <c r="B56" s="190"/>
      <c r="C56" s="190"/>
      <c r="D56" s="190"/>
      <c r="E56" s="190"/>
      <c r="F56" s="190"/>
      <c r="G56" s="190"/>
      <c r="H56" s="190"/>
      <c r="K56" s="13" t="s">
        <v>63</v>
      </c>
    </row>
    <row r="57" spans="1:17" ht="15.75" customHeight="1" x14ac:dyDescent="0.25"/>
    <row r="58" spans="1:17" ht="15.75" customHeight="1" x14ac:dyDescent="0.25">
      <c r="A58" s="26" t="s">
        <v>5208</v>
      </c>
    </row>
    <row r="59" spans="1:17" ht="15.75" customHeight="1" x14ac:dyDescent="0.25"/>
    <row r="60" spans="1:17" ht="15.75" customHeight="1" x14ac:dyDescent="0.25"/>
    <row r="61" spans="1:17" ht="15.75" customHeight="1" x14ac:dyDescent="0.25"/>
    <row r="62" spans="1:17" ht="15.75" customHeight="1" x14ac:dyDescent="0.25"/>
    <row r="63" spans="1:17" ht="15.75" customHeight="1" x14ac:dyDescent="0.25"/>
    <row r="64" spans="1:1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mergeCells count="27">
    <mergeCell ref="D50:K50"/>
    <mergeCell ref="M50:Q50"/>
    <mergeCell ref="A52:H53"/>
    <mergeCell ref="A54:H56"/>
    <mergeCell ref="A11:B11"/>
    <mergeCell ref="D11:H11"/>
    <mergeCell ref="A44:K44"/>
    <mergeCell ref="L44:Q45"/>
    <mergeCell ref="D45:K45"/>
    <mergeCell ref="D46:K46"/>
    <mergeCell ref="D47:K47"/>
    <mergeCell ref="M46:Q46"/>
    <mergeCell ref="M47:Q47"/>
    <mergeCell ref="D48:K48"/>
    <mergeCell ref="M48:Q48"/>
    <mergeCell ref="D49:K49"/>
    <mergeCell ref="M49:Q49"/>
    <mergeCell ref="I11:K11"/>
    <mergeCell ref="L11:P11"/>
    <mergeCell ref="M1:Q1"/>
    <mergeCell ref="M2:Q2"/>
    <mergeCell ref="A3:Q3"/>
    <mergeCell ref="A4:Q4"/>
    <mergeCell ref="A5:Q5"/>
    <mergeCell ref="A6:Q6"/>
    <mergeCell ref="C11:C12"/>
    <mergeCell ref="Q11:Q12"/>
  </mergeCells>
  <pageMargins left="0.59055118110236227" right="0.39370078740157483" top="0.39370078740157483" bottom="0.39370078740157483" header="0" footer="0"/>
  <pageSetup paperSize="10000" scale="83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36C09"/>
    <pageSetUpPr fitToPage="1"/>
  </sheetPr>
  <dimension ref="A1:Q994"/>
  <sheetViews>
    <sheetView workbookViewId="0">
      <selection activeCell="A7" sqref="A7"/>
    </sheetView>
  </sheetViews>
  <sheetFormatPr defaultColWidth="14.42578125" defaultRowHeight="15" customHeight="1" x14ac:dyDescent="0.25"/>
  <cols>
    <col min="1" max="1" width="4.85546875" customWidth="1"/>
    <col min="2" max="2" width="8.7109375" customWidth="1"/>
    <col min="3" max="3" width="39" customWidth="1"/>
    <col min="4" max="8" width="3.5703125" customWidth="1"/>
    <col min="9" max="11" width="4.140625" customWidth="1"/>
    <col min="12" max="16" width="4.42578125" customWidth="1"/>
    <col min="17" max="17" width="5" customWidth="1"/>
    <col min="18" max="26" width="8.7109375" customWidth="1"/>
  </cols>
  <sheetData>
    <row r="1" spans="1:17" x14ac:dyDescent="0.25">
      <c r="M1" s="188" t="s">
        <v>0</v>
      </c>
      <c r="N1" s="185"/>
      <c r="O1" s="185"/>
      <c r="P1" s="185"/>
      <c r="Q1" s="186"/>
    </row>
    <row r="2" spans="1:17" x14ac:dyDescent="0.25">
      <c r="M2" s="188" t="s">
        <v>1</v>
      </c>
      <c r="N2" s="185"/>
      <c r="O2" s="185"/>
      <c r="P2" s="185"/>
      <c r="Q2" s="186"/>
    </row>
    <row r="3" spans="1:17" ht="15.75" x14ac:dyDescent="0.3">
      <c r="A3" s="189" t="s">
        <v>2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</row>
    <row r="4" spans="1:17" x14ac:dyDescent="0.25">
      <c r="A4" s="191" t="s">
        <v>3</v>
      </c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</row>
    <row r="5" spans="1:17" x14ac:dyDescent="0.25">
      <c r="A5" s="192" t="s">
        <v>4</v>
      </c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</row>
    <row r="6" spans="1:17" ht="15.75" x14ac:dyDescent="0.25">
      <c r="A6" s="193" t="s">
        <v>5178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</row>
    <row r="7" spans="1:17" ht="15.7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9.5" customHeight="1" x14ac:dyDescent="0.25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3"/>
      <c r="L8" s="2" t="s">
        <v>6</v>
      </c>
      <c r="M8" s="2"/>
      <c r="N8" s="2"/>
      <c r="O8" s="2"/>
      <c r="P8" s="2"/>
      <c r="Q8" s="2"/>
    </row>
    <row r="9" spans="1:17" ht="19.5" customHeight="1" x14ac:dyDescent="0.25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3"/>
      <c r="L9" s="4" t="s">
        <v>5140</v>
      </c>
      <c r="M9" s="2"/>
      <c r="N9" s="2"/>
      <c r="O9" s="2"/>
      <c r="P9" s="2"/>
      <c r="Q9" s="2"/>
    </row>
    <row r="10" spans="1:17" ht="19.5" customHeight="1" x14ac:dyDescent="0.25">
      <c r="A10" s="2" t="s">
        <v>8</v>
      </c>
      <c r="B10" s="2"/>
      <c r="C10" s="4" t="s">
        <v>4512</v>
      </c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</row>
    <row r="11" spans="1:17" ht="15" customHeight="1" x14ac:dyDescent="0.3">
      <c r="A11" s="199" t="s">
        <v>9</v>
      </c>
      <c r="B11" s="186"/>
      <c r="C11" s="194" t="s">
        <v>10</v>
      </c>
      <c r="D11" s="200" t="s">
        <v>11</v>
      </c>
      <c r="E11" s="185"/>
      <c r="F11" s="185"/>
      <c r="G11" s="185"/>
      <c r="H11" s="186"/>
      <c r="I11" s="187" t="s">
        <v>12</v>
      </c>
      <c r="J11" s="185"/>
      <c r="K11" s="186"/>
      <c r="L11" s="187" t="s">
        <v>13</v>
      </c>
      <c r="M11" s="185"/>
      <c r="N11" s="185"/>
      <c r="O11" s="185"/>
      <c r="P11" s="186"/>
      <c r="Q11" s="196" t="s">
        <v>14</v>
      </c>
    </row>
    <row r="12" spans="1:17" ht="15" customHeight="1" x14ac:dyDescent="0.3">
      <c r="A12" s="5" t="s">
        <v>15</v>
      </c>
      <c r="B12" s="5" t="s">
        <v>16</v>
      </c>
      <c r="C12" s="195"/>
      <c r="D12" s="6"/>
      <c r="E12" s="6"/>
      <c r="F12" s="6"/>
      <c r="G12" s="6"/>
      <c r="H12" s="6"/>
      <c r="I12" s="7" t="s">
        <v>17</v>
      </c>
      <c r="J12" s="7" t="s">
        <v>18</v>
      </c>
      <c r="K12" s="7" t="s">
        <v>19</v>
      </c>
      <c r="L12" s="8">
        <v>1</v>
      </c>
      <c r="M12" s="8">
        <v>2</v>
      </c>
      <c r="N12" s="8">
        <v>3</v>
      </c>
      <c r="O12" s="8">
        <v>4</v>
      </c>
      <c r="P12" s="8">
        <v>5</v>
      </c>
      <c r="Q12" s="195"/>
    </row>
    <row r="13" spans="1:17" x14ac:dyDescent="0.25">
      <c r="A13" s="9">
        <v>1</v>
      </c>
      <c r="B13" s="10" t="s">
        <v>4987</v>
      </c>
      <c r="C13" s="11" t="s">
        <v>472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25">
      <c r="A14" s="9">
        <v>2</v>
      </c>
      <c r="B14" s="10" t="s">
        <v>4988</v>
      </c>
      <c r="C14" s="11" t="s">
        <v>473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5">
      <c r="A15" s="9">
        <v>3</v>
      </c>
      <c r="B15" s="10" t="s">
        <v>4989</v>
      </c>
      <c r="C15" s="11" t="s">
        <v>474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9">
        <v>4</v>
      </c>
      <c r="B16" s="10" t="s">
        <v>4990</v>
      </c>
      <c r="C16" s="11" t="s">
        <v>475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x14ac:dyDescent="0.25">
      <c r="A17" s="9">
        <v>5</v>
      </c>
      <c r="B17" s="10" t="s">
        <v>4991</v>
      </c>
      <c r="C17" s="11" t="s">
        <v>476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x14ac:dyDescent="0.25">
      <c r="A18" s="9">
        <v>6</v>
      </c>
      <c r="B18" s="10" t="s">
        <v>4992</v>
      </c>
      <c r="C18" s="11" t="s">
        <v>477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x14ac:dyDescent="0.25">
      <c r="A19" s="9">
        <v>7</v>
      </c>
      <c r="B19" s="10" t="s">
        <v>4993</v>
      </c>
      <c r="C19" s="11" t="s">
        <v>478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x14ac:dyDescent="0.25">
      <c r="A20" s="9">
        <v>8</v>
      </c>
      <c r="B20" s="10" t="s">
        <v>4994</v>
      </c>
      <c r="C20" s="11" t="s">
        <v>479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15.75" customHeight="1" x14ac:dyDescent="0.25">
      <c r="A21" s="9">
        <v>9</v>
      </c>
      <c r="B21" s="10" t="s">
        <v>4995</v>
      </c>
      <c r="C21" s="11" t="s">
        <v>480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15.75" customHeight="1" x14ac:dyDescent="0.25">
      <c r="A22" s="9">
        <v>10</v>
      </c>
      <c r="B22" s="10" t="s">
        <v>4996</v>
      </c>
      <c r="C22" s="11" t="s">
        <v>481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15.75" customHeight="1" x14ac:dyDescent="0.25">
      <c r="A23" s="9">
        <v>11</v>
      </c>
      <c r="B23" s="10" t="s">
        <v>4997</v>
      </c>
      <c r="C23" s="11" t="s">
        <v>482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ht="15.75" customHeight="1" x14ac:dyDescent="0.25">
      <c r="A24" s="9">
        <v>12</v>
      </c>
      <c r="B24" s="10" t="s">
        <v>4998</v>
      </c>
      <c r="C24" s="11" t="s">
        <v>483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15.75" customHeight="1" x14ac:dyDescent="0.25">
      <c r="A25" s="9">
        <v>13</v>
      </c>
      <c r="B25" s="10" t="s">
        <v>4999</v>
      </c>
      <c r="C25" s="11" t="s">
        <v>484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15.75" customHeight="1" x14ac:dyDescent="0.25">
      <c r="A26" s="9">
        <v>14</v>
      </c>
      <c r="B26" s="10" t="s">
        <v>5000</v>
      </c>
      <c r="C26" s="11" t="s">
        <v>485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ht="15.75" customHeight="1" x14ac:dyDescent="0.25">
      <c r="A27" s="9">
        <v>15</v>
      </c>
      <c r="B27" s="10" t="s">
        <v>5001</v>
      </c>
      <c r="C27" s="11" t="s">
        <v>486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ht="15.75" customHeight="1" x14ac:dyDescent="0.25">
      <c r="A28" s="9">
        <v>16</v>
      </c>
      <c r="B28" s="10" t="s">
        <v>5002</v>
      </c>
      <c r="C28" s="11" t="s">
        <v>487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ht="15.75" customHeight="1" x14ac:dyDescent="0.25">
      <c r="A29" s="9">
        <v>17</v>
      </c>
      <c r="B29" s="10" t="s">
        <v>5003</v>
      </c>
      <c r="C29" s="11" t="s">
        <v>488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15.75" customHeight="1" x14ac:dyDescent="0.25">
      <c r="A30" s="9">
        <v>18</v>
      </c>
      <c r="B30" s="10" t="s">
        <v>5004</v>
      </c>
      <c r="C30" s="11" t="s">
        <v>489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17" ht="15.75" customHeight="1" x14ac:dyDescent="0.25">
      <c r="A31" s="9">
        <v>19</v>
      </c>
      <c r="B31" s="10" t="s">
        <v>5005</v>
      </c>
      <c r="C31" s="35" t="s">
        <v>490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17" ht="15.75" customHeight="1" x14ac:dyDescent="0.25">
      <c r="A32" s="9">
        <v>20</v>
      </c>
      <c r="B32" s="10" t="s">
        <v>5006</v>
      </c>
      <c r="C32" s="11" t="s">
        <v>491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17" ht="15.75" customHeight="1" x14ac:dyDescent="0.25">
      <c r="A33" s="29">
        <v>21</v>
      </c>
      <c r="B33" s="102" t="s">
        <v>5007</v>
      </c>
      <c r="C33" s="14" t="s">
        <v>492</v>
      </c>
      <c r="D33" s="15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17" ht="15.75" customHeight="1" x14ac:dyDescent="0.25">
      <c r="A34" s="70">
        <v>22</v>
      </c>
      <c r="B34" s="70" t="s">
        <v>5008</v>
      </c>
      <c r="C34" s="75" t="s">
        <v>4493</v>
      </c>
      <c r="D34" s="68"/>
      <c r="E34" s="16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17" ht="15.75" customHeight="1" x14ac:dyDescent="0.25">
      <c r="A35" s="70">
        <v>23</v>
      </c>
      <c r="B35" s="70" t="s">
        <v>5009</v>
      </c>
      <c r="C35" s="75" t="s">
        <v>493</v>
      </c>
      <c r="D35" s="68"/>
      <c r="E35" s="16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1:17" ht="15.75" customHeight="1" x14ac:dyDescent="0.25">
      <c r="A36" s="70">
        <v>24</v>
      </c>
      <c r="B36" s="110" t="s">
        <v>5098</v>
      </c>
      <c r="C36" s="111" t="s">
        <v>5080</v>
      </c>
      <c r="D36" s="68"/>
      <c r="E36" s="16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17" ht="15.75" customHeight="1" x14ac:dyDescent="0.25">
      <c r="A37" s="70">
        <v>25</v>
      </c>
      <c r="B37" s="70" t="s">
        <v>5010</v>
      </c>
      <c r="C37" s="75" t="s">
        <v>494</v>
      </c>
      <c r="D37" s="68"/>
      <c r="E37" s="16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1:17" ht="15.75" customHeight="1" x14ac:dyDescent="0.25">
      <c r="A38" s="69">
        <v>26</v>
      </c>
      <c r="B38" s="70" t="s">
        <v>5011</v>
      </c>
      <c r="C38" s="75" t="s">
        <v>495</v>
      </c>
      <c r="D38" s="68"/>
      <c r="E38" s="16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spans="1:17" ht="15.75" customHeight="1" x14ac:dyDescent="0.25">
      <c r="A39" s="69">
        <v>27</v>
      </c>
      <c r="B39" s="70" t="s">
        <v>5012</v>
      </c>
      <c r="C39" s="75" t="s">
        <v>496</v>
      </c>
      <c r="D39" s="68"/>
      <c r="E39" s="16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spans="1:17" ht="15.75" customHeight="1" x14ac:dyDescent="0.25">
      <c r="A40" s="31">
        <v>28</v>
      </c>
      <c r="B40" s="17" t="s">
        <v>5013</v>
      </c>
      <c r="C40" s="18" t="s">
        <v>497</v>
      </c>
      <c r="D40" s="20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spans="1:17" ht="15.75" customHeight="1" x14ac:dyDescent="0.25">
      <c r="A41" s="9">
        <v>29</v>
      </c>
      <c r="B41" s="10"/>
      <c r="C41" s="11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spans="1:17" ht="15.75" customHeight="1" x14ac:dyDescent="0.25">
      <c r="A42" s="9">
        <v>30</v>
      </c>
      <c r="B42" s="10"/>
      <c r="C42" s="11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spans="1:17" ht="15.75" customHeight="1" x14ac:dyDescent="0.25">
      <c r="A43" s="2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 spans="1:17" ht="15.75" customHeight="1" x14ac:dyDescent="0.25">
      <c r="A44" s="201" t="s">
        <v>50</v>
      </c>
      <c r="B44" s="185"/>
      <c r="C44" s="185"/>
      <c r="D44" s="185"/>
      <c r="E44" s="185"/>
      <c r="F44" s="185"/>
      <c r="G44" s="185"/>
      <c r="H44" s="185"/>
      <c r="I44" s="185"/>
      <c r="J44" s="185"/>
      <c r="K44" s="186"/>
      <c r="L44" s="202" t="s">
        <v>51</v>
      </c>
      <c r="M44" s="203"/>
      <c r="N44" s="203"/>
      <c r="O44" s="203"/>
      <c r="P44" s="203"/>
      <c r="Q44" s="204"/>
    </row>
    <row r="45" spans="1:17" ht="15.75" customHeight="1" x14ac:dyDescent="0.25">
      <c r="A45" s="8" t="s">
        <v>52</v>
      </c>
      <c r="B45" s="8" t="s">
        <v>53</v>
      </c>
      <c r="C45" s="23" t="s">
        <v>54</v>
      </c>
      <c r="D45" s="201" t="s">
        <v>55</v>
      </c>
      <c r="E45" s="185"/>
      <c r="F45" s="185"/>
      <c r="G45" s="185"/>
      <c r="H45" s="185"/>
      <c r="I45" s="185"/>
      <c r="J45" s="185"/>
      <c r="K45" s="186"/>
      <c r="L45" s="205"/>
      <c r="M45" s="206"/>
      <c r="N45" s="206"/>
      <c r="O45" s="206"/>
      <c r="P45" s="206"/>
      <c r="Q45" s="207"/>
    </row>
    <row r="46" spans="1:17" ht="15.75" customHeight="1" x14ac:dyDescent="0.3">
      <c r="A46" s="9">
        <v>1</v>
      </c>
      <c r="B46" s="12"/>
      <c r="C46" s="24" t="s">
        <v>56</v>
      </c>
      <c r="D46" s="184"/>
      <c r="E46" s="185"/>
      <c r="F46" s="185"/>
      <c r="G46" s="185"/>
      <c r="H46" s="185"/>
      <c r="I46" s="185"/>
      <c r="J46" s="185"/>
      <c r="K46" s="186"/>
      <c r="L46" s="9">
        <v>1</v>
      </c>
      <c r="M46" s="184"/>
      <c r="N46" s="185"/>
      <c r="O46" s="185"/>
      <c r="P46" s="185"/>
      <c r="Q46" s="186"/>
    </row>
    <row r="47" spans="1:17" ht="15.75" customHeight="1" x14ac:dyDescent="0.3">
      <c r="A47" s="9">
        <v>2</v>
      </c>
      <c r="B47" s="12"/>
      <c r="C47" s="24" t="s">
        <v>56</v>
      </c>
      <c r="D47" s="184"/>
      <c r="E47" s="185"/>
      <c r="F47" s="185"/>
      <c r="G47" s="185"/>
      <c r="H47" s="185"/>
      <c r="I47" s="185"/>
      <c r="J47" s="185"/>
      <c r="K47" s="186"/>
      <c r="L47" s="9">
        <v>2</v>
      </c>
      <c r="M47" s="184"/>
      <c r="N47" s="185"/>
      <c r="O47" s="185"/>
      <c r="P47" s="185"/>
      <c r="Q47" s="186"/>
    </row>
    <row r="48" spans="1:17" ht="15.75" customHeight="1" x14ac:dyDescent="0.3">
      <c r="A48" s="9">
        <v>3</v>
      </c>
      <c r="B48" s="12"/>
      <c r="C48" s="24" t="s">
        <v>56</v>
      </c>
      <c r="D48" s="184"/>
      <c r="E48" s="185"/>
      <c r="F48" s="185"/>
      <c r="G48" s="185"/>
      <c r="H48" s="185"/>
      <c r="I48" s="185"/>
      <c r="J48" s="185"/>
      <c r="K48" s="186"/>
      <c r="L48" s="9">
        <v>3</v>
      </c>
      <c r="M48" s="184"/>
      <c r="N48" s="185"/>
      <c r="O48" s="185"/>
      <c r="P48" s="185"/>
      <c r="Q48" s="186"/>
    </row>
    <row r="49" spans="1:17" ht="15.75" customHeight="1" x14ac:dyDescent="0.3">
      <c r="A49" s="9">
        <v>4</v>
      </c>
      <c r="B49" s="12"/>
      <c r="C49" s="24" t="s">
        <v>56</v>
      </c>
      <c r="D49" s="184"/>
      <c r="E49" s="185"/>
      <c r="F49" s="185"/>
      <c r="G49" s="185"/>
      <c r="H49" s="185"/>
      <c r="I49" s="185"/>
      <c r="J49" s="185"/>
      <c r="K49" s="186"/>
      <c r="L49" s="9">
        <v>4</v>
      </c>
      <c r="M49" s="184"/>
      <c r="N49" s="185"/>
      <c r="O49" s="185"/>
      <c r="P49" s="185"/>
      <c r="Q49" s="186"/>
    </row>
    <row r="50" spans="1:17" ht="15.75" customHeight="1" x14ac:dyDescent="0.3">
      <c r="A50" s="9">
        <v>5</v>
      </c>
      <c r="B50" s="12"/>
      <c r="C50" s="24" t="s">
        <v>56</v>
      </c>
      <c r="D50" s="184"/>
      <c r="E50" s="185"/>
      <c r="F50" s="185"/>
      <c r="G50" s="185"/>
      <c r="H50" s="185"/>
      <c r="I50" s="185"/>
      <c r="J50" s="185"/>
      <c r="K50" s="186"/>
      <c r="L50" s="9">
        <v>5</v>
      </c>
      <c r="M50" s="184"/>
      <c r="N50" s="185"/>
      <c r="O50" s="185"/>
      <c r="P50" s="185"/>
      <c r="Q50" s="186"/>
    </row>
    <row r="51" spans="1:17" ht="15.75" customHeight="1" x14ac:dyDescent="0.25">
      <c r="A51" s="25" t="s">
        <v>57</v>
      </c>
      <c r="K51" s="13" t="s">
        <v>58</v>
      </c>
    </row>
    <row r="52" spans="1:17" ht="16.5" customHeight="1" x14ac:dyDescent="0.25">
      <c r="A52" s="197" t="s">
        <v>59</v>
      </c>
      <c r="B52" s="190"/>
      <c r="C52" s="190"/>
      <c r="D52" s="190"/>
      <c r="E52" s="190"/>
      <c r="F52" s="190"/>
      <c r="G52" s="190"/>
      <c r="H52" s="190"/>
      <c r="K52" s="13" t="s">
        <v>60</v>
      </c>
    </row>
    <row r="53" spans="1:17" ht="15.75" customHeight="1" x14ac:dyDescent="0.25">
      <c r="A53" s="190"/>
      <c r="B53" s="190"/>
      <c r="C53" s="190"/>
      <c r="D53" s="190"/>
      <c r="E53" s="190"/>
      <c r="F53" s="190"/>
      <c r="G53" s="190"/>
      <c r="H53" s="190"/>
    </row>
    <row r="54" spans="1:17" ht="15.75" customHeight="1" x14ac:dyDescent="0.25">
      <c r="A54" s="198" t="s">
        <v>61</v>
      </c>
      <c r="B54" s="190"/>
      <c r="C54" s="190"/>
      <c r="D54" s="190"/>
      <c r="E54" s="190"/>
      <c r="F54" s="190"/>
      <c r="G54" s="190"/>
      <c r="H54" s="190"/>
    </row>
    <row r="55" spans="1:17" ht="15.75" customHeight="1" x14ac:dyDescent="0.25">
      <c r="A55" s="190"/>
      <c r="B55" s="190"/>
      <c r="C55" s="190"/>
      <c r="D55" s="190"/>
      <c r="E55" s="190"/>
      <c r="F55" s="190"/>
      <c r="G55" s="190"/>
      <c r="H55" s="190"/>
      <c r="K55" s="13" t="s">
        <v>62</v>
      </c>
    </row>
    <row r="56" spans="1:17" ht="15.75" customHeight="1" x14ac:dyDescent="0.25">
      <c r="A56" s="190"/>
      <c r="B56" s="190"/>
      <c r="C56" s="190"/>
      <c r="D56" s="190"/>
      <c r="E56" s="190"/>
      <c r="F56" s="190"/>
      <c r="G56" s="190"/>
      <c r="H56" s="190"/>
      <c r="K56" s="13" t="s">
        <v>63</v>
      </c>
    </row>
    <row r="57" spans="1:17" ht="15.75" customHeight="1" x14ac:dyDescent="0.25"/>
    <row r="58" spans="1:17" ht="15.75" customHeight="1" x14ac:dyDescent="0.25">
      <c r="A58" s="26" t="s">
        <v>5107</v>
      </c>
    </row>
    <row r="59" spans="1:17" ht="15.75" customHeight="1" x14ac:dyDescent="0.25"/>
    <row r="60" spans="1:17" ht="15.75" customHeight="1" x14ac:dyDescent="0.25"/>
    <row r="61" spans="1:17" ht="15.75" customHeight="1" x14ac:dyDescent="0.25"/>
    <row r="62" spans="1:17" ht="15.75" customHeight="1" x14ac:dyDescent="0.25"/>
    <row r="63" spans="1:17" ht="15.75" customHeight="1" x14ac:dyDescent="0.25"/>
    <row r="64" spans="1:1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sortState xmlns:xlrd2="http://schemas.microsoft.com/office/spreadsheetml/2017/richdata2" ref="C13:C39">
    <sortCondition ref="C13:C39"/>
  </sortState>
  <mergeCells count="27">
    <mergeCell ref="D50:K50"/>
    <mergeCell ref="M50:Q50"/>
    <mergeCell ref="A52:H53"/>
    <mergeCell ref="A54:H56"/>
    <mergeCell ref="A11:B11"/>
    <mergeCell ref="D11:H11"/>
    <mergeCell ref="A44:K44"/>
    <mergeCell ref="L44:Q45"/>
    <mergeCell ref="D45:K45"/>
    <mergeCell ref="D46:K46"/>
    <mergeCell ref="D47:K47"/>
    <mergeCell ref="M46:Q46"/>
    <mergeCell ref="M47:Q47"/>
    <mergeCell ref="D48:K48"/>
    <mergeCell ref="M48:Q48"/>
    <mergeCell ref="D49:K49"/>
    <mergeCell ref="M49:Q49"/>
    <mergeCell ref="I11:K11"/>
    <mergeCell ref="L11:P11"/>
    <mergeCell ref="M1:Q1"/>
    <mergeCell ref="M2:Q2"/>
    <mergeCell ref="A3:Q3"/>
    <mergeCell ref="A4:Q4"/>
    <mergeCell ref="A5:Q5"/>
    <mergeCell ref="A6:Q6"/>
    <mergeCell ref="C11:C12"/>
    <mergeCell ref="Q11:Q12"/>
  </mergeCells>
  <pageMargins left="0.59055118110236227" right="0.39370078740157483" top="0.19685039370078741" bottom="0.19685039370078741" header="0" footer="0"/>
  <pageSetup paperSize="10000" scale="84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36C09"/>
    <pageSetUpPr fitToPage="1"/>
  </sheetPr>
  <dimension ref="A1:Z994"/>
  <sheetViews>
    <sheetView workbookViewId="0">
      <selection activeCell="A7" sqref="A7"/>
    </sheetView>
  </sheetViews>
  <sheetFormatPr defaultColWidth="14.42578125" defaultRowHeight="15" customHeight="1" x14ac:dyDescent="0.25"/>
  <cols>
    <col min="1" max="1" width="4.85546875" customWidth="1"/>
    <col min="2" max="2" width="8.7109375" customWidth="1"/>
    <col min="3" max="3" width="38.7109375" customWidth="1"/>
    <col min="4" max="8" width="3.5703125" customWidth="1"/>
    <col min="9" max="11" width="4.140625" customWidth="1"/>
    <col min="12" max="16" width="4.42578125" customWidth="1"/>
    <col min="17" max="17" width="5" customWidth="1"/>
    <col min="18" max="26" width="8.7109375" customWidth="1"/>
  </cols>
  <sheetData>
    <row r="1" spans="1:17" x14ac:dyDescent="0.25">
      <c r="M1" s="188" t="s">
        <v>0</v>
      </c>
      <c r="N1" s="185"/>
      <c r="O1" s="185"/>
      <c r="P1" s="185"/>
      <c r="Q1" s="186"/>
    </row>
    <row r="2" spans="1:17" x14ac:dyDescent="0.25">
      <c r="M2" s="188" t="s">
        <v>1</v>
      </c>
      <c r="N2" s="185"/>
      <c r="O2" s="185"/>
      <c r="P2" s="185"/>
      <c r="Q2" s="186"/>
    </row>
    <row r="3" spans="1:17" ht="15.75" x14ac:dyDescent="0.3">
      <c r="A3" s="189" t="s">
        <v>2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</row>
    <row r="4" spans="1:17" x14ac:dyDescent="0.25">
      <c r="A4" s="191" t="s">
        <v>3</v>
      </c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</row>
    <row r="5" spans="1:17" x14ac:dyDescent="0.25">
      <c r="A5" s="192" t="s">
        <v>4</v>
      </c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</row>
    <row r="6" spans="1:17" ht="15.75" x14ac:dyDescent="0.25">
      <c r="A6" s="193" t="s">
        <v>5177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</row>
    <row r="7" spans="1:17" ht="15.7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9.5" customHeight="1" x14ac:dyDescent="0.25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3"/>
      <c r="L8" s="2" t="s">
        <v>6</v>
      </c>
      <c r="M8" s="2"/>
      <c r="N8" s="2"/>
      <c r="O8" s="2"/>
      <c r="P8" s="2"/>
      <c r="Q8" s="2"/>
    </row>
    <row r="9" spans="1:17" ht="19.5" customHeight="1" x14ac:dyDescent="0.25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3"/>
      <c r="L9" s="4" t="s">
        <v>5140</v>
      </c>
      <c r="M9" s="2"/>
      <c r="N9" s="2"/>
      <c r="O9" s="2"/>
      <c r="P9" s="2"/>
      <c r="Q9" s="2"/>
    </row>
    <row r="10" spans="1:17" ht="19.5" customHeight="1" x14ac:dyDescent="0.25">
      <c r="A10" s="2" t="s">
        <v>8</v>
      </c>
      <c r="B10" s="2"/>
      <c r="C10" s="4" t="s">
        <v>4513</v>
      </c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</row>
    <row r="11" spans="1:17" ht="15" customHeight="1" x14ac:dyDescent="0.3">
      <c r="A11" s="199" t="s">
        <v>9</v>
      </c>
      <c r="B11" s="186"/>
      <c r="C11" s="194" t="s">
        <v>10</v>
      </c>
      <c r="D11" s="200" t="s">
        <v>11</v>
      </c>
      <c r="E11" s="185"/>
      <c r="F11" s="185"/>
      <c r="G11" s="185"/>
      <c r="H11" s="186"/>
      <c r="I11" s="187" t="s">
        <v>12</v>
      </c>
      <c r="J11" s="185"/>
      <c r="K11" s="186"/>
      <c r="L11" s="187" t="s">
        <v>13</v>
      </c>
      <c r="M11" s="185"/>
      <c r="N11" s="185"/>
      <c r="O11" s="185"/>
      <c r="P11" s="186"/>
      <c r="Q11" s="196" t="s">
        <v>14</v>
      </c>
    </row>
    <row r="12" spans="1:17" ht="15" customHeight="1" x14ac:dyDescent="0.3">
      <c r="A12" s="5" t="s">
        <v>15</v>
      </c>
      <c r="B12" s="5" t="s">
        <v>16</v>
      </c>
      <c r="C12" s="195"/>
      <c r="D12" s="6"/>
      <c r="E12" s="6"/>
      <c r="F12" s="6"/>
      <c r="G12" s="6"/>
      <c r="H12" s="6"/>
      <c r="I12" s="7" t="s">
        <v>17</v>
      </c>
      <c r="J12" s="7" t="s">
        <v>18</v>
      </c>
      <c r="K12" s="7" t="s">
        <v>19</v>
      </c>
      <c r="L12" s="8">
        <v>1</v>
      </c>
      <c r="M12" s="8">
        <v>2</v>
      </c>
      <c r="N12" s="8">
        <v>3</v>
      </c>
      <c r="O12" s="8">
        <v>4</v>
      </c>
      <c r="P12" s="8">
        <v>5</v>
      </c>
      <c r="Q12" s="195"/>
    </row>
    <row r="13" spans="1:17" x14ac:dyDescent="0.25">
      <c r="A13" s="9">
        <v>1</v>
      </c>
      <c r="B13" s="54" t="s">
        <v>5014</v>
      </c>
      <c r="C13" s="11" t="s">
        <v>498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25">
      <c r="A14" s="9">
        <v>2</v>
      </c>
      <c r="B14" s="54" t="s">
        <v>5015</v>
      </c>
      <c r="C14" s="11" t="s">
        <v>499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5">
      <c r="A15" s="9">
        <v>3</v>
      </c>
      <c r="B15" s="106" t="s">
        <v>5106</v>
      </c>
      <c r="C15" s="107" t="s">
        <v>5101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9">
        <v>4</v>
      </c>
      <c r="B16" s="54" t="s">
        <v>5016</v>
      </c>
      <c r="C16" s="11" t="s">
        <v>500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x14ac:dyDescent="0.25">
      <c r="A17" s="9">
        <v>5</v>
      </c>
      <c r="B17" s="54" t="s">
        <v>5017</v>
      </c>
      <c r="C17" s="11" t="s">
        <v>501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x14ac:dyDescent="0.25">
      <c r="A18" s="9">
        <v>6</v>
      </c>
      <c r="B18" s="54" t="s">
        <v>5018</v>
      </c>
      <c r="C18" s="11" t="s">
        <v>502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x14ac:dyDescent="0.25">
      <c r="A19" s="9">
        <v>7</v>
      </c>
      <c r="B19" s="54" t="s">
        <v>5019</v>
      </c>
      <c r="C19" s="11" t="s">
        <v>503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x14ac:dyDescent="0.25">
      <c r="A20" s="9">
        <v>8</v>
      </c>
      <c r="B20" s="54" t="s">
        <v>5020</v>
      </c>
      <c r="C20" s="11" t="s">
        <v>5097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15.75" customHeight="1" x14ac:dyDescent="0.25">
      <c r="A21" s="9">
        <v>9</v>
      </c>
      <c r="B21" s="54" t="s">
        <v>5021</v>
      </c>
      <c r="C21" s="11" t="s">
        <v>504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15.75" customHeight="1" x14ac:dyDescent="0.25">
      <c r="A22" s="9">
        <v>10</v>
      </c>
      <c r="B22" s="54" t="s">
        <v>5022</v>
      </c>
      <c r="C22" s="11" t="s">
        <v>505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15.75" customHeight="1" x14ac:dyDescent="0.25">
      <c r="A23" s="9">
        <v>11</v>
      </c>
      <c r="B23" s="54" t="s">
        <v>5023</v>
      </c>
      <c r="C23" s="11" t="s">
        <v>506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ht="15.75" customHeight="1" x14ac:dyDescent="0.25">
      <c r="A24" s="9">
        <v>12</v>
      </c>
      <c r="B24" s="54" t="s">
        <v>5024</v>
      </c>
      <c r="C24" s="11" t="s">
        <v>507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15.75" customHeight="1" x14ac:dyDescent="0.25">
      <c r="A25" s="9">
        <v>13</v>
      </c>
      <c r="B25" s="54" t="s">
        <v>5025</v>
      </c>
      <c r="C25" s="11" t="s">
        <v>508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15.75" customHeight="1" x14ac:dyDescent="0.25">
      <c r="A26" s="9">
        <v>14</v>
      </c>
      <c r="B26" s="54" t="s">
        <v>5026</v>
      </c>
      <c r="C26" s="11" t="s">
        <v>509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ht="15.75" customHeight="1" x14ac:dyDescent="0.25">
      <c r="A27" s="9">
        <v>15</v>
      </c>
      <c r="B27" s="54" t="s">
        <v>5027</v>
      </c>
      <c r="C27" s="11" t="s">
        <v>510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ht="15.75" customHeight="1" x14ac:dyDescent="0.25">
      <c r="A28" s="9">
        <v>16</v>
      </c>
      <c r="B28" s="54" t="s">
        <v>5028</v>
      </c>
      <c r="C28" s="11" t="s">
        <v>511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ht="15.75" customHeight="1" x14ac:dyDescent="0.25">
      <c r="A29" s="9">
        <v>17</v>
      </c>
      <c r="B29" s="54" t="s">
        <v>5029</v>
      </c>
      <c r="C29" s="11" t="s">
        <v>512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15.75" customHeight="1" x14ac:dyDescent="0.25">
      <c r="A30" s="9">
        <v>18</v>
      </c>
      <c r="B30" s="54" t="s">
        <v>5030</v>
      </c>
      <c r="C30" s="11" t="s">
        <v>513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17" ht="15.75" customHeight="1" x14ac:dyDescent="0.25">
      <c r="A31" s="9">
        <v>19</v>
      </c>
      <c r="B31" s="54" t="s">
        <v>5031</v>
      </c>
      <c r="C31" s="11" t="s">
        <v>514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17" ht="15.75" customHeight="1" x14ac:dyDescent="0.25">
      <c r="A32" s="9">
        <v>20</v>
      </c>
      <c r="B32" s="54" t="s">
        <v>5032</v>
      </c>
      <c r="C32" s="11" t="s">
        <v>515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26" ht="15.75" customHeight="1" x14ac:dyDescent="0.25">
      <c r="A33" s="9">
        <v>21</v>
      </c>
      <c r="B33" s="54" t="s">
        <v>5033</v>
      </c>
      <c r="C33" s="11" t="s">
        <v>516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26" ht="15.75" customHeight="1" x14ac:dyDescent="0.25">
      <c r="A34" s="9">
        <v>22</v>
      </c>
      <c r="B34" s="106" t="s">
        <v>5051</v>
      </c>
      <c r="C34" s="112" t="s">
        <v>5045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26" ht="15.75" customHeight="1" x14ac:dyDescent="0.25">
      <c r="A35" s="9">
        <v>23</v>
      </c>
      <c r="B35" s="54" t="s">
        <v>5034</v>
      </c>
      <c r="C35" s="67" t="s">
        <v>4516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1:26" ht="15.75" customHeight="1" x14ac:dyDescent="0.25">
      <c r="A36" s="9">
        <v>24</v>
      </c>
      <c r="B36" s="54" t="s">
        <v>5035</v>
      </c>
      <c r="C36" s="14" t="s">
        <v>517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26" x14ac:dyDescent="0.25">
      <c r="A37" s="118">
        <v>25</v>
      </c>
      <c r="B37" s="96" t="s">
        <v>5036</v>
      </c>
      <c r="C37" s="14" t="s">
        <v>518</v>
      </c>
      <c r="D37" s="15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1:26" ht="15.75" customHeight="1" x14ac:dyDescent="0.25">
      <c r="A38" s="69">
        <v>26</v>
      </c>
      <c r="B38" s="97" t="s">
        <v>5037</v>
      </c>
      <c r="C38" s="75" t="s">
        <v>519</v>
      </c>
      <c r="D38" s="68"/>
      <c r="E38" s="16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spans="1:26" x14ac:dyDescent="0.25">
      <c r="A39" s="70">
        <v>27</v>
      </c>
      <c r="B39" s="97" t="s">
        <v>5038</v>
      </c>
      <c r="C39" s="75" t="s">
        <v>520</v>
      </c>
      <c r="D39" s="68"/>
      <c r="E39" s="16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spans="1:26" ht="15.75" customHeight="1" x14ac:dyDescent="0.25">
      <c r="A40" s="69">
        <v>28</v>
      </c>
      <c r="B40" s="97" t="s">
        <v>5039</v>
      </c>
      <c r="C40" s="75" t="s">
        <v>521</v>
      </c>
      <c r="D40" s="68"/>
      <c r="E40" s="21"/>
      <c r="F40" s="15"/>
      <c r="G40" s="15"/>
      <c r="H40" s="15"/>
      <c r="I40" s="15"/>
      <c r="J40" s="15"/>
      <c r="K40" s="15"/>
      <c r="L40" s="15"/>
      <c r="M40" s="12"/>
      <c r="N40" s="12"/>
      <c r="O40" s="12"/>
      <c r="P40" s="12"/>
      <c r="Q40" s="12"/>
    </row>
    <row r="41" spans="1:26" x14ac:dyDescent="0.25">
      <c r="A41" s="122">
        <v>29</v>
      </c>
      <c r="B41" s="71"/>
      <c r="C41" s="71"/>
      <c r="D41" s="123"/>
      <c r="E41" s="37"/>
      <c r="F41" s="36"/>
      <c r="G41" s="36"/>
      <c r="H41" s="36"/>
      <c r="I41" s="36"/>
      <c r="J41" s="36"/>
      <c r="K41" s="36"/>
      <c r="L41" s="36"/>
      <c r="M41" s="37"/>
      <c r="N41" s="36"/>
      <c r="O41" s="36"/>
      <c r="P41" s="36"/>
      <c r="Q41" s="36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5.75" customHeight="1" x14ac:dyDescent="0.25">
      <c r="A42" s="69">
        <v>30</v>
      </c>
      <c r="B42" s="70"/>
      <c r="C42" s="75"/>
      <c r="D42" s="68"/>
      <c r="E42" s="16"/>
      <c r="F42" s="12"/>
      <c r="G42" s="12"/>
      <c r="H42" s="12"/>
      <c r="I42" s="12"/>
      <c r="J42" s="12"/>
      <c r="K42" s="12"/>
      <c r="L42" s="12"/>
      <c r="M42" s="16"/>
      <c r="N42" s="12"/>
      <c r="O42" s="12"/>
      <c r="P42" s="12"/>
      <c r="Q42" s="12"/>
    </row>
    <row r="43" spans="1:26" ht="15.75" customHeight="1" x14ac:dyDescent="0.25">
      <c r="A43" s="2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 spans="1:26" ht="15.75" customHeight="1" x14ac:dyDescent="0.25">
      <c r="A44" s="201" t="s">
        <v>50</v>
      </c>
      <c r="B44" s="185"/>
      <c r="C44" s="185"/>
      <c r="D44" s="185"/>
      <c r="E44" s="185"/>
      <c r="F44" s="185"/>
      <c r="G44" s="185"/>
      <c r="H44" s="185"/>
      <c r="I44" s="185"/>
      <c r="J44" s="185"/>
      <c r="K44" s="186"/>
      <c r="L44" s="202" t="s">
        <v>51</v>
      </c>
      <c r="M44" s="203"/>
      <c r="N44" s="203"/>
      <c r="O44" s="203"/>
      <c r="P44" s="203"/>
      <c r="Q44" s="204"/>
    </row>
    <row r="45" spans="1:26" ht="15.75" customHeight="1" x14ac:dyDescent="0.25">
      <c r="A45" s="8" t="s">
        <v>52</v>
      </c>
      <c r="B45" s="8" t="s">
        <v>53</v>
      </c>
      <c r="C45" s="23" t="s">
        <v>54</v>
      </c>
      <c r="D45" s="201" t="s">
        <v>55</v>
      </c>
      <c r="E45" s="185"/>
      <c r="F45" s="185"/>
      <c r="G45" s="185"/>
      <c r="H45" s="185"/>
      <c r="I45" s="185"/>
      <c r="J45" s="185"/>
      <c r="K45" s="186"/>
      <c r="L45" s="205"/>
      <c r="M45" s="206"/>
      <c r="N45" s="206"/>
      <c r="O45" s="206"/>
      <c r="P45" s="206"/>
      <c r="Q45" s="207"/>
    </row>
    <row r="46" spans="1:26" ht="15.75" customHeight="1" x14ac:dyDescent="0.3">
      <c r="A46" s="9">
        <v>1</v>
      </c>
      <c r="B46" s="12"/>
      <c r="C46" s="24" t="s">
        <v>56</v>
      </c>
      <c r="D46" s="184"/>
      <c r="E46" s="185"/>
      <c r="F46" s="185"/>
      <c r="G46" s="185"/>
      <c r="H46" s="185"/>
      <c r="I46" s="185"/>
      <c r="J46" s="185"/>
      <c r="K46" s="186"/>
      <c r="L46" s="9">
        <v>1</v>
      </c>
      <c r="M46" s="184"/>
      <c r="N46" s="185"/>
      <c r="O46" s="185"/>
      <c r="P46" s="185"/>
      <c r="Q46" s="186"/>
    </row>
    <row r="47" spans="1:26" ht="15.75" customHeight="1" x14ac:dyDescent="0.3">
      <c r="A47" s="9">
        <v>2</v>
      </c>
      <c r="B47" s="12"/>
      <c r="C47" s="24" t="s">
        <v>56</v>
      </c>
      <c r="D47" s="184"/>
      <c r="E47" s="185"/>
      <c r="F47" s="185"/>
      <c r="G47" s="185"/>
      <c r="H47" s="185"/>
      <c r="I47" s="185"/>
      <c r="J47" s="185"/>
      <c r="K47" s="186"/>
      <c r="L47" s="9">
        <v>2</v>
      </c>
      <c r="M47" s="184"/>
      <c r="N47" s="185"/>
      <c r="O47" s="185"/>
      <c r="P47" s="185"/>
      <c r="Q47" s="186"/>
    </row>
    <row r="48" spans="1:26" ht="15.75" customHeight="1" x14ac:dyDescent="0.3">
      <c r="A48" s="9">
        <v>3</v>
      </c>
      <c r="B48" s="12"/>
      <c r="C48" s="24" t="s">
        <v>56</v>
      </c>
      <c r="D48" s="184"/>
      <c r="E48" s="185"/>
      <c r="F48" s="185"/>
      <c r="G48" s="185"/>
      <c r="H48" s="185"/>
      <c r="I48" s="185"/>
      <c r="J48" s="185"/>
      <c r="K48" s="186"/>
      <c r="L48" s="9">
        <v>3</v>
      </c>
      <c r="M48" s="184"/>
      <c r="N48" s="185"/>
      <c r="O48" s="185"/>
      <c r="P48" s="185"/>
      <c r="Q48" s="186"/>
    </row>
    <row r="49" spans="1:17" ht="15.75" customHeight="1" x14ac:dyDescent="0.3">
      <c r="A49" s="9">
        <v>4</v>
      </c>
      <c r="B49" s="12"/>
      <c r="C49" s="24" t="s">
        <v>56</v>
      </c>
      <c r="D49" s="184"/>
      <c r="E49" s="185"/>
      <c r="F49" s="185"/>
      <c r="G49" s="185"/>
      <c r="H49" s="185"/>
      <c r="I49" s="185"/>
      <c r="J49" s="185"/>
      <c r="K49" s="186"/>
      <c r="L49" s="9">
        <v>4</v>
      </c>
      <c r="M49" s="184"/>
      <c r="N49" s="185"/>
      <c r="O49" s="185"/>
      <c r="P49" s="185"/>
      <c r="Q49" s="186"/>
    </row>
    <row r="50" spans="1:17" ht="15.75" customHeight="1" x14ac:dyDescent="0.3">
      <c r="A50" s="9">
        <v>5</v>
      </c>
      <c r="B50" s="12"/>
      <c r="C50" s="24" t="s">
        <v>56</v>
      </c>
      <c r="D50" s="184"/>
      <c r="E50" s="185"/>
      <c r="F50" s="185"/>
      <c r="G50" s="185"/>
      <c r="H50" s="185"/>
      <c r="I50" s="185"/>
      <c r="J50" s="185"/>
      <c r="K50" s="186"/>
      <c r="L50" s="9">
        <v>5</v>
      </c>
      <c r="M50" s="184"/>
      <c r="N50" s="185"/>
      <c r="O50" s="185"/>
      <c r="P50" s="185"/>
      <c r="Q50" s="186"/>
    </row>
    <row r="51" spans="1:17" ht="15.75" customHeight="1" x14ac:dyDescent="0.25">
      <c r="A51" s="25" t="s">
        <v>57</v>
      </c>
      <c r="K51" s="13" t="s">
        <v>58</v>
      </c>
    </row>
    <row r="52" spans="1:17" ht="16.5" customHeight="1" x14ac:dyDescent="0.25">
      <c r="A52" s="197" t="s">
        <v>59</v>
      </c>
      <c r="B52" s="190"/>
      <c r="C52" s="190"/>
      <c r="D52" s="190"/>
      <c r="E52" s="190"/>
      <c r="F52" s="190"/>
      <c r="G52" s="190"/>
      <c r="H52" s="190"/>
      <c r="K52" s="13" t="s">
        <v>60</v>
      </c>
    </row>
    <row r="53" spans="1:17" ht="15.75" customHeight="1" x14ac:dyDescent="0.25">
      <c r="A53" s="190"/>
      <c r="B53" s="190"/>
      <c r="C53" s="190"/>
      <c r="D53" s="190"/>
      <c r="E53" s="190"/>
      <c r="F53" s="190"/>
      <c r="G53" s="190"/>
      <c r="H53" s="190"/>
    </row>
    <row r="54" spans="1:17" ht="15.75" customHeight="1" x14ac:dyDescent="0.25">
      <c r="A54" s="198" t="s">
        <v>61</v>
      </c>
      <c r="B54" s="190"/>
      <c r="C54" s="190"/>
      <c r="D54" s="190"/>
      <c r="E54" s="190"/>
      <c r="F54" s="190"/>
      <c r="G54" s="190"/>
      <c r="H54" s="190"/>
    </row>
    <row r="55" spans="1:17" ht="15.75" customHeight="1" x14ac:dyDescent="0.25">
      <c r="A55" s="190"/>
      <c r="B55" s="190"/>
      <c r="C55" s="190"/>
      <c r="D55" s="190"/>
      <c r="E55" s="190"/>
      <c r="F55" s="190"/>
      <c r="G55" s="190"/>
      <c r="H55" s="190"/>
      <c r="K55" s="13" t="s">
        <v>62</v>
      </c>
    </row>
    <row r="56" spans="1:17" ht="15.75" customHeight="1" x14ac:dyDescent="0.25">
      <c r="A56" s="190"/>
      <c r="B56" s="190"/>
      <c r="C56" s="190"/>
      <c r="D56" s="190"/>
      <c r="E56" s="190"/>
      <c r="F56" s="190"/>
      <c r="G56" s="190"/>
      <c r="H56" s="190"/>
      <c r="K56" s="13" t="s">
        <v>63</v>
      </c>
    </row>
    <row r="57" spans="1:17" ht="15.75" customHeight="1" x14ac:dyDescent="0.25"/>
    <row r="58" spans="1:17" ht="15.75" customHeight="1" x14ac:dyDescent="0.25">
      <c r="A58" s="26" t="s">
        <v>5108</v>
      </c>
    </row>
    <row r="59" spans="1:17" ht="15.75" customHeight="1" x14ac:dyDescent="0.25"/>
    <row r="60" spans="1:17" ht="15.75" customHeight="1" x14ac:dyDescent="0.25"/>
    <row r="61" spans="1:17" ht="15.75" customHeight="1" x14ac:dyDescent="0.25"/>
    <row r="62" spans="1:17" ht="15.75" customHeight="1" x14ac:dyDescent="0.25"/>
    <row r="63" spans="1:17" ht="15.75" customHeight="1" x14ac:dyDescent="0.25"/>
    <row r="64" spans="1:1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sortState xmlns:xlrd2="http://schemas.microsoft.com/office/spreadsheetml/2017/richdata2" ref="B13:C40">
    <sortCondition ref="C13:C40"/>
  </sortState>
  <mergeCells count="27">
    <mergeCell ref="D50:K50"/>
    <mergeCell ref="M50:Q50"/>
    <mergeCell ref="A52:H53"/>
    <mergeCell ref="A54:H56"/>
    <mergeCell ref="A11:B11"/>
    <mergeCell ref="D11:H11"/>
    <mergeCell ref="A44:K44"/>
    <mergeCell ref="L44:Q45"/>
    <mergeCell ref="D45:K45"/>
    <mergeCell ref="D46:K46"/>
    <mergeCell ref="D47:K47"/>
    <mergeCell ref="M46:Q46"/>
    <mergeCell ref="M47:Q47"/>
    <mergeCell ref="D48:K48"/>
    <mergeCell ref="M48:Q48"/>
    <mergeCell ref="D49:K49"/>
    <mergeCell ref="M49:Q49"/>
    <mergeCell ref="I11:K11"/>
    <mergeCell ref="L11:P11"/>
    <mergeCell ref="M1:Q1"/>
    <mergeCell ref="M2:Q2"/>
    <mergeCell ref="A3:Q3"/>
    <mergeCell ref="A4:Q4"/>
    <mergeCell ref="A5:Q5"/>
    <mergeCell ref="A6:Q6"/>
    <mergeCell ref="C11:C12"/>
    <mergeCell ref="Q11:Q12"/>
  </mergeCells>
  <pageMargins left="0.59055118110236227" right="0.39370078740157483" top="0.39370078740157483" bottom="0.19685039370078741" header="0" footer="0"/>
  <pageSetup paperSize="10000" scale="85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999"/>
  <sheetViews>
    <sheetView workbookViewId="0">
      <selection activeCell="B3" sqref="B3"/>
    </sheetView>
  </sheetViews>
  <sheetFormatPr defaultColWidth="14.42578125" defaultRowHeight="15" customHeight="1" x14ac:dyDescent="0.25"/>
  <cols>
    <col min="1" max="1" width="5.85546875" customWidth="1"/>
    <col min="2" max="2" width="22.85546875" customWidth="1"/>
    <col min="3" max="3" width="13.140625" customWidth="1"/>
    <col min="4" max="7" width="8.7109375" customWidth="1"/>
    <col min="8" max="8" width="9.140625" customWidth="1"/>
    <col min="9" max="9" width="50.7109375" bestFit="1" customWidth="1"/>
    <col min="10" max="10" width="15.5703125" customWidth="1"/>
    <col min="11" max="13" width="8.7109375" customWidth="1"/>
  </cols>
  <sheetData>
    <row r="1" spans="1:13" ht="24.75" customHeight="1" x14ac:dyDescent="0.25">
      <c r="A1" s="39" t="s">
        <v>52</v>
      </c>
      <c r="B1" s="39" t="s">
        <v>523</v>
      </c>
      <c r="C1" s="39" t="s">
        <v>12</v>
      </c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ht="24.75" customHeight="1" x14ac:dyDescent="0.25">
      <c r="A2" s="41">
        <v>1</v>
      </c>
      <c r="B2" s="41" t="s">
        <v>5141</v>
      </c>
      <c r="C2" s="42">
        <f>COUNTA('TAV 1'!$C$13:$C$46)</f>
        <v>30</v>
      </c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ht="24.75" customHeight="1" x14ac:dyDescent="0.25">
      <c r="A3" s="41">
        <v>2</v>
      </c>
      <c r="B3" s="43" t="s">
        <v>5142</v>
      </c>
      <c r="C3" s="44">
        <f>COUNTA('TPM 1'!$C$13:$C$46)</f>
        <v>34</v>
      </c>
      <c r="D3" s="19"/>
      <c r="E3" s="45" t="s">
        <v>524</v>
      </c>
      <c r="F3" s="19"/>
      <c r="G3" s="19"/>
      <c r="H3" s="90" t="s">
        <v>5133</v>
      </c>
      <c r="I3" s="91" t="s">
        <v>5127</v>
      </c>
      <c r="J3" s="49" t="s">
        <v>542</v>
      </c>
      <c r="L3" s="19"/>
      <c r="M3" s="19"/>
    </row>
    <row r="4" spans="1:13" ht="24.75" customHeight="1" x14ac:dyDescent="0.25">
      <c r="A4" s="41">
        <v>3</v>
      </c>
      <c r="B4" s="43" t="s">
        <v>5143</v>
      </c>
      <c r="C4" s="44">
        <f>COUNTA('TPM 2'!$C$13:$C$48)</f>
        <v>30</v>
      </c>
      <c r="D4" s="19"/>
      <c r="E4" s="19"/>
      <c r="F4" s="19"/>
      <c r="G4" s="19"/>
      <c r="H4" s="19"/>
    </row>
    <row r="5" spans="1:13" ht="24.75" customHeight="1" x14ac:dyDescent="0.25">
      <c r="A5" s="41">
        <v>4</v>
      </c>
      <c r="B5" s="41" t="s">
        <v>5144</v>
      </c>
      <c r="C5" s="42">
        <f>COUNTA('TKRO 1'!$C$13:$C$48)</f>
        <v>28</v>
      </c>
      <c r="D5" s="19"/>
      <c r="E5" s="19"/>
      <c r="F5" s="19"/>
      <c r="G5" s="19"/>
      <c r="I5" s="19"/>
      <c r="J5" s="19"/>
      <c r="K5" s="19"/>
      <c r="L5" s="19"/>
    </row>
    <row r="6" spans="1:13" ht="24.75" customHeight="1" x14ac:dyDescent="0.25">
      <c r="A6" s="41">
        <v>5</v>
      </c>
      <c r="B6" s="41" t="s">
        <v>5145</v>
      </c>
      <c r="C6" s="42">
        <f>COUNTA('TKRO 2'!$C$13:$C$46)</f>
        <v>34</v>
      </c>
      <c r="D6" s="19"/>
      <c r="E6" s="19"/>
      <c r="F6" s="19"/>
      <c r="G6" s="19"/>
      <c r="H6" s="19"/>
      <c r="I6" s="19"/>
      <c r="J6" s="19"/>
      <c r="K6" s="19"/>
      <c r="L6" s="19"/>
      <c r="M6" s="19"/>
    </row>
    <row r="7" spans="1:13" ht="24.75" customHeight="1" x14ac:dyDescent="0.25">
      <c r="A7" s="41">
        <v>6</v>
      </c>
      <c r="B7" s="41" t="s">
        <v>5146</v>
      </c>
      <c r="C7" s="42">
        <f>COUNTA('TKRO 3'!$C$13:$C$49)</f>
        <v>32</v>
      </c>
      <c r="D7" s="19"/>
      <c r="E7" s="19"/>
      <c r="F7" s="19"/>
      <c r="G7" s="19"/>
      <c r="H7" s="19"/>
      <c r="I7" s="19"/>
      <c r="J7" s="19"/>
      <c r="K7" s="19"/>
      <c r="L7" s="19"/>
      <c r="M7" s="19"/>
    </row>
    <row r="8" spans="1:13" ht="24.75" customHeight="1" x14ac:dyDescent="0.25">
      <c r="A8" s="41">
        <v>7</v>
      </c>
      <c r="B8" s="41" t="s">
        <v>5147</v>
      </c>
      <c r="C8" s="42">
        <f>COUNTA('TKRO 4'!$C$13:$C$49)</f>
        <v>33</v>
      </c>
      <c r="D8" s="19"/>
      <c r="E8" s="19"/>
      <c r="F8" s="19"/>
      <c r="G8" s="19"/>
      <c r="H8" s="19"/>
      <c r="I8" s="19"/>
      <c r="J8" s="19"/>
      <c r="K8" s="19"/>
      <c r="L8" s="19"/>
      <c r="M8" s="19"/>
    </row>
    <row r="9" spans="1:13" ht="24.75" customHeight="1" x14ac:dyDescent="0.25">
      <c r="A9" s="41">
        <v>8</v>
      </c>
      <c r="B9" s="41" t="s">
        <v>5148</v>
      </c>
      <c r="C9" s="42">
        <f>COUNTA('TKRO 5'!$C$13:$C$49)</f>
        <v>29</v>
      </c>
      <c r="D9" s="19"/>
      <c r="E9" s="19"/>
      <c r="F9" s="19"/>
      <c r="G9" s="19"/>
      <c r="H9" s="19"/>
      <c r="I9" s="19"/>
      <c r="J9" s="19"/>
      <c r="K9" s="19"/>
      <c r="L9" s="19"/>
      <c r="M9" s="19"/>
    </row>
    <row r="10" spans="1:13" ht="24.75" customHeight="1" x14ac:dyDescent="0.25">
      <c r="A10" s="41">
        <v>9</v>
      </c>
      <c r="B10" s="46" t="s">
        <v>5149</v>
      </c>
      <c r="C10" s="47">
        <f>COUNTA('TBSM 1'!$C$13:$C$50)</f>
        <v>33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spans="1:13" ht="24.75" customHeight="1" x14ac:dyDescent="0.25">
      <c r="A11" s="41">
        <v>10</v>
      </c>
      <c r="B11" s="46" t="s">
        <v>5150</v>
      </c>
      <c r="C11" s="47">
        <f>COUNTA('TBSM 2'!$C$13:$C$51)</f>
        <v>33</v>
      </c>
      <c r="D11" s="19"/>
      <c r="E11" s="19"/>
      <c r="F11" s="19"/>
      <c r="G11" s="19"/>
      <c r="J11" s="19"/>
      <c r="K11" s="19"/>
      <c r="L11" s="19"/>
      <c r="M11" s="19"/>
    </row>
    <row r="12" spans="1:13" ht="24.75" customHeight="1" x14ac:dyDescent="0.25">
      <c r="A12" s="41">
        <v>11</v>
      </c>
      <c r="B12" s="46" t="s">
        <v>5151</v>
      </c>
      <c r="C12" s="47">
        <f>COUNTA('TBSM 3'!$C$13:$C$50)</f>
        <v>34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3" spans="1:13" ht="24.75" customHeight="1" x14ac:dyDescent="0.25">
      <c r="A13" s="41">
        <v>12</v>
      </c>
      <c r="B13" s="46" t="s">
        <v>5152</v>
      </c>
      <c r="C13" s="47">
        <f>COUNTA('TBSM 4'!$C$13:$C$49)</f>
        <v>24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</row>
    <row r="14" spans="1:13" ht="24.75" customHeight="1" x14ac:dyDescent="0.25">
      <c r="A14" s="41">
        <v>13</v>
      </c>
      <c r="B14" s="41" t="s">
        <v>5153</v>
      </c>
      <c r="C14" s="42">
        <f>COUNTA('RPL 1'!$C$13:$C$39)</f>
        <v>27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</row>
    <row r="15" spans="1:13" ht="24.75" customHeight="1" x14ac:dyDescent="0.25">
      <c r="A15" s="41">
        <v>14</v>
      </c>
      <c r="B15" s="41" t="s">
        <v>5154</v>
      </c>
      <c r="C15" s="42">
        <f>COUNTA('RPL 2'!$C$13:$C$42)</f>
        <v>28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spans="1:13" ht="24.75" customHeight="1" x14ac:dyDescent="0.25">
      <c r="A16" s="41">
        <v>15</v>
      </c>
      <c r="B16" s="41" t="s">
        <v>5155</v>
      </c>
      <c r="C16" s="42">
        <f>COUNTA('RPL 3'!$C$13:$C$42)</f>
        <v>28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</row>
    <row r="17" spans="1:13" ht="24.75" customHeight="1" x14ac:dyDescent="0.25">
      <c r="A17" s="48"/>
      <c r="B17" s="49" t="s">
        <v>525</v>
      </c>
      <c r="C17" s="50">
        <f>SUM(C2:C16)</f>
        <v>457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</row>
    <row r="20" spans="1:13" ht="15.75" customHeight="1" x14ac:dyDescent="0.25"/>
    <row r="21" spans="1:13" ht="15.75" customHeight="1" x14ac:dyDescent="0.25"/>
    <row r="22" spans="1:13" ht="15.75" customHeight="1" x14ac:dyDescent="0.25"/>
    <row r="23" spans="1:13" ht="15.75" customHeight="1" x14ac:dyDescent="0.25"/>
    <row r="24" spans="1:13" ht="15.75" customHeight="1" x14ac:dyDescent="0.25"/>
    <row r="25" spans="1:13" ht="15.75" customHeight="1" x14ac:dyDescent="0.25"/>
    <row r="26" spans="1:13" ht="15.75" customHeight="1" x14ac:dyDescent="0.25"/>
    <row r="27" spans="1:13" ht="15.75" customHeight="1" x14ac:dyDescent="0.25"/>
    <row r="28" spans="1:13" ht="15.75" customHeight="1" x14ac:dyDescent="0.25"/>
    <row r="29" spans="1:13" ht="15.75" customHeight="1" x14ac:dyDescent="0.25"/>
    <row r="30" spans="1:13" ht="15.75" customHeight="1" x14ac:dyDescent="0.25"/>
    <row r="31" spans="1:13" ht="15.75" customHeight="1" x14ac:dyDescent="0.25"/>
    <row r="32" spans="1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honeticPr fontId="21" type="noConversion"/>
  <pageMargins left="0.7" right="0.7" top="0.75" bottom="0.75" header="0" footer="0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7"/>
  <sheetViews>
    <sheetView workbookViewId="0">
      <selection activeCell="L21" sqref="L21"/>
    </sheetView>
  </sheetViews>
  <sheetFormatPr defaultColWidth="14.42578125" defaultRowHeight="15" customHeight="1" x14ac:dyDescent="0.25"/>
  <cols>
    <col min="1" max="1" width="4.140625" style="64" customWidth="1"/>
    <col min="2" max="2" width="7.7109375" style="64" customWidth="1"/>
    <col min="3" max="3" width="48.85546875" style="64" customWidth="1"/>
    <col min="4" max="4" width="10.85546875" style="64" customWidth="1"/>
    <col min="5" max="5" width="14.28515625" style="64" customWidth="1"/>
    <col min="6" max="6" width="7.7109375" style="64" customWidth="1"/>
    <col min="7" max="7" width="7.7109375" style="155" customWidth="1"/>
    <col min="8" max="8" width="9.140625" style="64" customWidth="1"/>
    <col min="9" max="9" width="10.28515625" style="64" customWidth="1"/>
    <col min="10" max="11" width="8.7109375" style="64" customWidth="1"/>
    <col min="12" max="15" width="9.140625" style="64" customWidth="1"/>
    <col min="16" max="26" width="8.7109375" style="64" customWidth="1"/>
    <col min="27" max="16384" width="14.42578125" style="64"/>
  </cols>
  <sheetData>
    <row r="1" spans="1:26" ht="30" x14ac:dyDescent="0.25">
      <c r="A1" s="51" t="s">
        <v>52</v>
      </c>
      <c r="B1" s="51" t="s">
        <v>526</v>
      </c>
      <c r="C1" s="51" t="s">
        <v>527</v>
      </c>
      <c r="D1" s="51" t="s">
        <v>523</v>
      </c>
      <c r="E1" s="51" t="s">
        <v>528</v>
      </c>
      <c r="F1" s="51" t="s">
        <v>529</v>
      </c>
      <c r="G1" s="152"/>
      <c r="H1" s="19"/>
      <c r="I1" s="52" t="s">
        <v>530</v>
      </c>
      <c r="J1" s="52" t="s">
        <v>531</v>
      </c>
      <c r="K1" s="52" t="s">
        <v>532</v>
      </c>
      <c r="L1" s="52" t="s">
        <v>533</v>
      </c>
      <c r="M1" s="52" t="s">
        <v>534</v>
      </c>
      <c r="N1" s="52" t="s">
        <v>535</v>
      </c>
      <c r="O1" s="52" t="s">
        <v>536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x14ac:dyDescent="0.25">
      <c r="A2" s="53">
        <v>1</v>
      </c>
      <c r="B2" s="54" t="s">
        <v>537</v>
      </c>
      <c r="C2" s="11" t="s">
        <v>20</v>
      </c>
      <c r="D2" s="65" t="s">
        <v>5156</v>
      </c>
      <c r="E2" s="10" t="s">
        <v>5157</v>
      </c>
      <c r="F2" s="55" t="s">
        <v>533</v>
      </c>
      <c r="G2" s="153"/>
      <c r="H2" s="19"/>
      <c r="I2" s="55" t="s">
        <v>539</v>
      </c>
      <c r="J2" s="10">
        <v>31</v>
      </c>
      <c r="K2" s="10">
        <v>1</v>
      </c>
      <c r="L2" s="10">
        <f>COUNTIFS($E$2:$E$518,"11 TE",$F$2:$F$518,"AKTIF")</f>
        <v>30</v>
      </c>
      <c r="M2" s="10">
        <f>COUNTIFS($E$2:$E$518,"11 TE",$F$2:$F$518,"KELUAR")</f>
        <v>1</v>
      </c>
      <c r="N2" s="10">
        <f t="shared" ref="N2:O2" si="0">SUM(L2)</f>
        <v>30</v>
      </c>
      <c r="O2" s="10">
        <f t="shared" si="0"/>
        <v>1</v>
      </c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x14ac:dyDescent="0.25">
      <c r="A3" s="11">
        <v>2</v>
      </c>
      <c r="B3" s="92" t="s">
        <v>4536</v>
      </c>
      <c r="C3" s="127" t="s">
        <v>21</v>
      </c>
      <c r="D3" s="127" t="s">
        <v>5156</v>
      </c>
      <c r="E3" s="128" t="s">
        <v>5157</v>
      </c>
      <c r="F3" s="129" t="s">
        <v>534</v>
      </c>
      <c r="G3" s="153"/>
      <c r="H3" s="19"/>
      <c r="I3" s="213" t="s">
        <v>540</v>
      </c>
      <c r="J3" s="210">
        <v>74</v>
      </c>
      <c r="K3" s="10">
        <v>1</v>
      </c>
      <c r="L3" s="10">
        <f>COUNTIFS($E$2:$E$518,"11 TM 1",$F$2:$F$518,"AKTIF")</f>
        <v>34</v>
      </c>
      <c r="M3" s="10">
        <f>COUNTIFS($E$2:$E$518,"11 TM 1",$F$2:$F$518,"KELUAR")</f>
        <v>4</v>
      </c>
      <c r="N3" s="210">
        <f t="shared" ref="N3:O3" si="1">SUM(L3:L4)</f>
        <v>64</v>
      </c>
      <c r="O3" s="210">
        <f t="shared" si="1"/>
        <v>10</v>
      </c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x14ac:dyDescent="0.25">
      <c r="A4" s="53">
        <v>3</v>
      </c>
      <c r="B4" s="54" t="s">
        <v>4537</v>
      </c>
      <c r="C4" s="11" t="s">
        <v>22</v>
      </c>
      <c r="D4" s="11" t="s">
        <v>5156</v>
      </c>
      <c r="E4" s="10" t="s">
        <v>5157</v>
      </c>
      <c r="F4" s="55" t="s">
        <v>533</v>
      </c>
      <c r="G4" s="153"/>
      <c r="H4" s="19"/>
      <c r="I4" s="212"/>
      <c r="J4" s="212"/>
      <c r="K4" s="10">
        <v>2</v>
      </c>
      <c r="L4" s="10">
        <f>COUNTIFS($E$2:$E$518,"11 TM 2",$F$2:$F$518,"AKTIF")</f>
        <v>30</v>
      </c>
      <c r="M4" s="10">
        <f>COUNTIFS($E$2:$E$518,"11 TM 2",$F$2:$F$518,"KELUAR")</f>
        <v>6</v>
      </c>
      <c r="N4" s="212"/>
      <c r="O4" s="212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25">
      <c r="A5" s="11">
        <v>4</v>
      </c>
      <c r="B5" s="54" t="s">
        <v>4538</v>
      </c>
      <c r="C5" s="11" t="s">
        <v>23</v>
      </c>
      <c r="D5" s="11" t="s">
        <v>5156</v>
      </c>
      <c r="E5" s="10" t="s">
        <v>5157</v>
      </c>
      <c r="F5" s="55" t="s">
        <v>533</v>
      </c>
      <c r="G5" s="153"/>
      <c r="H5" s="19"/>
      <c r="I5" s="213" t="s">
        <v>5202</v>
      </c>
      <c r="J5" s="210">
        <v>173</v>
      </c>
      <c r="K5" s="10">
        <v>1</v>
      </c>
      <c r="L5" s="10">
        <f>COUNTIFS($E$2:$E$518,"11 TO 1",$F$2:$F$518,"AKTIF")</f>
        <v>28</v>
      </c>
      <c r="M5" s="10">
        <f>COUNTIFS($E$2:$E$518,"11 TO 1",$F$2:$F$518,"KELUAR")</f>
        <v>7</v>
      </c>
      <c r="N5" s="210">
        <f t="shared" ref="N5:O5" si="2">SUM(L5:L9)</f>
        <v>156</v>
      </c>
      <c r="O5" s="210">
        <f t="shared" si="2"/>
        <v>17</v>
      </c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x14ac:dyDescent="0.25">
      <c r="A6" s="53">
        <v>5</v>
      </c>
      <c r="B6" s="54" t="s">
        <v>4539</v>
      </c>
      <c r="C6" s="11" t="s">
        <v>24</v>
      </c>
      <c r="D6" s="11" t="s">
        <v>5156</v>
      </c>
      <c r="E6" s="10" t="s">
        <v>5157</v>
      </c>
      <c r="F6" s="55" t="s">
        <v>533</v>
      </c>
      <c r="G6" s="153"/>
      <c r="H6" s="19"/>
      <c r="I6" s="211"/>
      <c r="J6" s="211"/>
      <c r="K6" s="56">
        <v>2</v>
      </c>
      <c r="L6" s="10">
        <f>COUNTIFS($E$2:$E$518,"11 TO 2",$F$2:$F$518,"AKTIF")</f>
        <v>34</v>
      </c>
      <c r="M6" s="10">
        <f>COUNTIFS($E$2:$E$518,"11 TO 2",$F$2:$F$518,"KELUAR")</f>
        <v>3</v>
      </c>
      <c r="N6" s="211"/>
      <c r="O6" s="211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5">
      <c r="A7" s="11">
        <v>6</v>
      </c>
      <c r="B7" s="54" t="s">
        <v>4540</v>
      </c>
      <c r="C7" s="11" t="s">
        <v>25</v>
      </c>
      <c r="D7" s="11" t="s">
        <v>5156</v>
      </c>
      <c r="E7" s="10" t="s">
        <v>5157</v>
      </c>
      <c r="F7" s="55" t="s">
        <v>533</v>
      </c>
      <c r="G7" s="153"/>
      <c r="H7" s="19"/>
      <c r="I7" s="211"/>
      <c r="J7" s="211"/>
      <c r="K7" s="10">
        <v>3</v>
      </c>
      <c r="L7" s="10">
        <f>COUNTIFS($E$2:$E$518,"11 TO 3",$F$2:$F$518,"AKTIF")</f>
        <v>32</v>
      </c>
      <c r="M7" s="10">
        <f>COUNTIFS($E$2:$E$518,"11 TO 3",$F$2:$F$518,"KELUAR")</f>
        <v>1</v>
      </c>
      <c r="N7" s="211"/>
      <c r="O7" s="211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5">
      <c r="A8" s="53">
        <v>7</v>
      </c>
      <c r="B8" s="54" t="s">
        <v>4541</v>
      </c>
      <c r="C8" s="11" t="s">
        <v>26</v>
      </c>
      <c r="D8" s="11" t="s">
        <v>5156</v>
      </c>
      <c r="E8" s="10" t="s">
        <v>5157</v>
      </c>
      <c r="F8" s="55" t="s">
        <v>533</v>
      </c>
      <c r="G8" s="153"/>
      <c r="H8" s="19"/>
      <c r="I8" s="211"/>
      <c r="J8" s="211"/>
      <c r="K8" s="56">
        <v>4</v>
      </c>
      <c r="L8" s="10">
        <f>COUNTIFS($E$2:$E$518,"11 TO 4",$F$2:$F$518,"AKTIF")</f>
        <v>33</v>
      </c>
      <c r="M8" s="10">
        <f>COUNTIFS($E$2:$E$518,"11 TO 4",$F$2:$F$518,"KELUAR")</f>
        <v>2</v>
      </c>
      <c r="N8" s="211"/>
      <c r="O8" s="211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5">
      <c r="A9" s="11">
        <v>8</v>
      </c>
      <c r="B9" s="54" t="s">
        <v>4542</v>
      </c>
      <c r="C9" s="11" t="s">
        <v>27</v>
      </c>
      <c r="D9" s="11" t="s">
        <v>5156</v>
      </c>
      <c r="E9" s="10" t="s">
        <v>5157</v>
      </c>
      <c r="F9" s="55" t="s">
        <v>533</v>
      </c>
      <c r="G9" s="153"/>
      <c r="H9" s="19"/>
      <c r="I9" s="212"/>
      <c r="J9" s="212"/>
      <c r="K9" s="10">
        <v>5</v>
      </c>
      <c r="L9" s="10">
        <f>COUNTIFS($E$2:$E$518,"11 TO 5",$F$2:$F$518,"AKTIF")</f>
        <v>29</v>
      </c>
      <c r="M9" s="10">
        <f>COUNTIFS($E$2:$E$518,"11 TO 5",$F$2:$F$518,"KELUAR")</f>
        <v>4</v>
      </c>
      <c r="N9" s="212"/>
      <c r="O9" s="212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5">
      <c r="A10" s="53">
        <v>9</v>
      </c>
      <c r="B10" s="54" t="s">
        <v>4543</v>
      </c>
      <c r="C10" s="11" t="s">
        <v>28</v>
      </c>
      <c r="D10" s="11" t="s">
        <v>5156</v>
      </c>
      <c r="E10" s="10" t="s">
        <v>5157</v>
      </c>
      <c r="F10" s="55" t="s">
        <v>533</v>
      </c>
      <c r="G10" s="153"/>
      <c r="H10" s="19"/>
      <c r="I10" s="213" t="s">
        <v>5197</v>
      </c>
      <c r="J10" s="210">
        <v>149</v>
      </c>
      <c r="K10" s="10">
        <v>1</v>
      </c>
      <c r="L10" s="10">
        <f>COUNTIFS($E$2:$E$518,"11 TO 6",$F$2:$F$518,"AKTIF")</f>
        <v>33</v>
      </c>
      <c r="M10" s="10">
        <f>COUNTIFS($E$2:$E$518,"11 TO 6",$F$2:$F$518,"KELUAR")</f>
        <v>4</v>
      </c>
      <c r="N10" s="210">
        <f t="shared" ref="N10:O10" si="3">SUM(L10:L13)</f>
        <v>124</v>
      </c>
      <c r="O10" s="210">
        <f t="shared" si="3"/>
        <v>25</v>
      </c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5">
      <c r="A11" s="11">
        <v>10</v>
      </c>
      <c r="B11" s="54" t="s">
        <v>4544</v>
      </c>
      <c r="C11" s="11" t="s">
        <v>29</v>
      </c>
      <c r="D11" s="11" t="s">
        <v>5156</v>
      </c>
      <c r="E11" s="10" t="s">
        <v>5157</v>
      </c>
      <c r="F11" s="55" t="s">
        <v>533</v>
      </c>
      <c r="G11" s="153"/>
      <c r="H11" s="19"/>
      <c r="I11" s="211"/>
      <c r="J11" s="211"/>
      <c r="K11" s="56">
        <v>2</v>
      </c>
      <c r="L11" s="10">
        <f>COUNTIFS($E$2:$E$518,"11 TO 7",$F$2:$F$518,"AKTIF")</f>
        <v>33</v>
      </c>
      <c r="M11" s="10">
        <f>COUNTIFS($E$2:$E$518,"11 TO 7",$F$2:$F$518,"KELUAR")</f>
        <v>5</v>
      </c>
      <c r="N11" s="211"/>
      <c r="O11" s="211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5">
      <c r="A12" s="53">
        <v>11</v>
      </c>
      <c r="B12" s="54" t="s">
        <v>4545</v>
      </c>
      <c r="C12" s="11" t="s">
        <v>30</v>
      </c>
      <c r="D12" s="11" t="s">
        <v>5156</v>
      </c>
      <c r="E12" s="10" t="s">
        <v>5157</v>
      </c>
      <c r="F12" s="55" t="s">
        <v>533</v>
      </c>
      <c r="G12" s="153"/>
      <c r="H12" s="19"/>
      <c r="I12" s="211"/>
      <c r="J12" s="211"/>
      <c r="K12" s="10">
        <v>3</v>
      </c>
      <c r="L12" s="10">
        <f>COUNTIFS($E$2:$E$518,"11 TO 8",$F$2:$F$518,"AKTIF")</f>
        <v>34</v>
      </c>
      <c r="M12" s="10">
        <f>COUNTIFS($E$2:$E$518,"11 TO 8",$F$2:$F$518,"KELUAR")</f>
        <v>4</v>
      </c>
      <c r="N12" s="211"/>
      <c r="O12" s="211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5">
      <c r="A13" s="11">
        <v>12</v>
      </c>
      <c r="B13" s="54" t="s">
        <v>4546</v>
      </c>
      <c r="C13" s="11" t="s">
        <v>31</v>
      </c>
      <c r="D13" s="11" t="s">
        <v>5156</v>
      </c>
      <c r="E13" s="10" t="s">
        <v>5157</v>
      </c>
      <c r="F13" s="55" t="s">
        <v>533</v>
      </c>
      <c r="G13" s="153"/>
      <c r="H13" s="19"/>
      <c r="I13" s="212"/>
      <c r="J13" s="212"/>
      <c r="K13" s="56">
        <v>4</v>
      </c>
      <c r="L13" s="10">
        <f>COUNTIFS($E$2:$E$518,"11 TO 9",$F$2:$F$518,"AKTIF")</f>
        <v>24</v>
      </c>
      <c r="M13" s="10">
        <f>COUNTIFS($E$2:$E$518,"11 TO 9",$F$2:$F$518,"KELUAR")</f>
        <v>12</v>
      </c>
      <c r="N13" s="212"/>
      <c r="O13" s="212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5">
      <c r="A14" s="53">
        <v>13</v>
      </c>
      <c r="B14" s="54" t="s">
        <v>4547</v>
      </c>
      <c r="C14" s="11" t="s">
        <v>32</v>
      </c>
      <c r="D14" s="11" t="s">
        <v>5156</v>
      </c>
      <c r="E14" s="10" t="s">
        <v>5157</v>
      </c>
      <c r="F14" s="55" t="s">
        <v>533</v>
      </c>
      <c r="G14" s="153"/>
      <c r="H14" s="19"/>
      <c r="I14" s="213" t="s">
        <v>541</v>
      </c>
      <c r="J14" s="210">
        <v>86</v>
      </c>
      <c r="K14" s="10">
        <v>1</v>
      </c>
      <c r="L14" s="10">
        <f>COUNTIFS($E$2:$E$518,"11 PPLG 1",$F$2:$F$518,"AKTIF")</f>
        <v>27</v>
      </c>
      <c r="M14" s="10">
        <f>COUNTIFS($E$2:$E$518,"11 PPLG 1",$F$2:$F$518,"KELUAR")</f>
        <v>3</v>
      </c>
      <c r="N14" s="210">
        <f t="shared" ref="N14:O14" si="4">SUM(L14:L16)</f>
        <v>83</v>
      </c>
      <c r="O14" s="210">
        <f t="shared" si="4"/>
        <v>3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5">
      <c r="A15" s="11">
        <v>14</v>
      </c>
      <c r="B15" s="54" t="s">
        <v>4548</v>
      </c>
      <c r="C15" s="11" t="s">
        <v>33</v>
      </c>
      <c r="D15" s="11" t="s">
        <v>5156</v>
      </c>
      <c r="E15" s="10" t="s">
        <v>5157</v>
      </c>
      <c r="F15" s="55" t="s">
        <v>533</v>
      </c>
      <c r="G15" s="153"/>
      <c r="H15" s="19"/>
      <c r="I15" s="211"/>
      <c r="J15" s="211"/>
      <c r="K15" s="10">
        <v>2</v>
      </c>
      <c r="L15" s="10">
        <f>COUNTIFS($E$2:$E$518,"11 PPLG 2",$F$2:$F$518,"AKTIF")</f>
        <v>28</v>
      </c>
      <c r="M15" s="10">
        <f>COUNTIFS($E$2:$E$518,"11 PPLG 2",$F$2:$F$518,"KELUAR")</f>
        <v>0</v>
      </c>
      <c r="N15" s="211"/>
      <c r="O15" s="211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5">
      <c r="A16" s="53">
        <v>15</v>
      </c>
      <c r="B16" s="54" t="s">
        <v>4549</v>
      </c>
      <c r="C16" s="11" t="s">
        <v>34</v>
      </c>
      <c r="D16" s="11" t="s">
        <v>5156</v>
      </c>
      <c r="E16" s="10" t="s">
        <v>5157</v>
      </c>
      <c r="F16" s="55" t="s">
        <v>533</v>
      </c>
      <c r="G16" s="153"/>
      <c r="H16" s="19"/>
      <c r="I16" s="212"/>
      <c r="J16" s="212"/>
      <c r="K16" s="10">
        <v>3</v>
      </c>
      <c r="L16" s="10">
        <f>COUNTIFS($E$2:$E$518,"11 PPLG 3",$F$2:$F$518,"AKTIF")</f>
        <v>28</v>
      </c>
      <c r="M16" s="10">
        <f>COUNTIFS($E$2:$E$518,"11 PPLG 3",$F$2:$F$518,"KELUAR")</f>
        <v>0</v>
      </c>
      <c r="N16" s="212"/>
      <c r="O16" s="212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5">
      <c r="A17" s="11">
        <v>16</v>
      </c>
      <c r="B17" s="54" t="s">
        <v>4550</v>
      </c>
      <c r="C17" s="11" t="s">
        <v>35</v>
      </c>
      <c r="D17" s="11" t="s">
        <v>5156</v>
      </c>
      <c r="E17" s="10" t="s">
        <v>5157</v>
      </c>
      <c r="F17" s="55" t="s">
        <v>533</v>
      </c>
      <c r="G17" s="153"/>
      <c r="H17" s="19"/>
      <c r="I17" s="34" t="s">
        <v>525</v>
      </c>
      <c r="J17" s="51">
        <f>SUM(J2:J14)</f>
        <v>513</v>
      </c>
      <c r="K17" s="51">
        <f>COUNTA(K2:K16)</f>
        <v>15</v>
      </c>
      <c r="L17" s="51">
        <f t="shared" ref="L17:O17" si="5">SUM(L2:L16)</f>
        <v>457</v>
      </c>
      <c r="M17" s="51">
        <f t="shared" si="5"/>
        <v>56</v>
      </c>
      <c r="N17" s="51">
        <f t="shared" si="5"/>
        <v>457</v>
      </c>
      <c r="O17" s="51">
        <f t="shared" si="5"/>
        <v>56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5">
      <c r="A18" s="53">
        <v>17</v>
      </c>
      <c r="B18" s="54" t="s">
        <v>4551</v>
      </c>
      <c r="C18" s="11" t="s">
        <v>36</v>
      </c>
      <c r="D18" s="11" t="s">
        <v>5156</v>
      </c>
      <c r="E18" s="10" t="s">
        <v>5157</v>
      </c>
      <c r="F18" s="55" t="s">
        <v>533</v>
      </c>
      <c r="G18" s="153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5">
      <c r="A19" s="11">
        <v>18</v>
      </c>
      <c r="B19" s="54" t="s">
        <v>4552</v>
      </c>
      <c r="C19" s="11" t="s">
        <v>37</v>
      </c>
      <c r="D19" s="11" t="s">
        <v>5156</v>
      </c>
      <c r="E19" s="10" t="s">
        <v>5157</v>
      </c>
      <c r="F19" s="55" t="s">
        <v>533</v>
      </c>
      <c r="G19" s="153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5">
      <c r="A20" s="53">
        <v>19</v>
      </c>
      <c r="B20" s="54" t="s">
        <v>4553</v>
      </c>
      <c r="C20" s="11" t="s">
        <v>38</v>
      </c>
      <c r="D20" s="11" t="s">
        <v>5156</v>
      </c>
      <c r="E20" s="10" t="s">
        <v>5157</v>
      </c>
      <c r="F20" s="55" t="s">
        <v>533</v>
      </c>
      <c r="G20" s="153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5.75" customHeight="1" x14ac:dyDescent="0.25">
      <c r="A21" s="11">
        <v>20</v>
      </c>
      <c r="B21" s="54" t="s">
        <v>4554</v>
      </c>
      <c r="C21" s="11" t="s">
        <v>39</v>
      </c>
      <c r="D21" s="11" t="s">
        <v>5156</v>
      </c>
      <c r="E21" s="10" t="s">
        <v>5157</v>
      </c>
      <c r="F21" s="55" t="s">
        <v>533</v>
      </c>
      <c r="G21" s="153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5.75" customHeight="1" x14ac:dyDescent="0.25">
      <c r="A22" s="53">
        <v>21</v>
      </c>
      <c r="B22" s="54" t="s">
        <v>4555</v>
      </c>
      <c r="C22" s="11" t="s">
        <v>40</v>
      </c>
      <c r="D22" s="11" t="s">
        <v>5156</v>
      </c>
      <c r="E22" s="10" t="s">
        <v>5157</v>
      </c>
      <c r="F22" s="55" t="s">
        <v>533</v>
      </c>
      <c r="G22" s="153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5.75" customHeight="1" x14ac:dyDescent="0.25">
      <c r="A23" s="11">
        <v>22</v>
      </c>
      <c r="B23" s="54" t="s">
        <v>4556</v>
      </c>
      <c r="C23" s="11" t="s">
        <v>41</v>
      </c>
      <c r="D23" s="11" t="s">
        <v>5156</v>
      </c>
      <c r="E23" s="10" t="s">
        <v>5157</v>
      </c>
      <c r="F23" s="55" t="s">
        <v>533</v>
      </c>
      <c r="G23" s="153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5.75" customHeight="1" x14ac:dyDescent="0.25">
      <c r="A24" s="53">
        <v>23</v>
      </c>
      <c r="B24" s="54" t="s">
        <v>4557</v>
      </c>
      <c r="C24" s="11" t="s">
        <v>42</v>
      </c>
      <c r="D24" s="11" t="s">
        <v>5156</v>
      </c>
      <c r="E24" s="10" t="s">
        <v>5157</v>
      </c>
      <c r="F24" s="55" t="s">
        <v>533</v>
      </c>
      <c r="G24" s="153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5.75" customHeight="1" x14ac:dyDescent="0.25">
      <c r="A25" s="11">
        <v>24</v>
      </c>
      <c r="B25" s="54" t="s">
        <v>4558</v>
      </c>
      <c r="C25" s="11" t="s">
        <v>43</v>
      </c>
      <c r="D25" s="11" t="s">
        <v>5156</v>
      </c>
      <c r="E25" s="10" t="s">
        <v>5157</v>
      </c>
      <c r="F25" s="55" t="s">
        <v>533</v>
      </c>
      <c r="G25" s="153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5.75" customHeight="1" x14ac:dyDescent="0.25">
      <c r="A26" s="53">
        <v>25</v>
      </c>
      <c r="B26" s="54" t="s">
        <v>4559</v>
      </c>
      <c r="C26" s="11" t="s">
        <v>5136</v>
      </c>
      <c r="D26" s="11" t="s">
        <v>5156</v>
      </c>
      <c r="E26" s="10" t="s">
        <v>5157</v>
      </c>
      <c r="F26" s="55" t="s">
        <v>533</v>
      </c>
      <c r="G26" s="153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5.75" customHeight="1" x14ac:dyDescent="0.25">
      <c r="A27" s="11">
        <v>26</v>
      </c>
      <c r="B27" s="54" t="s">
        <v>4560</v>
      </c>
      <c r="C27" s="11" t="s">
        <v>44</v>
      </c>
      <c r="D27" s="11" t="s">
        <v>5156</v>
      </c>
      <c r="E27" s="10" t="s">
        <v>5157</v>
      </c>
      <c r="F27" s="55" t="s">
        <v>533</v>
      </c>
      <c r="G27" s="153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5.75" customHeight="1" x14ac:dyDescent="0.25">
      <c r="A28" s="53">
        <v>27</v>
      </c>
      <c r="B28" s="54" t="s">
        <v>4561</v>
      </c>
      <c r="C28" s="11" t="s">
        <v>45</v>
      </c>
      <c r="D28" s="11" t="s">
        <v>5156</v>
      </c>
      <c r="E28" s="10" t="s">
        <v>5157</v>
      </c>
      <c r="F28" s="55" t="s">
        <v>533</v>
      </c>
      <c r="G28" s="153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5.75" customHeight="1" x14ac:dyDescent="0.25">
      <c r="A29" s="11">
        <v>28</v>
      </c>
      <c r="B29" s="54" t="s">
        <v>4562</v>
      </c>
      <c r="C29" s="11" t="s">
        <v>46</v>
      </c>
      <c r="D29" s="11" t="s">
        <v>5156</v>
      </c>
      <c r="E29" s="10" t="s">
        <v>5157</v>
      </c>
      <c r="F29" s="55" t="s">
        <v>533</v>
      </c>
      <c r="G29" s="153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5.75" customHeight="1" x14ac:dyDescent="0.25">
      <c r="A30" s="53">
        <v>29</v>
      </c>
      <c r="B30" s="54" t="s">
        <v>4563</v>
      </c>
      <c r="C30" s="11" t="s">
        <v>47</v>
      </c>
      <c r="D30" s="11" t="s">
        <v>5156</v>
      </c>
      <c r="E30" s="10" t="s">
        <v>5157</v>
      </c>
      <c r="F30" s="55" t="s">
        <v>533</v>
      </c>
      <c r="G30" s="153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5.75" customHeight="1" x14ac:dyDescent="0.25">
      <c r="A31" s="11">
        <v>30</v>
      </c>
      <c r="B31" s="54" t="s">
        <v>4564</v>
      </c>
      <c r="C31" s="11" t="s">
        <v>48</v>
      </c>
      <c r="D31" s="11" t="s">
        <v>5156</v>
      </c>
      <c r="E31" s="10" t="s">
        <v>5157</v>
      </c>
      <c r="F31" s="55" t="s">
        <v>533</v>
      </c>
      <c r="G31" s="153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5.75" customHeight="1" x14ac:dyDescent="0.25">
      <c r="A32" s="53">
        <v>31</v>
      </c>
      <c r="B32" s="54" t="s">
        <v>4565</v>
      </c>
      <c r="C32" s="11" t="s">
        <v>49</v>
      </c>
      <c r="D32" s="11" t="s">
        <v>5156</v>
      </c>
      <c r="E32" s="10" t="s">
        <v>5157</v>
      </c>
      <c r="F32" s="55" t="s">
        <v>533</v>
      </c>
      <c r="G32" s="153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5.75" customHeight="1" x14ac:dyDescent="0.25">
      <c r="A33" s="11">
        <v>32</v>
      </c>
      <c r="B33" s="54" t="s">
        <v>4566</v>
      </c>
      <c r="C33" s="59" t="s">
        <v>64</v>
      </c>
      <c r="D33" s="59" t="s">
        <v>5158</v>
      </c>
      <c r="E33" s="57" t="s">
        <v>5159</v>
      </c>
      <c r="F33" s="58" t="s">
        <v>533</v>
      </c>
      <c r="G33" s="153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5.75" customHeight="1" x14ac:dyDescent="0.25">
      <c r="A34" s="53">
        <v>33</v>
      </c>
      <c r="B34" s="54" t="s">
        <v>4567</v>
      </c>
      <c r="C34" s="59" t="s">
        <v>65</v>
      </c>
      <c r="D34" s="59" t="s">
        <v>5158</v>
      </c>
      <c r="E34" s="57" t="s">
        <v>5159</v>
      </c>
      <c r="F34" s="58" t="s">
        <v>533</v>
      </c>
      <c r="G34" s="153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5.75" customHeight="1" x14ac:dyDescent="0.25">
      <c r="A35" s="11">
        <v>34</v>
      </c>
      <c r="B35" s="54" t="s">
        <v>4568</v>
      </c>
      <c r="C35" s="59" t="s">
        <v>66</v>
      </c>
      <c r="D35" s="59" t="s">
        <v>5158</v>
      </c>
      <c r="E35" s="57" t="s">
        <v>5159</v>
      </c>
      <c r="F35" s="58" t="s">
        <v>533</v>
      </c>
      <c r="G35" s="153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5.75" customHeight="1" x14ac:dyDescent="0.25">
      <c r="A36" s="53">
        <v>35</v>
      </c>
      <c r="B36" s="54" t="s">
        <v>4569</v>
      </c>
      <c r="C36" s="59" t="s">
        <v>67</v>
      </c>
      <c r="D36" s="59" t="s">
        <v>5158</v>
      </c>
      <c r="E36" s="57" t="s">
        <v>5159</v>
      </c>
      <c r="F36" s="58" t="s">
        <v>533</v>
      </c>
      <c r="G36" s="153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5.75" customHeight="1" x14ac:dyDescent="0.25">
      <c r="A37" s="11">
        <v>36</v>
      </c>
      <c r="B37" s="54" t="s">
        <v>4570</v>
      </c>
      <c r="C37" s="59" t="s">
        <v>68</v>
      </c>
      <c r="D37" s="59" t="s">
        <v>5158</v>
      </c>
      <c r="E37" s="57" t="s">
        <v>5159</v>
      </c>
      <c r="F37" s="58" t="s">
        <v>533</v>
      </c>
      <c r="G37" s="153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5.75" customHeight="1" x14ac:dyDescent="0.25">
      <c r="A38" s="53">
        <v>37</v>
      </c>
      <c r="B38" s="54" t="s">
        <v>4571</v>
      </c>
      <c r="C38" s="59" t="s">
        <v>69</v>
      </c>
      <c r="D38" s="59" t="s">
        <v>5158</v>
      </c>
      <c r="E38" s="57" t="s">
        <v>5159</v>
      </c>
      <c r="F38" s="58" t="s">
        <v>533</v>
      </c>
      <c r="G38" s="153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5.75" customHeight="1" x14ac:dyDescent="0.25">
      <c r="A39" s="11">
        <v>38</v>
      </c>
      <c r="B39" s="54" t="s">
        <v>4572</v>
      </c>
      <c r="C39" s="59" t="s">
        <v>70</v>
      </c>
      <c r="D39" s="59" t="s">
        <v>5158</v>
      </c>
      <c r="E39" s="57" t="s">
        <v>5159</v>
      </c>
      <c r="F39" s="58" t="s">
        <v>533</v>
      </c>
      <c r="G39" s="153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5.75" customHeight="1" x14ac:dyDescent="0.25">
      <c r="A40" s="53">
        <v>39</v>
      </c>
      <c r="B40" s="54" t="s">
        <v>4573</v>
      </c>
      <c r="C40" s="59" t="s">
        <v>71</v>
      </c>
      <c r="D40" s="59" t="s">
        <v>5158</v>
      </c>
      <c r="E40" s="57" t="s">
        <v>5159</v>
      </c>
      <c r="F40" s="58" t="s">
        <v>533</v>
      </c>
      <c r="G40" s="153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5.75" customHeight="1" x14ac:dyDescent="0.25">
      <c r="A41" s="11">
        <v>40</v>
      </c>
      <c r="B41" s="54" t="s">
        <v>4574</v>
      </c>
      <c r="C41" s="59" t="s">
        <v>72</v>
      </c>
      <c r="D41" s="59" t="s">
        <v>5158</v>
      </c>
      <c r="E41" s="57" t="s">
        <v>5159</v>
      </c>
      <c r="F41" s="58" t="s">
        <v>533</v>
      </c>
      <c r="G41" s="153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5.75" customHeight="1" x14ac:dyDescent="0.25">
      <c r="A42" s="53">
        <v>41</v>
      </c>
      <c r="B42" s="54" t="s">
        <v>4575</v>
      </c>
      <c r="C42" s="59" t="s">
        <v>73</v>
      </c>
      <c r="D42" s="59" t="s">
        <v>5158</v>
      </c>
      <c r="E42" s="57" t="s">
        <v>5159</v>
      </c>
      <c r="F42" s="58" t="s">
        <v>533</v>
      </c>
      <c r="G42" s="153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5.75" customHeight="1" x14ac:dyDescent="0.25">
      <c r="A43" s="11">
        <v>42</v>
      </c>
      <c r="B43" s="54" t="s">
        <v>4576</v>
      </c>
      <c r="C43" s="59" t="s">
        <v>74</v>
      </c>
      <c r="D43" s="59" t="s">
        <v>5158</v>
      </c>
      <c r="E43" s="57" t="s">
        <v>5159</v>
      </c>
      <c r="F43" s="58" t="s">
        <v>533</v>
      </c>
      <c r="G43" s="153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5.75" customHeight="1" x14ac:dyDescent="0.25">
      <c r="A44" s="53">
        <v>43</v>
      </c>
      <c r="B44" s="54" t="s">
        <v>4577</v>
      </c>
      <c r="C44" s="59" t="s">
        <v>75</v>
      </c>
      <c r="D44" s="59" t="s">
        <v>5158</v>
      </c>
      <c r="E44" s="57" t="s">
        <v>5159</v>
      </c>
      <c r="F44" s="58" t="s">
        <v>533</v>
      </c>
      <c r="G44" s="153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5.75" customHeight="1" x14ac:dyDescent="0.25">
      <c r="A45" s="11">
        <v>44</v>
      </c>
      <c r="B45" s="54" t="s">
        <v>4578</v>
      </c>
      <c r="C45" s="59" t="s">
        <v>76</v>
      </c>
      <c r="D45" s="59" t="s">
        <v>5158</v>
      </c>
      <c r="E45" s="57" t="s">
        <v>5159</v>
      </c>
      <c r="F45" s="58" t="s">
        <v>533</v>
      </c>
      <c r="G45" s="153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5.75" customHeight="1" x14ac:dyDescent="0.25">
      <c r="A46" s="53">
        <v>45</v>
      </c>
      <c r="B46" s="54" t="s">
        <v>4579</v>
      </c>
      <c r="C46" s="59" t="s">
        <v>77</v>
      </c>
      <c r="D46" s="59" t="s">
        <v>5158</v>
      </c>
      <c r="E46" s="57" t="s">
        <v>5159</v>
      </c>
      <c r="F46" s="58" t="s">
        <v>533</v>
      </c>
      <c r="G46" s="153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5.75" customHeight="1" x14ac:dyDescent="0.25">
      <c r="A47" s="11">
        <v>46</v>
      </c>
      <c r="B47" s="54" t="s">
        <v>4580</v>
      </c>
      <c r="C47" s="59" t="s">
        <v>78</v>
      </c>
      <c r="D47" s="59" t="s">
        <v>5158</v>
      </c>
      <c r="E47" s="57" t="s">
        <v>5159</v>
      </c>
      <c r="F47" s="58" t="s">
        <v>533</v>
      </c>
      <c r="G47" s="153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5.75" customHeight="1" x14ac:dyDescent="0.25">
      <c r="A48" s="53">
        <v>47</v>
      </c>
      <c r="B48" s="54" t="s">
        <v>4581</v>
      </c>
      <c r="C48" s="59" t="s">
        <v>79</v>
      </c>
      <c r="D48" s="59" t="s">
        <v>5158</v>
      </c>
      <c r="E48" s="57" t="s">
        <v>5159</v>
      </c>
      <c r="F48" s="58" t="s">
        <v>533</v>
      </c>
      <c r="G48" s="153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5.75" customHeight="1" x14ac:dyDescent="0.25">
      <c r="A49" s="11">
        <v>48</v>
      </c>
      <c r="B49" s="54" t="s">
        <v>4582</v>
      </c>
      <c r="C49" s="59" t="s">
        <v>80</v>
      </c>
      <c r="D49" s="59" t="s">
        <v>5158</v>
      </c>
      <c r="E49" s="57" t="s">
        <v>5159</v>
      </c>
      <c r="F49" s="58" t="s">
        <v>533</v>
      </c>
      <c r="G49" s="153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5.75" customHeight="1" x14ac:dyDescent="0.25">
      <c r="A50" s="53">
        <v>49</v>
      </c>
      <c r="B50" s="54" t="s">
        <v>4583</v>
      </c>
      <c r="C50" s="59" t="s">
        <v>81</v>
      </c>
      <c r="D50" s="59" t="s">
        <v>5158</v>
      </c>
      <c r="E50" s="57" t="s">
        <v>5159</v>
      </c>
      <c r="F50" s="58" t="s">
        <v>533</v>
      </c>
      <c r="G50" s="153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5.75" customHeight="1" x14ac:dyDescent="0.25">
      <c r="A51" s="11">
        <v>50</v>
      </c>
      <c r="B51" s="54" t="s">
        <v>4584</v>
      </c>
      <c r="C51" s="59" t="s">
        <v>82</v>
      </c>
      <c r="D51" s="59" t="s">
        <v>5158</v>
      </c>
      <c r="E51" s="57" t="s">
        <v>5159</v>
      </c>
      <c r="F51" s="58" t="s">
        <v>533</v>
      </c>
      <c r="G51" s="153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5.75" customHeight="1" x14ac:dyDescent="0.25">
      <c r="A52" s="53">
        <v>51</v>
      </c>
      <c r="B52" s="54" t="s">
        <v>4585</v>
      </c>
      <c r="C52" s="59" t="s">
        <v>83</v>
      </c>
      <c r="D52" s="59" t="s">
        <v>5158</v>
      </c>
      <c r="E52" s="57" t="s">
        <v>5159</v>
      </c>
      <c r="F52" s="58" t="s">
        <v>533</v>
      </c>
      <c r="G52" s="153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5.75" customHeight="1" x14ac:dyDescent="0.25">
      <c r="A53" s="11">
        <v>52</v>
      </c>
      <c r="B53" s="54" t="s">
        <v>4586</v>
      </c>
      <c r="C53" s="59" t="s">
        <v>84</v>
      </c>
      <c r="D53" s="59" t="s">
        <v>5158</v>
      </c>
      <c r="E53" s="57" t="s">
        <v>5159</v>
      </c>
      <c r="F53" s="58" t="s">
        <v>533</v>
      </c>
      <c r="G53" s="153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5.75" customHeight="1" x14ac:dyDescent="0.25">
      <c r="A54" s="53">
        <v>53</v>
      </c>
      <c r="B54" s="54" t="s">
        <v>4587</v>
      </c>
      <c r="C54" s="59" t="s">
        <v>85</v>
      </c>
      <c r="D54" s="59" t="s">
        <v>5158</v>
      </c>
      <c r="E54" s="57" t="s">
        <v>5159</v>
      </c>
      <c r="F54" s="58" t="s">
        <v>533</v>
      </c>
      <c r="G54" s="153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5.75" customHeight="1" x14ac:dyDescent="0.25">
      <c r="A55" s="11">
        <v>54</v>
      </c>
      <c r="B55" s="54" t="s">
        <v>4588</v>
      </c>
      <c r="C55" s="59" t="s">
        <v>86</v>
      </c>
      <c r="D55" s="59" t="s">
        <v>5158</v>
      </c>
      <c r="E55" s="57" t="s">
        <v>5159</v>
      </c>
      <c r="F55" s="58" t="s">
        <v>533</v>
      </c>
      <c r="G55" s="153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5.75" customHeight="1" x14ac:dyDescent="0.25">
      <c r="A56" s="53">
        <v>55</v>
      </c>
      <c r="B56" s="54" t="s">
        <v>4589</v>
      </c>
      <c r="C56" s="59" t="s">
        <v>87</v>
      </c>
      <c r="D56" s="59" t="s">
        <v>5158</v>
      </c>
      <c r="E56" s="57" t="s">
        <v>5159</v>
      </c>
      <c r="F56" s="58" t="s">
        <v>533</v>
      </c>
      <c r="G56" s="153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5.75" customHeight="1" x14ac:dyDescent="0.25">
      <c r="A57" s="11">
        <v>56</v>
      </c>
      <c r="B57" s="54" t="s">
        <v>4590</v>
      </c>
      <c r="C57" s="59" t="s">
        <v>88</v>
      </c>
      <c r="D57" s="59" t="s">
        <v>5158</v>
      </c>
      <c r="E57" s="57" t="s">
        <v>5159</v>
      </c>
      <c r="F57" s="58" t="s">
        <v>533</v>
      </c>
      <c r="G57" s="153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5.75" customHeight="1" x14ac:dyDescent="0.25">
      <c r="A58" s="53">
        <v>57</v>
      </c>
      <c r="B58" s="54" t="s">
        <v>4591</v>
      </c>
      <c r="C58" s="59" t="s">
        <v>89</v>
      </c>
      <c r="D58" s="59" t="s">
        <v>5158</v>
      </c>
      <c r="E58" s="57" t="s">
        <v>5159</v>
      </c>
      <c r="F58" s="58" t="s">
        <v>533</v>
      </c>
      <c r="G58" s="153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5.75" customHeight="1" x14ac:dyDescent="0.25">
      <c r="A59" s="11">
        <v>58</v>
      </c>
      <c r="B59" s="54" t="s">
        <v>4592</v>
      </c>
      <c r="C59" s="59" t="s">
        <v>90</v>
      </c>
      <c r="D59" s="59" t="s">
        <v>5158</v>
      </c>
      <c r="E59" s="57" t="s">
        <v>5159</v>
      </c>
      <c r="F59" s="58" t="s">
        <v>533</v>
      </c>
      <c r="G59" s="153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5.75" customHeight="1" x14ac:dyDescent="0.25">
      <c r="A60" s="53">
        <v>59</v>
      </c>
      <c r="B60" s="92" t="s">
        <v>4593</v>
      </c>
      <c r="C60" s="93" t="s">
        <v>91</v>
      </c>
      <c r="D60" s="93" t="s">
        <v>5158</v>
      </c>
      <c r="E60" s="94" t="s">
        <v>5159</v>
      </c>
      <c r="F60" s="95" t="s">
        <v>534</v>
      </c>
      <c r="G60" s="153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5.75" customHeight="1" x14ac:dyDescent="0.25">
      <c r="A61" s="11">
        <v>60</v>
      </c>
      <c r="B61" s="177" t="s">
        <v>5133</v>
      </c>
      <c r="C61" s="178" t="s">
        <v>5127</v>
      </c>
      <c r="D61" s="179" t="s">
        <v>5158</v>
      </c>
      <c r="E61" s="180" t="s">
        <v>5159</v>
      </c>
      <c r="F61" s="181" t="s">
        <v>534</v>
      </c>
      <c r="G61" s="154" t="s">
        <v>5139</v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5.75" customHeight="1" x14ac:dyDescent="0.25">
      <c r="A62" s="53">
        <v>61</v>
      </c>
      <c r="B62" s="54" t="s">
        <v>4594</v>
      </c>
      <c r="C62" s="98" t="s">
        <v>92</v>
      </c>
      <c r="D62" s="98" t="s">
        <v>5158</v>
      </c>
      <c r="E62" s="139" t="s">
        <v>5159</v>
      </c>
      <c r="F62" s="140" t="s">
        <v>533</v>
      </c>
      <c r="G62" s="153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5.75" customHeight="1" x14ac:dyDescent="0.25">
      <c r="A63" s="11">
        <v>62</v>
      </c>
      <c r="B63" s="54" t="s">
        <v>4595</v>
      </c>
      <c r="C63" s="59" t="s">
        <v>93</v>
      </c>
      <c r="D63" s="59" t="s">
        <v>5158</v>
      </c>
      <c r="E63" s="57" t="s">
        <v>5159</v>
      </c>
      <c r="F63" s="58" t="s">
        <v>533</v>
      </c>
      <c r="G63" s="153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5.75" customHeight="1" x14ac:dyDescent="0.25">
      <c r="A64" s="53">
        <v>63</v>
      </c>
      <c r="B64" s="54" t="s">
        <v>4596</v>
      </c>
      <c r="C64" s="59" t="s">
        <v>94</v>
      </c>
      <c r="D64" s="59" t="s">
        <v>5158</v>
      </c>
      <c r="E64" s="57" t="s">
        <v>5159</v>
      </c>
      <c r="F64" s="58" t="s">
        <v>533</v>
      </c>
      <c r="G64" s="153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5.75" customHeight="1" x14ac:dyDescent="0.25">
      <c r="A65" s="11">
        <v>64</v>
      </c>
      <c r="B65" s="54" t="s">
        <v>4597</v>
      </c>
      <c r="C65" s="59" t="s">
        <v>95</v>
      </c>
      <c r="D65" s="59" t="s">
        <v>5158</v>
      </c>
      <c r="E65" s="57" t="s">
        <v>5159</v>
      </c>
      <c r="F65" s="58" t="s">
        <v>533</v>
      </c>
      <c r="G65" s="153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5.75" customHeight="1" x14ac:dyDescent="0.25">
      <c r="A66" s="53">
        <v>65</v>
      </c>
      <c r="B66" s="54" t="s">
        <v>4598</v>
      </c>
      <c r="C66" s="59" t="s">
        <v>96</v>
      </c>
      <c r="D66" s="59" t="s">
        <v>5158</v>
      </c>
      <c r="E66" s="57" t="s">
        <v>5159</v>
      </c>
      <c r="F66" s="58" t="s">
        <v>533</v>
      </c>
      <c r="G66" s="153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5.75" customHeight="1" x14ac:dyDescent="0.25">
      <c r="A67" s="11">
        <v>66</v>
      </c>
      <c r="B67" s="92" t="s">
        <v>4599</v>
      </c>
      <c r="C67" s="93" t="s">
        <v>97</v>
      </c>
      <c r="D67" s="93" t="s">
        <v>5158</v>
      </c>
      <c r="E67" s="94" t="s">
        <v>5159</v>
      </c>
      <c r="F67" s="95" t="s">
        <v>534</v>
      </c>
      <c r="G67" s="153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5.75" customHeight="1" x14ac:dyDescent="0.25">
      <c r="A68" s="53">
        <v>67</v>
      </c>
      <c r="B68" s="54" t="s">
        <v>4600</v>
      </c>
      <c r="C68" s="59" t="s">
        <v>98</v>
      </c>
      <c r="D68" s="59" t="s">
        <v>5158</v>
      </c>
      <c r="E68" s="57" t="s">
        <v>5159</v>
      </c>
      <c r="F68" s="58" t="s">
        <v>533</v>
      </c>
      <c r="G68" s="153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5.75" customHeight="1" x14ac:dyDescent="0.25">
      <c r="A69" s="11">
        <v>68</v>
      </c>
      <c r="B69" s="92" t="s">
        <v>4601</v>
      </c>
      <c r="C69" s="93" t="s">
        <v>99</v>
      </c>
      <c r="D69" s="93" t="s">
        <v>5158</v>
      </c>
      <c r="E69" s="94" t="s">
        <v>5159</v>
      </c>
      <c r="F69" s="95" t="s">
        <v>534</v>
      </c>
      <c r="G69" s="153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5.75" customHeight="1" x14ac:dyDescent="0.25">
      <c r="A70" s="53">
        <v>69</v>
      </c>
      <c r="B70" s="54" t="s">
        <v>4602</v>
      </c>
      <c r="C70" s="66" t="s">
        <v>100</v>
      </c>
      <c r="D70" s="59" t="s">
        <v>5158</v>
      </c>
      <c r="E70" s="57" t="s">
        <v>5159</v>
      </c>
      <c r="F70" s="58" t="s">
        <v>533</v>
      </c>
      <c r="G70" s="153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5.75" customHeight="1" x14ac:dyDescent="0.25">
      <c r="A71" s="11">
        <v>70</v>
      </c>
      <c r="B71" s="54" t="s">
        <v>4603</v>
      </c>
      <c r="C71" s="11" t="s">
        <v>101</v>
      </c>
      <c r="D71" s="11" t="s">
        <v>5160</v>
      </c>
      <c r="E71" s="10" t="s">
        <v>5161</v>
      </c>
      <c r="F71" s="55" t="s">
        <v>533</v>
      </c>
      <c r="G71" s="153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5.75" customHeight="1" x14ac:dyDescent="0.25">
      <c r="A72" s="53">
        <v>71</v>
      </c>
      <c r="B72" s="54" t="s">
        <v>4604</v>
      </c>
      <c r="C72" s="11" t="s">
        <v>102</v>
      </c>
      <c r="D72" s="11" t="s">
        <v>5160</v>
      </c>
      <c r="E72" s="10" t="s">
        <v>5161</v>
      </c>
      <c r="F72" s="55" t="s">
        <v>533</v>
      </c>
      <c r="G72" s="153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5.75" customHeight="1" x14ac:dyDescent="0.25">
      <c r="A73" s="11">
        <v>72</v>
      </c>
      <c r="B73" s="92" t="s">
        <v>4605</v>
      </c>
      <c r="C73" s="127" t="s">
        <v>103</v>
      </c>
      <c r="D73" s="127" t="s">
        <v>5160</v>
      </c>
      <c r="E73" s="128" t="s">
        <v>5161</v>
      </c>
      <c r="F73" s="129" t="s">
        <v>534</v>
      </c>
      <c r="G73" s="153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5.75" customHeight="1" x14ac:dyDescent="0.25">
      <c r="A74" s="53">
        <v>73</v>
      </c>
      <c r="B74" s="92" t="s">
        <v>4606</v>
      </c>
      <c r="C74" s="127" t="s">
        <v>104</v>
      </c>
      <c r="D74" s="127" t="s">
        <v>5160</v>
      </c>
      <c r="E74" s="128" t="s">
        <v>5161</v>
      </c>
      <c r="F74" s="129" t="s">
        <v>534</v>
      </c>
      <c r="G74" s="153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5.75" customHeight="1" x14ac:dyDescent="0.25">
      <c r="A75" s="11">
        <v>74</v>
      </c>
      <c r="B75" s="54" t="s">
        <v>4607</v>
      </c>
      <c r="C75" s="11" t="s">
        <v>105</v>
      </c>
      <c r="D75" s="11" t="s">
        <v>5160</v>
      </c>
      <c r="E75" s="10" t="s">
        <v>5161</v>
      </c>
      <c r="F75" s="55" t="s">
        <v>533</v>
      </c>
      <c r="G75" s="153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5.75" customHeight="1" x14ac:dyDescent="0.25">
      <c r="A76" s="53">
        <v>75</v>
      </c>
      <c r="B76" s="54" t="s">
        <v>4608</v>
      </c>
      <c r="C76" s="11" t="s">
        <v>106</v>
      </c>
      <c r="D76" s="11" t="s">
        <v>5160</v>
      </c>
      <c r="E76" s="10" t="s">
        <v>5161</v>
      </c>
      <c r="F76" s="55" t="s">
        <v>533</v>
      </c>
      <c r="G76" s="153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5.75" customHeight="1" x14ac:dyDescent="0.25">
      <c r="A77" s="11">
        <v>76</v>
      </c>
      <c r="B77" s="92" t="s">
        <v>4609</v>
      </c>
      <c r="C77" s="127" t="s">
        <v>107</v>
      </c>
      <c r="D77" s="127" t="s">
        <v>5160</v>
      </c>
      <c r="E77" s="128" t="s">
        <v>5161</v>
      </c>
      <c r="F77" s="129" t="s">
        <v>534</v>
      </c>
      <c r="G77" s="153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5.75" customHeight="1" x14ac:dyDescent="0.25">
      <c r="A78" s="53">
        <v>77</v>
      </c>
      <c r="B78" s="54" t="s">
        <v>4610</v>
      </c>
      <c r="C78" s="11" t="s">
        <v>108</v>
      </c>
      <c r="D78" s="11" t="s">
        <v>5160</v>
      </c>
      <c r="E78" s="10" t="s">
        <v>5161</v>
      </c>
      <c r="F78" s="55" t="s">
        <v>533</v>
      </c>
      <c r="G78" s="153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5.75" customHeight="1" x14ac:dyDescent="0.25">
      <c r="A79" s="11">
        <v>78</v>
      </c>
      <c r="B79" s="54" t="s">
        <v>4611</v>
      </c>
      <c r="C79" s="11" t="s">
        <v>109</v>
      </c>
      <c r="D79" s="11" t="s">
        <v>5160</v>
      </c>
      <c r="E79" s="10" t="s">
        <v>5161</v>
      </c>
      <c r="F79" s="55" t="s">
        <v>533</v>
      </c>
      <c r="G79" s="153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5.75" customHeight="1" x14ac:dyDescent="0.25">
      <c r="A80" s="53">
        <v>79</v>
      </c>
      <c r="B80" s="54" t="s">
        <v>4612</v>
      </c>
      <c r="C80" s="11" t="s">
        <v>110</v>
      </c>
      <c r="D80" s="11" t="s">
        <v>5160</v>
      </c>
      <c r="E80" s="10" t="s">
        <v>5161</v>
      </c>
      <c r="F80" s="55" t="s">
        <v>533</v>
      </c>
      <c r="G80" s="153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5.75" customHeight="1" x14ac:dyDescent="0.25">
      <c r="A81" s="11">
        <v>80</v>
      </c>
      <c r="B81" s="54" t="s">
        <v>4613</v>
      </c>
      <c r="C81" s="11" t="s">
        <v>111</v>
      </c>
      <c r="D81" s="11" t="s">
        <v>5160</v>
      </c>
      <c r="E81" s="10" t="s">
        <v>5161</v>
      </c>
      <c r="F81" s="55" t="s">
        <v>533</v>
      </c>
      <c r="G81" s="153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5.75" customHeight="1" x14ac:dyDescent="0.25">
      <c r="A82" s="53">
        <v>81</v>
      </c>
      <c r="B82" s="54" t="s">
        <v>4614</v>
      </c>
      <c r="C82" s="11" t="s">
        <v>112</v>
      </c>
      <c r="D82" s="11" t="s">
        <v>5160</v>
      </c>
      <c r="E82" s="10" t="s">
        <v>5161</v>
      </c>
      <c r="F82" s="55" t="s">
        <v>533</v>
      </c>
      <c r="G82" s="153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5.75" customHeight="1" x14ac:dyDescent="0.25">
      <c r="A83" s="11">
        <v>82</v>
      </c>
      <c r="B83" s="92" t="s">
        <v>4615</v>
      </c>
      <c r="C83" s="127" t="s">
        <v>113</v>
      </c>
      <c r="D83" s="127" t="s">
        <v>5160</v>
      </c>
      <c r="E83" s="128" t="s">
        <v>5161</v>
      </c>
      <c r="F83" s="129" t="s">
        <v>534</v>
      </c>
      <c r="G83" s="153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5.75" customHeight="1" x14ac:dyDescent="0.25">
      <c r="A84" s="53">
        <v>83</v>
      </c>
      <c r="B84" s="54" t="s">
        <v>4616</v>
      </c>
      <c r="C84" s="11" t="s">
        <v>114</v>
      </c>
      <c r="D84" s="11" t="s">
        <v>5160</v>
      </c>
      <c r="E84" s="10" t="s">
        <v>5161</v>
      </c>
      <c r="F84" s="55" t="s">
        <v>533</v>
      </c>
      <c r="G84" s="153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5.75" customHeight="1" x14ac:dyDescent="0.25">
      <c r="A85" s="11">
        <v>84</v>
      </c>
      <c r="B85" s="54" t="s">
        <v>4617</v>
      </c>
      <c r="C85" s="11" t="s">
        <v>115</v>
      </c>
      <c r="D85" s="11" t="s">
        <v>5160</v>
      </c>
      <c r="E85" s="10" t="s">
        <v>5161</v>
      </c>
      <c r="F85" s="55" t="s">
        <v>533</v>
      </c>
      <c r="G85" s="153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5.75" customHeight="1" x14ac:dyDescent="0.25">
      <c r="A86" s="53">
        <v>85</v>
      </c>
      <c r="B86" s="54" t="s">
        <v>4618</v>
      </c>
      <c r="C86" s="11" t="s">
        <v>116</v>
      </c>
      <c r="D86" s="11" t="s">
        <v>5160</v>
      </c>
      <c r="E86" s="10" t="s">
        <v>5161</v>
      </c>
      <c r="F86" s="55" t="s">
        <v>533</v>
      </c>
      <c r="G86" s="153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5.75" customHeight="1" x14ac:dyDescent="0.25">
      <c r="A87" s="11">
        <v>86</v>
      </c>
      <c r="B87" s="92" t="s">
        <v>4619</v>
      </c>
      <c r="C87" s="127" t="s">
        <v>117</v>
      </c>
      <c r="D87" s="127" t="s">
        <v>5160</v>
      </c>
      <c r="E87" s="128" t="s">
        <v>5161</v>
      </c>
      <c r="F87" s="129" t="s">
        <v>534</v>
      </c>
      <c r="G87" s="153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5.75" customHeight="1" x14ac:dyDescent="0.25">
      <c r="A88" s="53">
        <v>87</v>
      </c>
      <c r="B88" s="54" t="s">
        <v>4620</v>
      </c>
      <c r="C88" s="11" t="s">
        <v>118</v>
      </c>
      <c r="D88" s="11" t="s">
        <v>5160</v>
      </c>
      <c r="E88" s="10" t="s">
        <v>5161</v>
      </c>
      <c r="F88" s="55" t="s">
        <v>533</v>
      </c>
      <c r="G88" s="153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5.75" customHeight="1" x14ac:dyDescent="0.25">
      <c r="A89" s="11">
        <v>88</v>
      </c>
      <c r="B89" s="54" t="s">
        <v>4621</v>
      </c>
      <c r="C89" s="11" t="s">
        <v>119</v>
      </c>
      <c r="D89" s="11" t="s">
        <v>5160</v>
      </c>
      <c r="E89" s="10" t="s">
        <v>5161</v>
      </c>
      <c r="F89" s="55" t="s">
        <v>533</v>
      </c>
      <c r="G89" s="153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5.75" customHeight="1" x14ac:dyDescent="0.25">
      <c r="A90" s="53">
        <v>89</v>
      </c>
      <c r="B90" s="54" t="s">
        <v>4622</v>
      </c>
      <c r="C90" s="11" t="s">
        <v>120</v>
      </c>
      <c r="D90" s="11" t="s">
        <v>5160</v>
      </c>
      <c r="E90" s="10" t="s">
        <v>5161</v>
      </c>
      <c r="F90" s="55" t="s">
        <v>533</v>
      </c>
      <c r="G90" s="153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5.75" customHeight="1" x14ac:dyDescent="0.25">
      <c r="A91" s="11">
        <v>90</v>
      </c>
      <c r="B91" s="54" t="s">
        <v>4623</v>
      </c>
      <c r="C91" s="11" t="s">
        <v>121</v>
      </c>
      <c r="D91" s="11" t="s">
        <v>5160</v>
      </c>
      <c r="E91" s="10" t="s">
        <v>5161</v>
      </c>
      <c r="F91" s="55" t="s">
        <v>533</v>
      </c>
      <c r="G91" s="153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5.75" customHeight="1" x14ac:dyDescent="0.25">
      <c r="A92" s="53">
        <v>91</v>
      </c>
      <c r="B92" s="54" t="s">
        <v>4624</v>
      </c>
      <c r="C92" s="11" t="s">
        <v>122</v>
      </c>
      <c r="D92" s="11" t="s">
        <v>5160</v>
      </c>
      <c r="E92" s="10" t="s">
        <v>5161</v>
      </c>
      <c r="F92" s="55" t="s">
        <v>533</v>
      </c>
      <c r="G92" s="153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5.75" customHeight="1" x14ac:dyDescent="0.25">
      <c r="A93" s="11">
        <v>92</v>
      </c>
      <c r="B93" s="110" t="s">
        <v>5117</v>
      </c>
      <c r="C93" s="111" t="s">
        <v>5119</v>
      </c>
      <c r="D93" s="101" t="s">
        <v>5160</v>
      </c>
      <c r="E93" s="132" t="s">
        <v>5161</v>
      </c>
      <c r="F93" s="101" t="s">
        <v>533</v>
      </c>
      <c r="G93" s="154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5.75" customHeight="1" x14ac:dyDescent="0.25">
      <c r="A94" s="53">
        <v>93</v>
      </c>
      <c r="B94" s="54" t="s">
        <v>4625</v>
      </c>
      <c r="C94" s="11" t="s">
        <v>123</v>
      </c>
      <c r="D94" s="11" t="s">
        <v>5160</v>
      </c>
      <c r="E94" s="10" t="s">
        <v>5161</v>
      </c>
      <c r="F94" s="55" t="s">
        <v>533</v>
      </c>
      <c r="G94" s="153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5.75" customHeight="1" x14ac:dyDescent="0.25">
      <c r="A95" s="11">
        <v>94</v>
      </c>
      <c r="B95" s="54" t="s">
        <v>4626</v>
      </c>
      <c r="C95" s="11" t="s">
        <v>124</v>
      </c>
      <c r="D95" s="11" t="s">
        <v>5160</v>
      </c>
      <c r="E95" s="10" t="s">
        <v>5161</v>
      </c>
      <c r="F95" s="55" t="s">
        <v>533</v>
      </c>
      <c r="G95" s="153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5.75" customHeight="1" x14ac:dyDescent="0.25">
      <c r="A96" s="53">
        <v>95</v>
      </c>
      <c r="B96" s="54" t="s">
        <v>4627</v>
      </c>
      <c r="C96" s="11" t="s">
        <v>125</v>
      </c>
      <c r="D96" s="11" t="s">
        <v>5160</v>
      </c>
      <c r="E96" s="10" t="s">
        <v>5161</v>
      </c>
      <c r="F96" s="55" t="s">
        <v>533</v>
      </c>
      <c r="G96" s="153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5.75" customHeight="1" x14ac:dyDescent="0.25">
      <c r="A97" s="11">
        <v>96</v>
      </c>
      <c r="B97" s="54" t="s">
        <v>4628</v>
      </c>
      <c r="C97" s="11" t="s">
        <v>126</v>
      </c>
      <c r="D97" s="11" t="s">
        <v>5160</v>
      </c>
      <c r="E97" s="10" t="s">
        <v>5161</v>
      </c>
      <c r="F97" s="55" t="s">
        <v>533</v>
      </c>
      <c r="G97" s="153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5.75" customHeight="1" x14ac:dyDescent="0.25">
      <c r="A98" s="53">
        <v>97</v>
      </c>
      <c r="B98" s="54" t="s">
        <v>4629</v>
      </c>
      <c r="C98" s="11" t="s">
        <v>127</v>
      </c>
      <c r="D98" s="11" t="s">
        <v>5160</v>
      </c>
      <c r="E98" s="10" t="s">
        <v>5161</v>
      </c>
      <c r="F98" s="55" t="s">
        <v>533</v>
      </c>
      <c r="G98" s="153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5.75" customHeight="1" x14ac:dyDescent="0.25">
      <c r="A99" s="11">
        <v>98</v>
      </c>
      <c r="B99" s="54" t="s">
        <v>4630</v>
      </c>
      <c r="C99" s="11" t="s">
        <v>128</v>
      </c>
      <c r="D99" s="11" t="s">
        <v>5160</v>
      </c>
      <c r="E99" s="10" t="s">
        <v>5161</v>
      </c>
      <c r="F99" s="55" t="s">
        <v>533</v>
      </c>
      <c r="G99" s="153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5.75" customHeight="1" x14ac:dyDescent="0.25">
      <c r="A100" s="53">
        <v>99</v>
      </c>
      <c r="B100" s="54" t="s">
        <v>4631</v>
      </c>
      <c r="C100" s="11" t="s">
        <v>129</v>
      </c>
      <c r="D100" s="11" t="s">
        <v>5160</v>
      </c>
      <c r="E100" s="10" t="s">
        <v>5161</v>
      </c>
      <c r="F100" s="55" t="s">
        <v>533</v>
      </c>
      <c r="G100" s="153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5.75" customHeight="1" x14ac:dyDescent="0.25">
      <c r="A101" s="11">
        <v>100</v>
      </c>
      <c r="B101" s="54" t="s">
        <v>4632</v>
      </c>
      <c r="C101" s="11" t="s">
        <v>130</v>
      </c>
      <c r="D101" s="11" t="s">
        <v>5160</v>
      </c>
      <c r="E101" s="10" t="s">
        <v>5161</v>
      </c>
      <c r="F101" s="55" t="s">
        <v>533</v>
      </c>
      <c r="G101" s="153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5.75" customHeight="1" x14ac:dyDescent="0.25">
      <c r="A102" s="53">
        <v>101</v>
      </c>
      <c r="B102" s="54" t="s">
        <v>4633</v>
      </c>
      <c r="C102" s="11" t="s">
        <v>131</v>
      </c>
      <c r="D102" s="11" t="s">
        <v>5160</v>
      </c>
      <c r="E102" s="10" t="s">
        <v>5161</v>
      </c>
      <c r="F102" s="55" t="s">
        <v>533</v>
      </c>
      <c r="G102" s="153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5.75" customHeight="1" x14ac:dyDescent="0.25">
      <c r="A103" s="11">
        <v>102</v>
      </c>
      <c r="B103" s="54" t="s">
        <v>4634</v>
      </c>
      <c r="C103" s="11" t="s">
        <v>132</v>
      </c>
      <c r="D103" s="11" t="s">
        <v>5160</v>
      </c>
      <c r="E103" s="10" t="s">
        <v>5161</v>
      </c>
      <c r="F103" s="55" t="s">
        <v>533</v>
      </c>
      <c r="G103" s="153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5.75" customHeight="1" x14ac:dyDescent="0.25">
      <c r="A104" s="53">
        <v>103</v>
      </c>
      <c r="B104" s="54" t="s">
        <v>4635</v>
      </c>
      <c r="C104" s="11" t="s">
        <v>133</v>
      </c>
      <c r="D104" s="11" t="s">
        <v>5160</v>
      </c>
      <c r="E104" s="10" t="s">
        <v>5161</v>
      </c>
      <c r="F104" s="55" t="s">
        <v>533</v>
      </c>
      <c r="G104" s="153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5.75" customHeight="1" x14ac:dyDescent="0.25">
      <c r="A105" s="11">
        <v>104</v>
      </c>
      <c r="B105" s="92" t="s">
        <v>4636</v>
      </c>
      <c r="C105" s="127" t="s">
        <v>134</v>
      </c>
      <c r="D105" s="127" t="s">
        <v>5160</v>
      </c>
      <c r="E105" s="128" t="s">
        <v>5161</v>
      </c>
      <c r="F105" s="129" t="s">
        <v>534</v>
      </c>
      <c r="G105" s="153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5.75" customHeight="1" x14ac:dyDescent="0.25">
      <c r="A106" s="53">
        <v>105</v>
      </c>
      <c r="B106" s="54" t="s">
        <v>4637</v>
      </c>
      <c r="C106" s="11" t="s">
        <v>135</v>
      </c>
      <c r="D106" s="11" t="s">
        <v>5160</v>
      </c>
      <c r="E106" s="10" t="s">
        <v>5161</v>
      </c>
      <c r="F106" s="55" t="s">
        <v>533</v>
      </c>
      <c r="G106" s="153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5.75" customHeight="1" x14ac:dyDescent="0.25">
      <c r="A107" s="11">
        <v>106</v>
      </c>
      <c r="B107" s="54" t="s">
        <v>4638</v>
      </c>
      <c r="C107" s="59" t="s">
        <v>136</v>
      </c>
      <c r="D107" s="59" t="s">
        <v>5203</v>
      </c>
      <c r="E107" s="57" t="s">
        <v>5162</v>
      </c>
      <c r="F107" s="58" t="s">
        <v>533</v>
      </c>
      <c r="G107" s="153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5.75" customHeight="1" x14ac:dyDescent="0.25">
      <c r="A108" s="53">
        <v>107</v>
      </c>
      <c r="B108" s="54" t="s">
        <v>4639</v>
      </c>
      <c r="C108" s="59" t="s">
        <v>137</v>
      </c>
      <c r="D108" s="59" t="s">
        <v>5203</v>
      </c>
      <c r="E108" s="57" t="s">
        <v>5162</v>
      </c>
      <c r="F108" s="58" t="s">
        <v>533</v>
      </c>
      <c r="G108" s="153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5.75" customHeight="1" x14ac:dyDescent="0.25">
      <c r="A109" s="11">
        <v>108</v>
      </c>
      <c r="B109" s="54" t="s">
        <v>4640</v>
      </c>
      <c r="C109" s="59" t="s">
        <v>138</v>
      </c>
      <c r="D109" s="59" t="s">
        <v>5203</v>
      </c>
      <c r="E109" s="57" t="s">
        <v>5162</v>
      </c>
      <c r="F109" s="58" t="s">
        <v>533</v>
      </c>
      <c r="G109" s="153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5.75" customHeight="1" x14ac:dyDescent="0.25">
      <c r="A110" s="53">
        <v>109</v>
      </c>
      <c r="B110" s="54" t="s">
        <v>4641</v>
      </c>
      <c r="C110" s="59" t="s">
        <v>139</v>
      </c>
      <c r="D110" s="59" t="s">
        <v>5203</v>
      </c>
      <c r="E110" s="57" t="s">
        <v>5162</v>
      </c>
      <c r="F110" s="58" t="s">
        <v>533</v>
      </c>
      <c r="G110" s="153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5.75" customHeight="1" x14ac:dyDescent="0.25">
      <c r="A111" s="11">
        <v>110</v>
      </c>
      <c r="B111" s="54" t="s">
        <v>4642</v>
      </c>
      <c r="C111" s="59" t="s">
        <v>140</v>
      </c>
      <c r="D111" s="59" t="s">
        <v>5203</v>
      </c>
      <c r="E111" s="57" t="s">
        <v>5162</v>
      </c>
      <c r="F111" s="58" t="s">
        <v>533</v>
      </c>
      <c r="G111" s="153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5.75" customHeight="1" x14ac:dyDescent="0.25">
      <c r="A112" s="53">
        <v>111</v>
      </c>
      <c r="B112" s="54" t="s">
        <v>4643</v>
      </c>
      <c r="C112" s="59" t="s">
        <v>141</v>
      </c>
      <c r="D112" s="59" t="s">
        <v>5203</v>
      </c>
      <c r="E112" s="57" t="s">
        <v>5162</v>
      </c>
      <c r="F112" s="58" t="s">
        <v>533</v>
      </c>
      <c r="G112" s="153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5.75" customHeight="1" x14ac:dyDescent="0.25">
      <c r="A113" s="11">
        <v>112</v>
      </c>
      <c r="B113" s="54" t="s">
        <v>4644</v>
      </c>
      <c r="C113" s="59" t="s">
        <v>142</v>
      </c>
      <c r="D113" s="59" t="s">
        <v>5203</v>
      </c>
      <c r="E113" s="57" t="s">
        <v>5162</v>
      </c>
      <c r="F113" s="58" t="s">
        <v>533</v>
      </c>
      <c r="G113" s="153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5.75" customHeight="1" x14ac:dyDescent="0.25">
      <c r="A114" s="53">
        <v>113</v>
      </c>
      <c r="B114" s="54" t="s">
        <v>4645</v>
      </c>
      <c r="C114" s="59" t="s">
        <v>143</v>
      </c>
      <c r="D114" s="59" t="s">
        <v>5203</v>
      </c>
      <c r="E114" s="57" t="s">
        <v>5162</v>
      </c>
      <c r="F114" s="58" t="s">
        <v>533</v>
      </c>
      <c r="G114" s="153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5.75" customHeight="1" x14ac:dyDescent="0.25">
      <c r="A115" s="11">
        <v>114</v>
      </c>
      <c r="B115" s="54" t="s">
        <v>4646</v>
      </c>
      <c r="C115" s="59" t="s">
        <v>144</v>
      </c>
      <c r="D115" s="59" t="s">
        <v>5203</v>
      </c>
      <c r="E115" s="57" t="s">
        <v>5162</v>
      </c>
      <c r="F115" s="58" t="s">
        <v>533</v>
      </c>
      <c r="G115" s="153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5.75" customHeight="1" x14ac:dyDescent="0.25">
      <c r="A116" s="53">
        <v>115</v>
      </c>
      <c r="B116" s="54" t="s">
        <v>4647</v>
      </c>
      <c r="C116" s="59" t="s">
        <v>145</v>
      </c>
      <c r="D116" s="59" t="s">
        <v>5203</v>
      </c>
      <c r="E116" s="57" t="s">
        <v>5162</v>
      </c>
      <c r="F116" s="58" t="s">
        <v>533</v>
      </c>
      <c r="G116" s="153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5.75" customHeight="1" x14ac:dyDescent="0.25">
      <c r="A117" s="11">
        <v>116</v>
      </c>
      <c r="B117" s="92" t="s">
        <v>4648</v>
      </c>
      <c r="C117" s="93" t="s">
        <v>146</v>
      </c>
      <c r="D117" s="93" t="s">
        <v>5203</v>
      </c>
      <c r="E117" s="94" t="s">
        <v>5162</v>
      </c>
      <c r="F117" s="95" t="s">
        <v>534</v>
      </c>
      <c r="G117" s="153" t="s">
        <v>5139</v>
      </c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5.75" customHeight="1" x14ac:dyDescent="0.25">
      <c r="A118" s="53">
        <v>117</v>
      </c>
      <c r="B118" s="54" t="s">
        <v>4649</v>
      </c>
      <c r="C118" s="59" t="s">
        <v>147</v>
      </c>
      <c r="D118" s="59" t="s">
        <v>5203</v>
      </c>
      <c r="E118" s="57" t="s">
        <v>5162</v>
      </c>
      <c r="F118" s="58" t="s">
        <v>533</v>
      </c>
      <c r="G118" s="153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5.75" customHeight="1" x14ac:dyDescent="0.25">
      <c r="A119" s="11">
        <v>118</v>
      </c>
      <c r="B119" s="54" t="s">
        <v>4650</v>
      </c>
      <c r="C119" s="59" t="s">
        <v>148</v>
      </c>
      <c r="D119" s="59" t="s">
        <v>5203</v>
      </c>
      <c r="E119" s="57" t="s">
        <v>5162</v>
      </c>
      <c r="F119" s="58" t="s">
        <v>533</v>
      </c>
      <c r="G119" s="153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5.75" customHeight="1" x14ac:dyDescent="0.25">
      <c r="A120" s="53">
        <v>119</v>
      </c>
      <c r="B120" s="54" t="s">
        <v>4651</v>
      </c>
      <c r="C120" s="59" t="s">
        <v>149</v>
      </c>
      <c r="D120" s="59" t="s">
        <v>5203</v>
      </c>
      <c r="E120" s="57" t="s">
        <v>5162</v>
      </c>
      <c r="F120" s="58" t="s">
        <v>533</v>
      </c>
      <c r="G120" s="153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5.75" customHeight="1" x14ac:dyDescent="0.25">
      <c r="A121" s="11">
        <v>120</v>
      </c>
      <c r="B121" s="92" t="s">
        <v>4652</v>
      </c>
      <c r="C121" s="93" t="s">
        <v>150</v>
      </c>
      <c r="D121" s="93" t="s">
        <v>5203</v>
      </c>
      <c r="E121" s="94" t="s">
        <v>5162</v>
      </c>
      <c r="F121" s="95" t="s">
        <v>534</v>
      </c>
      <c r="G121" s="153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5.75" customHeight="1" x14ac:dyDescent="0.25">
      <c r="A122" s="53">
        <v>121</v>
      </c>
      <c r="B122" s="54" t="s">
        <v>4653</v>
      </c>
      <c r="C122" s="59" t="s">
        <v>151</v>
      </c>
      <c r="D122" s="59" t="s">
        <v>5203</v>
      </c>
      <c r="E122" s="57" t="s">
        <v>5162</v>
      </c>
      <c r="F122" s="58" t="s">
        <v>533</v>
      </c>
      <c r="G122" s="153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5.75" customHeight="1" x14ac:dyDescent="0.25">
      <c r="A123" s="11">
        <v>122</v>
      </c>
      <c r="B123" s="54" t="s">
        <v>4654</v>
      </c>
      <c r="C123" s="59" t="s">
        <v>152</v>
      </c>
      <c r="D123" s="59" t="s">
        <v>5203</v>
      </c>
      <c r="E123" s="57" t="s">
        <v>5162</v>
      </c>
      <c r="F123" s="58" t="s">
        <v>533</v>
      </c>
      <c r="G123" s="153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5.75" customHeight="1" x14ac:dyDescent="0.25">
      <c r="A124" s="53">
        <v>123</v>
      </c>
      <c r="B124" s="92" t="s">
        <v>4655</v>
      </c>
      <c r="C124" s="93" t="s">
        <v>153</v>
      </c>
      <c r="D124" s="93" t="s">
        <v>5203</v>
      </c>
      <c r="E124" s="94" t="s">
        <v>5162</v>
      </c>
      <c r="F124" s="95" t="s">
        <v>534</v>
      </c>
      <c r="G124" s="153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5.75" customHeight="1" x14ac:dyDescent="0.25">
      <c r="A125" s="11">
        <v>124</v>
      </c>
      <c r="B125" s="92" t="s">
        <v>4759</v>
      </c>
      <c r="C125" s="127" t="s">
        <v>154</v>
      </c>
      <c r="D125" s="93" t="s">
        <v>5203</v>
      </c>
      <c r="E125" s="94" t="s">
        <v>5162</v>
      </c>
      <c r="F125" s="95" t="s">
        <v>534</v>
      </c>
      <c r="G125" s="153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5.75" customHeight="1" x14ac:dyDescent="0.25">
      <c r="A126" s="53">
        <v>125</v>
      </c>
      <c r="B126" s="54" t="s">
        <v>4656</v>
      </c>
      <c r="C126" s="98" t="s">
        <v>155</v>
      </c>
      <c r="D126" s="59" t="s">
        <v>5203</v>
      </c>
      <c r="E126" s="57" t="s">
        <v>5162</v>
      </c>
      <c r="F126" s="58" t="s">
        <v>533</v>
      </c>
      <c r="G126" s="153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5.75" customHeight="1" x14ac:dyDescent="0.25">
      <c r="A127" s="11">
        <v>126</v>
      </c>
      <c r="B127" s="54" t="s">
        <v>4657</v>
      </c>
      <c r="C127" s="59" t="s">
        <v>156</v>
      </c>
      <c r="D127" s="59" t="s">
        <v>5203</v>
      </c>
      <c r="E127" s="57" t="s">
        <v>5162</v>
      </c>
      <c r="F127" s="58" t="s">
        <v>533</v>
      </c>
      <c r="G127" s="153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5.75" customHeight="1" x14ac:dyDescent="0.25">
      <c r="A128" s="53">
        <v>127</v>
      </c>
      <c r="B128" s="92" t="s">
        <v>4658</v>
      </c>
      <c r="C128" s="93" t="s">
        <v>157</v>
      </c>
      <c r="D128" s="93" t="s">
        <v>5203</v>
      </c>
      <c r="E128" s="94" t="s">
        <v>5162</v>
      </c>
      <c r="F128" s="95" t="s">
        <v>534</v>
      </c>
      <c r="G128" s="153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5.75" customHeight="1" x14ac:dyDescent="0.25">
      <c r="A129" s="11">
        <v>128</v>
      </c>
      <c r="B129" s="54" t="s">
        <v>4659</v>
      </c>
      <c r="C129" s="59" t="s">
        <v>158</v>
      </c>
      <c r="D129" s="59" t="s">
        <v>5203</v>
      </c>
      <c r="E129" s="57" t="s">
        <v>5162</v>
      </c>
      <c r="F129" s="58" t="s">
        <v>533</v>
      </c>
      <c r="G129" s="153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5.75" customHeight="1" x14ac:dyDescent="0.25">
      <c r="A130" s="53">
        <v>129</v>
      </c>
      <c r="B130" s="54" t="s">
        <v>4660</v>
      </c>
      <c r="C130" s="59" t="s">
        <v>159</v>
      </c>
      <c r="D130" s="59" t="s">
        <v>5203</v>
      </c>
      <c r="E130" s="57" t="s">
        <v>5162</v>
      </c>
      <c r="F130" s="58" t="s">
        <v>533</v>
      </c>
      <c r="G130" s="153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5.75" customHeight="1" x14ac:dyDescent="0.25">
      <c r="A131" s="11">
        <v>130</v>
      </c>
      <c r="B131" s="92" t="s">
        <v>4661</v>
      </c>
      <c r="C131" s="93" t="s">
        <v>160</v>
      </c>
      <c r="D131" s="93" t="s">
        <v>5203</v>
      </c>
      <c r="E131" s="94" t="s">
        <v>5162</v>
      </c>
      <c r="F131" s="95" t="s">
        <v>534</v>
      </c>
      <c r="G131" s="153" t="s">
        <v>5139</v>
      </c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5.75" customHeight="1" x14ac:dyDescent="0.25">
      <c r="A132" s="53">
        <v>131</v>
      </c>
      <c r="B132" s="54" t="s">
        <v>4662</v>
      </c>
      <c r="C132" s="59" t="s">
        <v>161</v>
      </c>
      <c r="D132" s="59" t="s">
        <v>5203</v>
      </c>
      <c r="E132" s="57" t="s">
        <v>5162</v>
      </c>
      <c r="F132" s="58" t="s">
        <v>533</v>
      </c>
      <c r="G132" s="153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5.75" customHeight="1" x14ac:dyDescent="0.25">
      <c r="A133" s="11">
        <v>132</v>
      </c>
      <c r="B133" s="54" t="s">
        <v>4663</v>
      </c>
      <c r="C133" s="59" t="s">
        <v>162</v>
      </c>
      <c r="D133" s="59" t="s">
        <v>5203</v>
      </c>
      <c r="E133" s="57" t="s">
        <v>5162</v>
      </c>
      <c r="F133" s="58" t="s">
        <v>533</v>
      </c>
      <c r="G133" s="153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5.75" customHeight="1" x14ac:dyDescent="0.25">
      <c r="A134" s="53">
        <v>133</v>
      </c>
      <c r="B134" s="54" t="s">
        <v>4664</v>
      </c>
      <c r="C134" s="59" t="s">
        <v>163</v>
      </c>
      <c r="D134" s="59" t="s">
        <v>5203</v>
      </c>
      <c r="E134" s="57" t="s">
        <v>5162</v>
      </c>
      <c r="F134" s="58" t="s">
        <v>533</v>
      </c>
      <c r="G134" s="153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5.75" customHeight="1" x14ac:dyDescent="0.25">
      <c r="A135" s="11">
        <v>134</v>
      </c>
      <c r="B135" s="54" t="s">
        <v>4665</v>
      </c>
      <c r="C135" s="59" t="s">
        <v>164</v>
      </c>
      <c r="D135" s="59" t="s">
        <v>5203</v>
      </c>
      <c r="E135" s="57" t="s">
        <v>5162</v>
      </c>
      <c r="F135" s="58" t="s">
        <v>533</v>
      </c>
      <c r="G135" s="153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5.75" customHeight="1" x14ac:dyDescent="0.25">
      <c r="A136" s="53">
        <v>135</v>
      </c>
      <c r="B136" s="54" t="s">
        <v>4666</v>
      </c>
      <c r="C136" s="59" t="s">
        <v>165</v>
      </c>
      <c r="D136" s="59" t="s">
        <v>5203</v>
      </c>
      <c r="E136" s="57" t="s">
        <v>5162</v>
      </c>
      <c r="F136" s="58" t="s">
        <v>533</v>
      </c>
      <c r="G136" s="153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5.75" customHeight="1" x14ac:dyDescent="0.25">
      <c r="A137" s="11">
        <v>136</v>
      </c>
      <c r="B137" s="92" t="s">
        <v>4667</v>
      </c>
      <c r="C137" s="93" t="s">
        <v>166</v>
      </c>
      <c r="D137" s="93" t="s">
        <v>5203</v>
      </c>
      <c r="E137" s="94" t="s">
        <v>5162</v>
      </c>
      <c r="F137" s="95" t="s">
        <v>534</v>
      </c>
      <c r="G137" s="153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5.75" customHeight="1" x14ac:dyDescent="0.25">
      <c r="A138" s="53">
        <v>137</v>
      </c>
      <c r="B138" s="54" t="s">
        <v>4668</v>
      </c>
      <c r="C138" s="59" t="s">
        <v>167</v>
      </c>
      <c r="D138" s="59" t="s">
        <v>5203</v>
      </c>
      <c r="E138" s="57" t="s">
        <v>5162</v>
      </c>
      <c r="F138" s="58" t="s">
        <v>533</v>
      </c>
      <c r="G138" s="153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5.75" customHeight="1" x14ac:dyDescent="0.25">
      <c r="A139" s="11">
        <v>138</v>
      </c>
      <c r="B139" s="54" t="s">
        <v>4669</v>
      </c>
      <c r="C139" s="59" t="s">
        <v>168</v>
      </c>
      <c r="D139" s="59" t="s">
        <v>5203</v>
      </c>
      <c r="E139" s="57" t="s">
        <v>5162</v>
      </c>
      <c r="F139" s="58" t="s">
        <v>533</v>
      </c>
      <c r="G139" s="153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5.75" customHeight="1" x14ac:dyDescent="0.25">
      <c r="A140" s="53">
        <v>139</v>
      </c>
      <c r="B140" s="54" t="s">
        <v>4670</v>
      </c>
      <c r="C140" s="59" t="s">
        <v>169</v>
      </c>
      <c r="D140" s="59" t="s">
        <v>5203</v>
      </c>
      <c r="E140" s="57" t="s">
        <v>5162</v>
      </c>
      <c r="F140" s="58" t="s">
        <v>533</v>
      </c>
      <c r="G140" s="153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5.75" customHeight="1" x14ac:dyDescent="0.25">
      <c r="A141" s="11">
        <v>140</v>
      </c>
      <c r="B141" s="54" t="s">
        <v>4671</v>
      </c>
      <c r="C141" s="59" t="s">
        <v>170</v>
      </c>
      <c r="D141" s="59" t="s">
        <v>5203</v>
      </c>
      <c r="E141" s="57" t="s">
        <v>5162</v>
      </c>
      <c r="F141" s="58" t="s">
        <v>533</v>
      </c>
      <c r="G141" s="153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5.75" customHeight="1" x14ac:dyDescent="0.25">
      <c r="A142" s="53">
        <v>141</v>
      </c>
      <c r="B142" s="54" t="s">
        <v>4672</v>
      </c>
      <c r="C142" s="11" t="s">
        <v>171</v>
      </c>
      <c r="D142" s="11" t="s">
        <v>5204</v>
      </c>
      <c r="E142" s="10" t="s">
        <v>5163</v>
      </c>
      <c r="F142" s="55" t="s">
        <v>533</v>
      </c>
      <c r="G142" s="153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5.75" customHeight="1" x14ac:dyDescent="0.25">
      <c r="A143" s="11">
        <v>142</v>
      </c>
      <c r="B143" s="54" t="s">
        <v>4673</v>
      </c>
      <c r="C143" s="11" t="s">
        <v>172</v>
      </c>
      <c r="D143" s="11" t="s">
        <v>5204</v>
      </c>
      <c r="E143" s="10" t="s">
        <v>5163</v>
      </c>
      <c r="F143" s="55" t="s">
        <v>533</v>
      </c>
      <c r="G143" s="153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5.75" customHeight="1" x14ac:dyDescent="0.25">
      <c r="A144" s="53">
        <v>143</v>
      </c>
      <c r="B144" s="54" t="s">
        <v>4674</v>
      </c>
      <c r="C144" s="11" t="s">
        <v>173</v>
      </c>
      <c r="D144" s="11" t="s">
        <v>5204</v>
      </c>
      <c r="E144" s="10" t="s">
        <v>5163</v>
      </c>
      <c r="F144" s="55" t="s">
        <v>533</v>
      </c>
      <c r="G144" s="153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5.75" customHeight="1" x14ac:dyDescent="0.25">
      <c r="A145" s="11">
        <v>144</v>
      </c>
      <c r="B145" s="54" t="s">
        <v>4675</v>
      </c>
      <c r="C145" s="11" t="s">
        <v>174</v>
      </c>
      <c r="D145" s="11" t="s">
        <v>5204</v>
      </c>
      <c r="E145" s="10" t="s">
        <v>5163</v>
      </c>
      <c r="F145" s="55" t="s">
        <v>533</v>
      </c>
      <c r="G145" s="153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5.75" customHeight="1" x14ac:dyDescent="0.25">
      <c r="A146" s="53">
        <v>145</v>
      </c>
      <c r="B146" s="54" t="s">
        <v>4676</v>
      </c>
      <c r="C146" s="11" t="s">
        <v>175</v>
      </c>
      <c r="D146" s="11" t="s">
        <v>5204</v>
      </c>
      <c r="E146" s="10" t="s">
        <v>5163</v>
      </c>
      <c r="F146" s="55" t="s">
        <v>533</v>
      </c>
      <c r="G146" s="153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5.75" customHeight="1" x14ac:dyDescent="0.25">
      <c r="A147" s="11">
        <v>146</v>
      </c>
      <c r="B147" s="54" t="s">
        <v>4677</v>
      </c>
      <c r="C147" s="11" t="s">
        <v>176</v>
      </c>
      <c r="D147" s="11" t="s">
        <v>5204</v>
      </c>
      <c r="E147" s="10" t="s">
        <v>5163</v>
      </c>
      <c r="F147" s="55" t="s">
        <v>533</v>
      </c>
      <c r="G147" s="153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5.75" customHeight="1" x14ac:dyDescent="0.25">
      <c r="A148" s="53">
        <v>147</v>
      </c>
      <c r="B148" s="54" t="s">
        <v>4678</v>
      </c>
      <c r="C148" s="11" t="s">
        <v>177</v>
      </c>
      <c r="D148" s="11" t="s">
        <v>5204</v>
      </c>
      <c r="E148" s="10" t="s">
        <v>5163</v>
      </c>
      <c r="F148" s="55" t="s">
        <v>533</v>
      </c>
      <c r="G148" s="153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5.75" customHeight="1" x14ac:dyDescent="0.25">
      <c r="A149" s="11">
        <v>148</v>
      </c>
      <c r="B149" s="54" t="s">
        <v>4679</v>
      </c>
      <c r="C149" s="11" t="s">
        <v>178</v>
      </c>
      <c r="D149" s="11" t="s">
        <v>5204</v>
      </c>
      <c r="E149" s="10" t="s">
        <v>5163</v>
      </c>
      <c r="F149" s="55" t="s">
        <v>533</v>
      </c>
      <c r="G149" s="153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5.75" customHeight="1" x14ac:dyDescent="0.25">
      <c r="A150" s="53">
        <v>149</v>
      </c>
      <c r="B150" s="54" t="s">
        <v>4680</v>
      </c>
      <c r="C150" s="11" t="s">
        <v>179</v>
      </c>
      <c r="D150" s="11" t="s">
        <v>5204</v>
      </c>
      <c r="E150" s="10" t="s">
        <v>5163</v>
      </c>
      <c r="F150" s="55" t="s">
        <v>533</v>
      </c>
      <c r="G150" s="153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5.75" customHeight="1" x14ac:dyDescent="0.25">
      <c r="A151" s="11">
        <v>150</v>
      </c>
      <c r="B151" s="54" t="s">
        <v>4681</v>
      </c>
      <c r="C151" s="11" t="s">
        <v>180</v>
      </c>
      <c r="D151" s="11" t="s">
        <v>5204</v>
      </c>
      <c r="E151" s="10" t="s">
        <v>5163</v>
      </c>
      <c r="F151" s="55" t="s">
        <v>533</v>
      </c>
      <c r="G151" s="153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5.75" customHeight="1" x14ac:dyDescent="0.25">
      <c r="A152" s="53">
        <v>151</v>
      </c>
      <c r="B152" s="54" t="s">
        <v>4682</v>
      </c>
      <c r="C152" s="11" t="s">
        <v>181</v>
      </c>
      <c r="D152" s="11" t="s">
        <v>5204</v>
      </c>
      <c r="E152" s="10" t="s">
        <v>5163</v>
      </c>
      <c r="F152" s="55" t="s">
        <v>533</v>
      </c>
      <c r="G152" s="153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5.75" customHeight="1" x14ac:dyDescent="0.25">
      <c r="A153" s="11">
        <v>152</v>
      </c>
      <c r="B153" s="92" t="s">
        <v>4683</v>
      </c>
      <c r="C153" s="127" t="s">
        <v>182</v>
      </c>
      <c r="D153" s="127" t="s">
        <v>5204</v>
      </c>
      <c r="E153" s="128" t="s">
        <v>5163</v>
      </c>
      <c r="F153" s="129" t="s">
        <v>534</v>
      </c>
      <c r="G153" s="153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5.75" customHeight="1" x14ac:dyDescent="0.25">
      <c r="A154" s="53">
        <v>153</v>
      </c>
      <c r="B154" s="54" t="s">
        <v>4684</v>
      </c>
      <c r="C154" s="11" t="s">
        <v>183</v>
      </c>
      <c r="D154" s="11" t="s">
        <v>5204</v>
      </c>
      <c r="E154" s="10" t="s">
        <v>5163</v>
      </c>
      <c r="F154" s="55" t="s">
        <v>533</v>
      </c>
      <c r="G154" s="153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5.75" customHeight="1" x14ac:dyDescent="0.25">
      <c r="A155" s="11">
        <v>154</v>
      </c>
      <c r="B155" s="54" t="s">
        <v>4685</v>
      </c>
      <c r="C155" s="11" t="s">
        <v>184</v>
      </c>
      <c r="D155" s="11" t="s">
        <v>5204</v>
      </c>
      <c r="E155" s="10" t="s">
        <v>5163</v>
      </c>
      <c r="F155" s="55" t="s">
        <v>533</v>
      </c>
      <c r="G155" s="153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5.75" customHeight="1" x14ac:dyDescent="0.25">
      <c r="A156" s="53">
        <v>155</v>
      </c>
      <c r="B156" s="54" t="s">
        <v>4686</v>
      </c>
      <c r="C156" s="11" t="s">
        <v>185</v>
      </c>
      <c r="D156" s="11" t="s">
        <v>5204</v>
      </c>
      <c r="E156" s="10" t="s">
        <v>5163</v>
      </c>
      <c r="F156" s="55" t="s">
        <v>533</v>
      </c>
      <c r="G156" s="153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5.75" customHeight="1" x14ac:dyDescent="0.25">
      <c r="A157" s="11">
        <v>156</v>
      </c>
      <c r="B157" s="54" t="s">
        <v>4687</v>
      </c>
      <c r="C157" s="11" t="s">
        <v>186</v>
      </c>
      <c r="D157" s="11" t="s">
        <v>5204</v>
      </c>
      <c r="E157" s="10" t="s">
        <v>5163</v>
      </c>
      <c r="F157" s="55" t="s">
        <v>533</v>
      </c>
      <c r="G157" s="153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5.75" customHeight="1" x14ac:dyDescent="0.25">
      <c r="A158" s="53">
        <v>157</v>
      </c>
      <c r="B158" s="54" t="s">
        <v>4688</v>
      </c>
      <c r="C158" s="11" t="s">
        <v>187</v>
      </c>
      <c r="D158" s="11" t="s">
        <v>5204</v>
      </c>
      <c r="E158" s="10" t="s">
        <v>5163</v>
      </c>
      <c r="F158" s="55" t="s">
        <v>533</v>
      </c>
      <c r="G158" s="153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5.75" customHeight="1" x14ac:dyDescent="0.25">
      <c r="A159" s="11">
        <v>158</v>
      </c>
      <c r="B159" s="54" t="s">
        <v>4689</v>
      </c>
      <c r="C159" s="11" t="s">
        <v>188</v>
      </c>
      <c r="D159" s="11" t="s">
        <v>5204</v>
      </c>
      <c r="E159" s="10" t="s">
        <v>5163</v>
      </c>
      <c r="F159" s="55" t="s">
        <v>533</v>
      </c>
      <c r="G159" s="153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5.75" customHeight="1" x14ac:dyDescent="0.25">
      <c r="A160" s="53">
        <v>159</v>
      </c>
      <c r="B160" s="54" t="s">
        <v>4690</v>
      </c>
      <c r="C160" s="11" t="s">
        <v>189</v>
      </c>
      <c r="D160" s="11" t="s">
        <v>5204</v>
      </c>
      <c r="E160" s="10" t="s">
        <v>5163</v>
      </c>
      <c r="F160" s="55" t="s">
        <v>533</v>
      </c>
      <c r="G160" s="153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5.75" customHeight="1" x14ac:dyDescent="0.25">
      <c r="A161" s="11">
        <v>160</v>
      </c>
      <c r="B161" s="54" t="s">
        <v>4691</v>
      </c>
      <c r="C161" s="11" t="s">
        <v>190</v>
      </c>
      <c r="D161" s="11" t="s">
        <v>5204</v>
      </c>
      <c r="E161" s="10" t="s">
        <v>5163</v>
      </c>
      <c r="F161" s="55" t="s">
        <v>533</v>
      </c>
      <c r="G161" s="153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5.75" customHeight="1" x14ac:dyDescent="0.25">
      <c r="A162" s="53">
        <v>161</v>
      </c>
      <c r="B162" s="54" t="s">
        <v>4692</v>
      </c>
      <c r="C162" s="11" t="s">
        <v>191</v>
      </c>
      <c r="D162" s="11" t="s">
        <v>5204</v>
      </c>
      <c r="E162" s="10" t="s">
        <v>5163</v>
      </c>
      <c r="F162" s="55" t="s">
        <v>533</v>
      </c>
      <c r="G162" s="153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5.75" customHeight="1" x14ac:dyDescent="0.25">
      <c r="A163" s="11">
        <v>162</v>
      </c>
      <c r="B163" s="54" t="s">
        <v>4693</v>
      </c>
      <c r="C163" s="11" t="s">
        <v>192</v>
      </c>
      <c r="D163" s="11" t="s">
        <v>5204</v>
      </c>
      <c r="E163" s="10" t="s">
        <v>5163</v>
      </c>
      <c r="F163" s="55" t="s">
        <v>533</v>
      </c>
      <c r="G163" s="153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5.75" customHeight="1" x14ac:dyDescent="0.25">
      <c r="A164" s="53">
        <v>163</v>
      </c>
      <c r="B164" s="54" t="s">
        <v>4694</v>
      </c>
      <c r="C164" s="11" t="s">
        <v>193</v>
      </c>
      <c r="D164" s="11" t="s">
        <v>5204</v>
      </c>
      <c r="E164" s="10" t="s">
        <v>5163</v>
      </c>
      <c r="F164" s="55" t="s">
        <v>533</v>
      </c>
      <c r="G164" s="153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5.75" customHeight="1" x14ac:dyDescent="0.25">
      <c r="A165" s="11">
        <v>164</v>
      </c>
      <c r="B165" s="54" t="s">
        <v>4695</v>
      </c>
      <c r="C165" s="11" t="s">
        <v>194</v>
      </c>
      <c r="D165" s="11" t="s">
        <v>5204</v>
      </c>
      <c r="E165" s="10" t="s">
        <v>5163</v>
      </c>
      <c r="F165" s="55" t="s">
        <v>533</v>
      </c>
      <c r="G165" s="153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5.75" customHeight="1" x14ac:dyDescent="0.25">
      <c r="A166" s="53">
        <v>165</v>
      </c>
      <c r="B166" s="54" t="s">
        <v>4696</v>
      </c>
      <c r="C166" s="11" t="s">
        <v>5042</v>
      </c>
      <c r="D166" s="11" t="s">
        <v>5204</v>
      </c>
      <c r="E166" s="10" t="s">
        <v>5163</v>
      </c>
      <c r="F166" s="55" t="s">
        <v>533</v>
      </c>
      <c r="G166" s="153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5.75" customHeight="1" x14ac:dyDescent="0.25">
      <c r="A167" s="11">
        <v>166</v>
      </c>
      <c r="B167" s="54" t="s">
        <v>4697</v>
      </c>
      <c r="C167" s="11" t="s">
        <v>195</v>
      </c>
      <c r="D167" s="11" t="s">
        <v>5204</v>
      </c>
      <c r="E167" s="10" t="s">
        <v>5163</v>
      </c>
      <c r="F167" s="55" t="s">
        <v>533</v>
      </c>
      <c r="G167" s="153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5.75" customHeight="1" x14ac:dyDescent="0.25">
      <c r="A168" s="53">
        <v>167</v>
      </c>
      <c r="B168" s="54" t="s">
        <v>4698</v>
      </c>
      <c r="C168" s="11" t="s">
        <v>196</v>
      </c>
      <c r="D168" s="11" t="s">
        <v>5204</v>
      </c>
      <c r="E168" s="10" t="s">
        <v>5163</v>
      </c>
      <c r="F168" s="55" t="s">
        <v>533</v>
      </c>
      <c r="G168" s="153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5.75" customHeight="1" x14ac:dyDescent="0.25">
      <c r="A169" s="11">
        <v>168</v>
      </c>
      <c r="B169" s="54" t="s">
        <v>4699</v>
      </c>
      <c r="C169" s="11" t="s">
        <v>197</v>
      </c>
      <c r="D169" s="11" t="s">
        <v>5204</v>
      </c>
      <c r="E169" s="10" t="s">
        <v>5163</v>
      </c>
      <c r="F169" s="55" t="s">
        <v>533</v>
      </c>
      <c r="G169" s="153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5.75" customHeight="1" x14ac:dyDescent="0.25">
      <c r="A170" s="53">
        <v>169</v>
      </c>
      <c r="B170" s="92" t="s">
        <v>4700</v>
      </c>
      <c r="C170" s="127" t="s">
        <v>198</v>
      </c>
      <c r="D170" s="127" t="s">
        <v>5204</v>
      </c>
      <c r="E170" s="128" t="s">
        <v>5163</v>
      </c>
      <c r="F170" s="129" t="s">
        <v>534</v>
      </c>
      <c r="G170" s="153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5.75" customHeight="1" x14ac:dyDescent="0.25">
      <c r="A171" s="11">
        <v>170</v>
      </c>
      <c r="B171" s="92" t="s">
        <v>4701</v>
      </c>
      <c r="C171" s="127" t="s">
        <v>199</v>
      </c>
      <c r="D171" s="127" t="s">
        <v>5204</v>
      </c>
      <c r="E171" s="128" t="s">
        <v>5163</v>
      </c>
      <c r="F171" s="129" t="s">
        <v>534</v>
      </c>
      <c r="G171" s="153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5.75" customHeight="1" x14ac:dyDescent="0.25">
      <c r="A172" s="53">
        <v>171</v>
      </c>
      <c r="B172" s="54" t="s">
        <v>4702</v>
      </c>
      <c r="C172" s="11" t="s">
        <v>200</v>
      </c>
      <c r="D172" s="11" t="s">
        <v>5204</v>
      </c>
      <c r="E172" s="10" t="s">
        <v>5163</v>
      </c>
      <c r="F172" s="55" t="s">
        <v>533</v>
      </c>
      <c r="G172" s="153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5.75" customHeight="1" x14ac:dyDescent="0.25">
      <c r="A173" s="11">
        <v>172</v>
      </c>
      <c r="B173" s="54" t="s">
        <v>4703</v>
      </c>
      <c r="C173" s="11" t="s">
        <v>201</v>
      </c>
      <c r="D173" s="11" t="s">
        <v>5204</v>
      </c>
      <c r="E173" s="10" t="s">
        <v>5163</v>
      </c>
      <c r="F173" s="55" t="s">
        <v>533</v>
      </c>
      <c r="G173" s="153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5.75" customHeight="1" x14ac:dyDescent="0.25">
      <c r="A174" s="53">
        <v>173</v>
      </c>
      <c r="B174" s="54" t="s">
        <v>4704</v>
      </c>
      <c r="C174" s="11" t="s">
        <v>202</v>
      </c>
      <c r="D174" s="11" t="s">
        <v>5204</v>
      </c>
      <c r="E174" s="10" t="s">
        <v>5163</v>
      </c>
      <c r="F174" s="55" t="s">
        <v>533</v>
      </c>
      <c r="G174" s="153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5.75" customHeight="1" x14ac:dyDescent="0.25">
      <c r="A175" s="11">
        <v>174</v>
      </c>
      <c r="B175" s="54" t="s">
        <v>4705</v>
      </c>
      <c r="C175" s="11" t="s">
        <v>203</v>
      </c>
      <c r="D175" s="11" t="s">
        <v>5204</v>
      </c>
      <c r="E175" s="10" t="s">
        <v>5163</v>
      </c>
      <c r="F175" s="55" t="s">
        <v>533</v>
      </c>
      <c r="G175" s="153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5.75" customHeight="1" x14ac:dyDescent="0.25">
      <c r="A176" s="53">
        <v>175</v>
      </c>
      <c r="B176" s="54" t="s">
        <v>4706</v>
      </c>
      <c r="C176" s="11" t="s">
        <v>204</v>
      </c>
      <c r="D176" s="11" t="s">
        <v>5204</v>
      </c>
      <c r="E176" s="10" t="s">
        <v>5163</v>
      </c>
      <c r="F176" s="55" t="s">
        <v>533</v>
      </c>
      <c r="G176" s="153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5.75" customHeight="1" x14ac:dyDescent="0.25">
      <c r="A177" s="11">
        <v>176</v>
      </c>
      <c r="B177" s="54" t="s">
        <v>4707</v>
      </c>
      <c r="C177" s="11" t="s">
        <v>205</v>
      </c>
      <c r="D177" s="11" t="s">
        <v>5204</v>
      </c>
      <c r="E177" s="10" t="s">
        <v>5163</v>
      </c>
      <c r="F177" s="55" t="s">
        <v>533</v>
      </c>
      <c r="G177" s="153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5.75" customHeight="1" x14ac:dyDescent="0.25">
      <c r="A178" s="53">
        <v>177</v>
      </c>
      <c r="B178" s="54" t="s">
        <v>4708</v>
      </c>
      <c r="C178" s="11" t="s">
        <v>5096</v>
      </c>
      <c r="D178" s="11" t="s">
        <v>5204</v>
      </c>
      <c r="E178" s="10" t="s">
        <v>5163</v>
      </c>
      <c r="F178" s="55" t="s">
        <v>533</v>
      </c>
      <c r="G178" s="153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5.75" customHeight="1" x14ac:dyDescent="0.25">
      <c r="A179" s="11">
        <v>178</v>
      </c>
      <c r="B179" s="54" t="s">
        <v>4709</v>
      </c>
      <c r="C179" s="59" t="s">
        <v>206</v>
      </c>
      <c r="D179" s="59" t="s">
        <v>5205</v>
      </c>
      <c r="E179" s="57" t="s">
        <v>5164</v>
      </c>
      <c r="F179" s="58" t="s">
        <v>533</v>
      </c>
      <c r="G179" s="153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5.75" customHeight="1" x14ac:dyDescent="0.25">
      <c r="A180" s="53">
        <v>179</v>
      </c>
      <c r="B180" s="54" t="s">
        <v>4710</v>
      </c>
      <c r="C180" s="59" t="s">
        <v>207</v>
      </c>
      <c r="D180" s="59" t="s">
        <v>5205</v>
      </c>
      <c r="E180" s="57" t="s">
        <v>5164</v>
      </c>
      <c r="F180" s="58" t="s">
        <v>533</v>
      </c>
      <c r="G180" s="153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5.75" customHeight="1" x14ac:dyDescent="0.25">
      <c r="A181" s="11">
        <v>180</v>
      </c>
      <c r="B181" s="54" t="s">
        <v>4711</v>
      </c>
      <c r="C181" s="59" t="s">
        <v>208</v>
      </c>
      <c r="D181" s="59" t="s">
        <v>5205</v>
      </c>
      <c r="E181" s="57" t="s">
        <v>5164</v>
      </c>
      <c r="F181" s="58" t="s">
        <v>533</v>
      </c>
      <c r="G181" s="153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5.75" customHeight="1" x14ac:dyDescent="0.25">
      <c r="A182" s="53">
        <v>181</v>
      </c>
      <c r="B182" s="54" t="s">
        <v>4712</v>
      </c>
      <c r="C182" s="59" t="s">
        <v>209</v>
      </c>
      <c r="D182" s="59" t="s">
        <v>5205</v>
      </c>
      <c r="E182" s="57" t="s">
        <v>5164</v>
      </c>
      <c r="F182" s="58" t="s">
        <v>533</v>
      </c>
      <c r="G182" s="153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5.75" customHeight="1" x14ac:dyDescent="0.25">
      <c r="A183" s="11">
        <v>182</v>
      </c>
      <c r="B183" s="54" t="s">
        <v>4713</v>
      </c>
      <c r="C183" s="59" t="s">
        <v>210</v>
      </c>
      <c r="D183" s="59" t="s">
        <v>5205</v>
      </c>
      <c r="E183" s="57" t="s">
        <v>5164</v>
      </c>
      <c r="F183" s="58" t="s">
        <v>533</v>
      </c>
      <c r="G183" s="153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5.75" customHeight="1" x14ac:dyDescent="0.25">
      <c r="A184" s="53">
        <v>183</v>
      </c>
      <c r="B184" s="54" t="s">
        <v>4714</v>
      </c>
      <c r="C184" s="59" t="s">
        <v>211</v>
      </c>
      <c r="D184" s="59" t="s">
        <v>5205</v>
      </c>
      <c r="E184" s="57" t="s">
        <v>5164</v>
      </c>
      <c r="F184" s="58" t="s">
        <v>533</v>
      </c>
      <c r="G184" s="153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5.75" customHeight="1" x14ac:dyDescent="0.25">
      <c r="A185" s="11">
        <v>184</v>
      </c>
      <c r="B185" s="54" t="s">
        <v>4715</v>
      </c>
      <c r="C185" s="59" t="s">
        <v>212</v>
      </c>
      <c r="D185" s="59" t="s">
        <v>5205</v>
      </c>
      <c r="E185" s="57" t="s">
        <v>5164</v>
      </c>
      <c r="F185" s="58" t="s">
        <v>533</v>
      </c>
      <c r="G185" s="153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5.75" customHeight="1" x14ac:dyDescent="0.25">
      <c r="A186" s="53">
        <v>185</v>
      </c>
      <c r="B186" s="54" t="s">
        <v>4716</v>
      </c>
      <c r="C186" s="59" t="s">
        <v>213</v>
      </c>
      <c r="D186" s="59" t="s">
        <v>5205</v>
      </c>
      <c r="E186" s="57" t="s">
        <v>5164</v>
      </c>
      <c r="F186" s="58" t="s">
        <v>533</v>
      </c>
      <c r="G186" s="153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5.75" customHeight="1" x14ac:dyDescent="0.25">
      <c r="A187" s="11">
        <v>186</v>
      </c>
      <c r="B187" s="54" t="s">
        <v>4717</v>
      </c>
      <c r="C187" s="59" t="s">
        <v>214</v>
      </c>
      <c r="D187" s="59" t="s">
        <v>5205</v>
      </c>
      <c r="E187" s="57" t="s">
        <v>5164</v>
      </c>
      <c r="F187" s="58" t="s">
        <v>533</v>
      </c>
      <c r="G187" s="153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5.75" customHeight="1" x14ac:dyDescent="0.25">
      <c r="A188" s="53">
        <v>187</v>
      </c>
      <c r="B188" s="54" t="s">
        <v>4718</v>
      </c>
      <c r="C188" s="59" t="s">
        <v>215</v>
      </c>
      <c r="D188" s="59" t="s">
        <v>5205</v>
      </c>
      <c r="E188" s="57" t="s">
        <v>5164</v>
      </c>
      <c r="F188" s="58" t="s">
        <v>533</v>
      </c>
      <c r="G188" s="153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5.75" customHeight="1" x14ac:dyDescent="0.25">
      <c r="A189" s="11">
        <v>188</v>
      </c>
      <c r="B189" s="54" t="s">
        <v>4719</v>
      </c>
      <c r="C189" s="59" t="s">
        <v>216</v>
      </c>
      <c r="D189" s="59" t="s">
        <v>5205</v>
      </c>
      <c r="E189" s="57" t="s">
        <v>5164</v>
      </c>
      <c r="F189" s="58" t="s">
        <v>533</v>
      </c>
      <c r="G189" s="153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5.75" customHeight="1" x14ac:dyDescent="0.25">
      <c r="A190" s="53">
        <v>189</v>
      </c>
      <c r="B190" s="92" t="s">
        <v>4720</v>
      </c>
      <c r="C190" s="93" t="s">
        <v>217</v>
      </c>
      <c r="D190" s="93" t="s">
        <v>5205</v>
      </c>
      <c r="E190" s="94" t="s">
        <v>5164</v>
      </c>
      <c r="F190" s="95" t="s">
        <v>534</v>
      </c>
      <c r="G190" s="153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5.75" customHeight="1" x14ac:dyDescent="0.25">
      <c r="A191" s="11">
        <v>190</v>
      </c>
      <c r="B191" s="54" t="s">
        <v>4721</v>
      </c>
      <c r="C191" s="59" t="s">
        <v>218</v>
      </c>
      <c r="D191" s="59" t="s">
        <v>5205</v>
      </c>
      <c r="E191" s="57" t="s">
        <v>5164</v>
      </c>
      <c r="F191" s="58" t="s">
        <v>533</v>
      </c>
      <c r="G191" s="153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5.75" customHeight="1" x14ac:dyDescent="0.25">
      <c r="A192" s="53">
        <v>191</v>
      </c>
      <c r="B192" s="54" t="s">
        <v>4722</v>
      </c>
      <c r="C192" s="59" t="s">
        <v>219</v>
      </c>
      <c r="D192" s="59" t="s">
        <v>5205</v>
      </c>
      <c r="E192" s="57" t="s">
        <v>5164</v>
      </c>
      <c r="F192" s="58" t="s">
        <v>533</v>
      </c>
      <c r="G192" s="153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5.75" customHeight="1" x14ac:dyDescent="0.25">
      <c r="A193" s="11">
        <v>192</v>
      </c>
      <c r="B193" s="54" t="s">
        <v>4723</v>
      </c>
      <c r="C193" s="59" t="s">
        <v>220</v>
      </c>
      <c r="D193" s="59" t="s">
        <v>5205</v>
      </c>
      <c r="E193" s="57" t="s">
        <v>5164</v>
      </c>
      <c r="F193" s="58" t="s">
        <v>533</v>
      </c>
      <c r="G193" s="153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5.75" customHeight="1" x14ac:dyDescent="0.25">
      <c r="A194" s="53">
        <v>193</v>
      </c>
      <c r="B194" s="54" t="s">
        <v>4724</v>
      </c>
      <c r="C194" s="59" t="s">
        <v>221</v>
      </c>
      <c r="D194" s="59" t="s">
        <v>5205</v>
      </c>
      <c r="E194" s="57" t="s">
        <v>5164</v>
      </c>
      <c r="F194" s="58" t="s">
        <v>533</v>
      </c>
      <c r="G194" s="153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5.75" customHeight="1" x14ac:dyDescent="0.25">
      <c r="A195" s="11">
        <v>194</v>
      </c>
      <c r="B195" s="54" t="s">
        <v>4725</v>
      </c>
      <c r="C195" s="59" t="s">
        <v>222</v>
      </c>
      <c r="D195" s="59" t="s">
        <v>5205</v>
      </c>
      <c r="E195" s="57" t="s">
        <v>5164</v>
      </c>
      <c r="F195" s="58" t="s">
        <v>533</v>
      </c>
      <c r="G195" s="153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5.75" customHeight="1" x14ac:dyDescent="0.25">
      <c r="A196" s="53">
        <v>195</v>
      </c>
      <c r="B196" s="54" t="s">
        <v>4726</v>
      </c>
      <c r="C196" s="59" t="s">
        <v>223</v>
      </c>
      <c r="D196" s="59" t="s">
        <v>5205</v>
      </c>
      <c r="E196" s="57" t="s">
        <v>5164</v>
      </c>
      <c r="F196" s="58" t="s">
        <v>533</v>
      </c>
      <c r="G196" s="153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5.75" customHeight="1" x14ac:dyDescent="0.25">
      <c r="A197" s="11">
        <v>196</v>
      </c>
      <c r="B197" s="54" t="s">
        <v>4727</v>
      </c>
      <c r="C197" s="59" t="s">
        <v>224</v>
      </c>
      <c r="D197" s="59" t="s">
        <v>5205</v>
      </c>
      <c r="E197" s="57" t="s">
        <v>5164</v>
      </c>
      <c r="F197" s="58" t="s">
        <v>533</v>
      </c>
      <c r="G197" s="153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5.75" customHeight="1" x14ac:dyDescent="0.25">
      <c r="A198" s="53">
        <v>197</v>
      </c>
      <c r="B198" s="54" t="s">
        <v>4728</v>
      </c>
      <c r="C198" s="59" t="s">
        <v>225</v>
      </c>
      <c r="D198" s="59" t="s">
        <v>5205</v>
      </c>
      <c r="E198" s="57" t="s">
        <v>5164</v>
      </c>
      <c r="F198" s="58" t="s">
        <v>533</v>
      </c>
      <c r="G198" s="153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5.75" customHeight="1" x14ac:dyDescent="0.25">
      <c r="A199" s="11">
        <v>198</v>
      </c>
      <c r="B199" s="54" t="s">
        <v>4729</v>
      </c>
      <c r="C199" s="59" t="s">
        <v>226</v>
      </c>
      <c r="D199" s="59" t="s">
        <v>5205</v>
      </c>
      <c r="E199" s="57" t="s">
        <v>5164</v>
      </c>
      <c r="F199" s="58" t="s">
        <v>533</v>
      </c>
      <c r="G199" s="153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5.75" customHeight="1" x14ac:dyDescent="0.25">
      <c r="A200" s="53">
        <v>199</v>
      </c>
      <c r="B200" s="54" t="s">
        <v>4730</v>
      </c>
      <c r="C200" s="59" t="s">
        <v>227</v>
      </c>
      <c r="D200" s="59" t="s">
        <v>5205</v>
      </c>
      <c r="E200" s="57" t="s">
        <v>5164</v>
      </c>
      <c r="F200" s="58" t="s">
        <v>533</v>
      </c>
      <c r="G200" s="153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5.75" customHeight="1" x14ac:dyDescent="0.25">
      <c r="A201" s="11">
        <v>200</v>
      </c>
      <c r="B201" s="54" t="s">
        <v>4731</v>
      </c>
      <c r="C201" s="59" t="s">
        <v>228</v>
      </c>
      <c r="D201" s="59" t="s">
        <v>5205</v>
      </c>
      <c r="E201" s="57" t="s">
        <v>5164</v>
      </c>
      <c r="F201" s="58" t="s">
        <v>533</v>
      </c>
      <c r="G201" s="153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5.75" customHeight="1" x14ac:dyDescent="0.25">
      <c r="A202" s="53">
        <v>201</v>
      </c>
      <c r="B202" s="54" t="s">
        <v>4732</v>
      </c>
      <c r="C202" s="59" t="s">
        <v>229</v>
      </c>
      <c r="D202" s="59" t="s">
        <v>5205</v>
      </c>
      <c r="E202" s="57" t="s">
        <v>5164</v>
      </c>
      <c r="F202" s="58" t="s">
        <v>533</v>
      </c>
      <c r="G202" s="153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5.75" customHeight="1" x14ac:dyDescent="0.25">
      <c r="A203" s="11">
        <v>202</v>
      </c>
      <c r="B203" s="54" t="s">
        <v>4733</v>
      </c>
      <c r="C203" s="59" t="s">
        <v>230</v>
      </c>
      <c r="D203" s="59" t="s">
        <v>5205</v>
      </c>
      <c r="E203" s="57" t="s">
        <v>5164</v>
      </c>
      <c r="F203" s="58" t="s">
        <v>533</v>
      </c>
      <c r="G203" s="153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5.75" customHeight="1" x14ac:dyDescent="0.25">
      <c r="A204" s="53">
        <v>203</v>
      </c>
      <c r="B204" s="54" t="s">
        <v>4734</v>
      </c>
      <c r="C204" s="59" t="s">
        <v>231</v>
      </c>
      <c r="D204" s="59" t="s">
        <v>5205</v>
      </c>
      <c r="E204" s="57" t="s">
        <v>5164</v>
      </c>
      <c r="F204" s="58" t="s">
        <v>533</v>
      </c>
      <c r="G204" s="153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5.75" customHeight="1" x14ac:dyDescent="0.25">
      <c r="A205" s="11">
        <v>204</v>
      </c>
      <c r="B205" s="54" t="s">
        <v>4735</v>
      </c>
      <c r="C205" s="59" t="s">
        <v>232</v>
      </c>
      <c r="D205" s="59" t="s">
        <v>5205</v>
      </c>
      <c r="E205" s="57" t="s">
        <v>5164</v>
      </c>
      <c r="F205" s="58" t="s">
        <v>533</v>
      </c>
      <c r="G205" s="153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5.75" customHeight="1" x14ac:dyDescent="0.25">
      <c r="A206" s="53">
        <v>205</v>
      </c>
      <c r="B206" s="54" t="s">
        <v>4736</v>
      </c>
      <c r="C206" s="59" t="s">
        <v>233</v>
      </c>
      <c r="D206" s="59" t="s">
        <v>5205</v>
      </c>
      <c r="E206" s="57" t="s">
        <v>5164</v>
      </c>
      <c r="F206" s="58" t="s">
        <v>533</v>
      </c>
      <c r="G206" s="153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5.75" customHeight="1" x14ac:dyDescent="0.25">
      <c r="A207" s="11">
        <v>206</v>
      </c>
      <c r="B207" s="54" t="s">
        <v>4737</v>
      </c>
      <c r="C207" s="59" t="s">
        <v>234</v>
      </c>
      <c r="D207" s="59" t="s">
        <v>5205</v>
      </c>
      <c r="E207" s="57" t="s">
        <v>5164</v>
      </c>
      <c r="F207" s="58" t="s">
        <v>533</v>
      </c>
      <c r="G207" s="153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5.75" customHeight="1" x14ac:dyDescent="0.25">
      <c r="A208" s="53">
        <v>207</v>
      </c>
      <c r="B208" s="54" t="s">
        <v>4738</v>
      </c>
      <c r="C208" s="59" t="s">
        <v>235</v>
      </c>
      <c r="D208" s="59" t="s">
        <v>5205</v>
      </c>
      <c r="E208" s="57" t="s">
        <v>5164</v>
      </c>
      <c r="F208" s="58" t="s">
        <v>533</v>
      </c>
      <c r="G208" s="153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5.75" customHeight="1" x14ac:dyDescent="0.25">
      <c r="A209" s="11">
        <v>208</v>
      </c>
      <c r="B209" s="54" t="s">
        <v>4739</v>
      </c>
      <c r="C209" s="59" t="s">
        <v>236</v>
      </c>
      <c r="D209" s="59" t="s">
        <v>5205</v>
      </c>
      <c r="E209" s="57" t="s">
        <v>5164</v>
      </c>
      <c r="F209" s="58" t="s">
        <v>533</v>
      </c>
      <c r="G209" s="153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5.75" customHeight="1" x14ac:dyDescent="0.25">
      <c r="A210" s="53">
        <v>209</v>
      </c>
      <c r="B210" s="54" t="s">
        <v>4740</v>
      </c>
      <c r="C210" s="59" t="s">
        <v>237</v>
      </c>
      <c r="D210" s="59" t="s">
        <v>5205</v>
      </c>
      <c r="E210" s="57" t="s">
        <v>5164</v>
      </c>
      <c r="F210" s="58" t="s">
        <v>533</v>
      </c>
      <c r="G210" s="153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5.75" customHeight="1" x14ac:dyDescent="0.25">
      <c r="A211" s="11">
        <v>210</v>
      </c>
      <c r="B211" s="54" t="s">
        <v>4741</v>
      </c>
      <c r="C211" s="59" t="s">
        <v>238</v>
      </c>
      <c r="D211" s="59" t="s">
        <v>5205</v>
      </c>
      <c r="E211" s="57" t="s">
        <v>5164</v>
      </c>
      <c r="F211" s="58" t="s">
        <v>533</v>
      </c>
      <c r="G211" s="153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5.75" customHeight="1" x14ac:dyDescent="0.25">
      <c r="A212" s="53">
        <v>211</v>
      </c>
      <c r="B212" s="92" t="s">
        <v>4742</v>
      </c>
      <c r="C212" s="127" t="s">
        <v>239</v>
      </c>
      <c r="D212" s="127" t="s">
        <v>5206</v>
      </c>
      <c r="E212" s="128" t="s">
        <v>5165</v>
      </c>
      <c r="F212" s="129" t="s">
        <v>534</v>
      </c>
      <c r="G212" s="153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5.75" customHeight="1" x14ac:dyDescent="0.25">
      <c r="A213" s="11">
        <v>212</v>
      </c>
      <c r="B213" s="54" t="s">
        <v>4743</v>
      </c>
      <c r="C213" s="11" t="s">
        <v>240</v>
      </c>
      <c r="D213" s="11" t="s">
        <v>5206</v>
      </c>
      <c r="E213" s="10" t="s">
        <v>5165</v>
      </c>
      <c r="F213" s="55" t="s">
        <v>533</v>
      </c>
      <c r="G213" s="153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5.75" customHeight="1" x14ac:dyDescent="0.25">
      <c r="A214" s="53">
        <v>213</v>
      </c>
      <c r="B214" s="54" t="s">
        <v>4744</v>
      </c>
      <c r="C214" s="11" t="s">
        <v>241</v>
      </c>
      <c r="D214" s="11" t="s">
        <v>5206</v>
      </c>
      <c r="E214" s="10" t="s">
        <v>5165</v>
      </c>
      <c r="F214" s="55" t="s">
        <v>533</v>
      </c>
      <c r="G214" s="153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5.75" customHeight="1" x14ac:dyDescent="0.25">
      <c r="A215" s="11">
        <v>214</v>
      </c>
      <c r="B215" s="54" t="s">
        <v>4745</v>
      </c>
      <c r="C215" s="11" t="s">
        <v>242</v>
      </c>
      <c r="D215" s="11" t="s">
        <v>5206</v>
      </c>
      <c r="E215" s="10" t="s">
        <v>5165</v>
      </c>
      <c r="F215" s="55" t="s">
        <v>533</v>
      </c>
      <c r="G215" s="153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5.75" customHeight="1" x14ac:dyDescent="0.25">
      <c r="A216" s="53">
        <v>215</v>
      </c>
      <c r="B216" s="54" t="s">
        <v>4746</v>
      </c>
      <c r="C216" s="11" t="s">
        <v>243</v>
      </c>
      <c r="D216" s="11" t="s">
        <v>5206</v>
      </c>
      <c r="E216" s="10" t="s">
        <v>5165</v>
      </c>
      <c r="F216" s="55" t="s">
        <v>533</v>
      </c>
      <c r="G216" s="153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5.75" customHeight="1" x14ac:dyDescent="0.25">
      <c r="A217" s="11">
        <v>216</v>
      </c>
      <c r="B217" s="54" t="s">
        <v>4747</v>
      </c>
      <c r="C217" s="11" t="s">
        <v>244</v>
      </c>
      <c r="D217" s="11" t="s">
        <v>5206</v>
      </c>
      <c r="E217" s="10" t="s">
        <v>5165</v>
      </c>
      <c r="F217" s="55" t="s">
        <v>533</v>
      </c>
      <c r="G217" s="153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5.75" customHeight="1" x14ac:dyDescent="0.25">
      <c r="A218" s="53">
        <v>217</v>
      </c>
      <c r="B218" s="54" t="s">
        <v>4748</v>
      </c>
      <c r="C218" s="11" t="s">
        <v>245</v>
      </c>
      <c r="D218" s="11" t="s">
        <v>5206</v>
      </c>
      <c r="E218" s="10" t="s">
        <v>5165</v>
      </c>
      <c r="F218" s="55" t="s">
        <v>533</v>
      </c>
      <c r="G218" s="153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75" customHeight="1" x14ac:dyDescent="0.25">
      <c r="A219" s="11">
        <v>218</v>
      </c>
      <c r="B219" s="54" t="s">
        <v>4749</v>
      </c>
      <c r="C219" s="11" t="s">
        <v>246</v>
      </c>
      <c r="D219" s="11" t="s">
        <v>5206</v>
      </c>
      <c r="E219" s="10" t="s">
        <v>5165</v>
      </c>
      <c r="F219" s="55" t="s">
        <v>533</v>
      </c>
      <c r="G219" s="153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75" customHeight="1" x14ac:dyDescent="0.25">
      <c r="A220" s="53">
        <v>219</v>
      </c>
      <c r="B220" s="54" t="s">
        <v>4750</v>
      </c>
      <c r="C220" s="11" t="s">
        <v>247</v>
      </c>
      <c r="D220" s="11" t="s">
        <v>5206</v>
      </c>
      <c r="E220" s="10" t="s">
        <v>5165</v>
      </c>
      <c r="F220" s="55" t="s">
        <v>533</v>
      </c>
      <c r="G220" s="153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5.75" customHeight="1" x14ac:dyDescent="0.25">
      <c r="A221" s="11">
        <v>220</v>
      </c>
      <c r="B221" s="54" t="s">
        <v>4751</v>
      </c>
      <c r="C221" s="11" t="s">
        <v>248</v>
      </c>
      <c r="D221" s="11" t="s">
        <v>5206</v>
      </c>
      <c r="E221" s="10" t="s">
        <v>5165</v>
      </c>
      <c r="F221" s="55" t="s">
        <v>533</v>
      </c>
      <c r="G221" s="153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75" customHeight="1" x14ac:dyDescent="0.25">
      <c r="A222" s="53">
        <v>221</v>
      </c>
      <c r="B222" s="54" t="s">
        <v>4752</v>
      </c>
      <c r="C222" s="11" t="s">
        <v>5095</v>
      </c>
      <c r="D222" s="11" t="s">
        <v>5206</v>
      </c>
      <c r="E222" s="10" t="s">
        <v>5165</v>
      </c>
      <c r="F222" s="55" t="s">
        <v>533</v>
      </c>
      <c r="G222" s="153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 x14ac:dyDescent="0.25">
      <c r="A223" s="11">
        <v>222</v>
      </c>
      <c r="B223" s="54" t="s">
        <v>4753</v>
      </c>
      <c r="C223" s="11" t="s">
        <v>249</v>
      </c>
      <c r="D223" s="11" t="s">
        <v>5206</v>
      </c>
      <c r="E223" s="10" t="s">
        <v>5165</v>
      </c>
      <c r="F223" s="55" t="s">
        <v>533</v>
      </c>
      <c r="G223" s="153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75" customHeight="1" x14ac:dyDescent="0.25">
      <c r="A224" s="53">
        <v>223</v>
      </c>
      <c r="B224" s="54" t="s">
        <v>4754</v>
      </c>
      <c r="C224" s="11" t="s">
        <v>250</v>
      </c>
      <c r="D224" s="11" t="s">
        <v>5206</v>
      </c>
      <c r="E224" s="10" t="s">
        <v>5165</v>
      </c>
      <c r="F224" s="55" t="s">
        <v>533</v>
      </c>
      <c r="G224" s="153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5.75" customHeight="1" x14ac:dyDescent="0.25">
      <c r="A225" s="11">
        <v>224</v>
      </c>
      <c r="B225" s="54" t="s">
        <v>4755</v>
      </c>
      <c r="C225" s="11" t="s">
        <v>251</v>
      </c>
      <c r="D225" s="11" t="s">
        <v>5206</v>
      </c>
      <c r="E225" s="10" t="s">
        <v>5165</v>
      </c>
      <c r="F225" s="55" t="s">
        <v>533</v>
      </c>
      <c r="G225" s="153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5.75" customHeight="1" x14ac:dyDescent="0.25">
      <c r="A226" s="53">
        <v>225</v>
      </c>
      <c r="B226" s="54" t="s">
        <v>4756</v>
      </c>
      <c r="C226" s="11" t="s">
        <v>252</v>
      </c>
      <c r="D226" s="11" t="s">
        <v>5206</v>
      </c>
      <c r="E226" s="10" t="s">
        <v>5165</v>
      </c>
      <c r="F226" s="55" t="s">
        <v>533</v>
      </c>
      <c r="G226" s="153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5.75" customHeight="1" x14ac:dyDescent="0.25">
      <c r="A227" s="11">
        <v>226</v>
      </c>
      <c r="B227" s="54" t="s">
        <v>4757</v>
      </c>
      <c r="C227" s="11" t="s">
        <v>253</v>
      </c>
      <c r="D227" s="11" t="s">
        <v>5206</v>
      </c>
      <c r="E227" s="10" t="s">
        <v>5165</v>
      </c>
      <c r="F227" s="55" t="s">
        <v>533</v>
      </c>
      <c r="G227" s="153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5.75" customHeight="1" x14ac:dyDescent="0.25">
      <c r="A228" s="53">
        <v>227</v>
      </c>
      <c r="B228" s="92" t="s">
        <v>4758</v>
      </c>
      <c r="C228" s="127" t="s">
        <v>254</v>
      </c>
      <c r="D228" s="127" t="s">
        <v>5206</v>
      </c>
      <c r="E228" s="128" t="s">
        <v>5165</v>
      </c>
      <c r="F228" s="129" t="s">
        <v>534</v>
      </c>
      <c r="G228" s="153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5.75" customHeight="1" x14ac:dyDescent="0.25">
      <c r="A229" s="11">
        <v>228</v>
      </c>
      <c r="B229" s="54" t="s">
        <v>4760</v>
      </c>
      <c r="C229" s="11" t="s">
        <v>255</v>
      </c>
      <c r="D229" s="11" t="s">
        <v>5206</v>
      </c>
      <c r="E229" s="10" t="s">
        <v>5165</v>
      </c>
      <c r="F229" s="55" t="s">
        <v>533</v>
      </c>
      <c r="G229" s="153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5.75" customHeight="1" x14ac:dyDescent="0.25">
      <c r="A230" s="53">
        <v>229</v>
      </c>
      <c r="B230" s="54" t="s">
        <v>4761</v>
      </c>
      <c r="C230" s="11" t="s">
        <v>256</v>
      </c>
      <c r="D230" s="11" t="s">
        <v>5206</v>
      </c>
      <c r="E230" s="10" t="s">
        <v>5165</v>
      </c>
      <c r="F230" s="55" t="s">
        <v>533</v>
      </c>
      <c r="G230" s="153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5.75" customHeight="1" x14ac:dyDescent="0.25">
      <c r="A231" s="11">
        <v>230</v>
      </c>
      <c r="B231" s="54" t="s">
        <v>4762</v>
      </c>
      <c r="C231" s="11" t="s">
        <v>257</v>
      </c>
      <c r="D231" s="11" t="s">
        <v>5206</v>
      </c>
      <c r="E231" s="10" t="s">
        <v>5165</v>
      </c>
      <c r="F231" s="55" t="s">
        <v>533</v>
      </c>
      <c r="G231" s="153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5.75" customHeight="1" x14ac:dyDescent="0.25">
      <c r="A232" s="53">
        <v>231</v>
      </c>
      <c r="B232" s="54" t="s">
        <v>4763</v>
      </c>
      <c r="C232" s="11" t="s">
        <v>258</v>
      </c>
      <c r="D232" s="11" t="s">
        <v>5206</v>
      </c>
      <c r="E232" s="10" t="s">
        <v>5165</v>
      </c>
      <c r="F232" s="55" t="s">
        <v>533</v>
      </c>
      <c r="G232" s="153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5.75" customHeight="1" x14ac:dyDescent="0.25">
      <c r="A233" s="11">
        <v>232</v>
      </c>
      <c r="B233" s="54" t="s">
        <v>4764</v>
      </c>
      <c r="C233" s="11" t="s">
        <v>259</v>
      </c>
      <c r="D233" s="11" t="s">
        <v>5206</v>
      </c>
      <c r="E233" s="10" t="s">
        <v>5165</v>
      </c>
      <c r="F233" s="55" t="s">
        <v>533</v>
      </c>
      <c r="G233" s="153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5.75" customHeight="1" x14ac:dyDescent="0.25">
      <c r="A234" s="53">
        <v>233</v>
      </c>
      <c r="B234" s="54" t="s">
        <v>4765</v>
      </c>
      <c r="C234" s="11" t="s">
        <v>260</v>
      </c>
      <c r="D234" s="11" t="s">
        <v>5206</v>
      </c>
      <c r="E234" s="10" t="s">
        <v>5165</v>
      </c>
      <c r="F234" s="55" t="s">
        <v>533</v>
      </c>
      <c r="G234" s="153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5.75" customHeight="1" x14ac:dyDescent="0.25">
      <c r="A235" s="11">
        <v>234</v>
      </c>
      <c r="B235" s="54" t="s">
        <v>4766</v>
      </c>
      <c r="C235" s="11" t="s">
        <v>5094</v>
      </c>
      <c r="D235" s="11" t="s">
        <v>5206</v>
      </c>
      <c r="E235" s="10" t="s">
        <v>5165</v>
      </c>
      <c r="F235" s="55" t="s">
        <v>533</v>
      </c>
      <c r="G235" s="153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5.75" customHeight="1" x14ac:dyDescent="0.25">
      <c r="A236" s="53">
        <v>235</v>
      </c>
      <c r="B236" s="54" t="s">
        <v>4767</v>
      </c>
      <c r="C236" s="11" t="s">
        <v>261</v>
      </c>
      <c r="D236" s="11" t="s">
        <v>5206</v>
      </c>
      <c r="E236" s="10" t="s">
        <v>5165</v>
      </c>
      <c r="F236" s="55" t="s">
        <v>533</v>
      </c>
      <c r="G236" s="153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5.75" customHeight="1" x14ac:dyDescent="0.25">
      <c r="A237" s="11">
        <v>236</v>
      </c>
      <c r="B237" s="54" t="s">
        <v>4768</v>
      </c>
      <c r="C237" s="11" t="s">
        <v>262</v>
      </c>
      <c r="D237" s="11" t="s">
        <v>5206</v>
      </c>
      <c r="E237" s="10" t="s">
        <v>5165</v>
      </c>
      <c r="F237" s="55" t="s">
        <v>533</v>
      </c>
      <c r="G237" s="153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5.75" customHeight="1" x14ac:dyDescent="0.25">
      <c r="A238" s="53">
        <v>237</v>
      </c>
      <c r="B238" s="54" t="s">
        <v>4769</v>
      </c>
      <c r="C238" s="11" t="s">
        <v>263</v>
      </c>
      <c r="D238" s="11" t="s">
        <v>5206</v>
      </c>
      <c r="E238" s="10" t="s">
        <v>5165</v>
      </c>
      <c r="F238" s="55" t="s">
        <v>533</v>
      </c>
      <c r="G238" s="153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5.75" customHeight="1" x14ac:dyDescent="0.25">
      <c r="A239" s="11">
        <v>238</v>
      </c>
      <c r="B239" s="54" t="s">
        <v>4770</v>
      </c>
      <c r="C239" s="11" t="s">
        <v>264</v>
      </c>
      <c r="D239" s="11" t="s">
        <v>5206</v>
      </c>
      <c r="E239" s="10" t="s">
        <v>5165</v>
      </c>
      <c r="F239" s="55" t="s">
        <v>533</v>
      </c>
      <c r="G239" s="153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5.75" customHeight="1" x14ac:dyDescent="0.25">
      <c r="A240" s="53">
        <v>239</v>
      </c>
      <c r="B240" s="54" t="s">
        <v>4771</v>
      </c>
      <c r="C240" s="11" t="s">
        <v>265</v>
      </c>
      <c r="D240" s="11" t="s">
        <v>5206</v>
      </c>
      <c r="E240" s="10" t="s">
        <v>5165</v>
      </c>
      <c r="F240" s="55" t="s">
        <v>533</v>
      </c>
      <c r="G240" s="153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5.75" customHeight="1" x14ac:dyDescent="0.25">
      <c r="A241" s="11">
        <v>240</v>
      </c>
      <c r="B241" s="54" t="s">
        <v>4772</v>
      </c>
      <c r="C241" s="11" t="s">
        <v>266</v>
      </c>
      <c r="D241" s="11" t="s">
        <v>5206</v>
      </c>
      <c r="E241" s="10" t="s">
        <v>5165</v>
      </c>
      <c r="F241" s="55" t="s">
        <v>533</v>
      </c>
      <c r="G241" s="153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5.75" customHeight="1" x14ac:dyDescent="0.25">
      <c r="A242" s="53">
        <v>241</v>
      </c>
      <c r="B242" s="54" t="s">
        <v>4773</v>
      </c>
      <c r="C242" s="11" t="s">
        <v>267</v>
      </c>
      <c r="D242" s="11" t="s">
        <v>5206</v>
      </c>
      <c r="E242" s="10" t="s">
        <v>5165</v>
      </c>
      <c r="F242" s="55" t="s">
        <v>533</v>
      </c>
      <c r="G242" s="153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5.75" customHeight="1" x14ac:dyDescent="0.25">
      <c r="A243" s="11">
        <v>242</v>
      </c>
      <c r="B243" s="54" t="s">
        <v>4774</v>
      </c>
      <c r="C243" s="11" t="s">
        <v>268</v>
      </c>
      <c r="D243" s="11" t="s">
        <v>5206</v>
      </c>
      <c r="E243" s="10" t="s">
        <v>5165</v>
      </c>
      <c r="F243" s="55" t="s">
        <v>533</v>
      </c>
      <c r="G243" s="153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5.75" customHeight="1" x14ac:dyDescent="0.25">
      <c r="A244" s="53">
        <v>243</v>
      </c>
      <c r="B244" s="54" t="s">
        <v>4775</v>
      </c>
      <c r="C244" s="11" t="s">
        <v>269</v>
      </c>
      <c r="D244" s="11" t="s">
        <v>5206</v>
      </c>
      <c r="E244" s="10" t="s">
        <v>5165</v>
      </c>
      <c r="F244" s="55" t="s">
        <v>533</v>
      </c>
      <c r="G244" s="153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5.75" customHeight="1" x14ac:dyDescent="0.25">
      <c r="A245" s="11">
        <v>244</v>
      </c>
      <c r="B245" s="54" t="s">
        <v>4776</v>
      </c>
      <c r="C245" s="11" t="s">
        <v>270</v>
      </c>
      <c r="D245" s="11" t="s">
        <v>5206</v>
      </c>
      <c r="E245" s="10" t="s">
        <v>5165</v>
      </c>
      <c r="F245" s="55" t="s">
        <v>533</v>
      </c>
      <c r="G245" s="153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5.75" customHeight="1" x14ac:dyDescent="0.25">
      <c r="A246" s="53">
        <v>245</v>
      </c>
      <c r="B246" s="54" t="s">
        <v>4777</v>
      </c>
      <c r="C246" s="11" t="s">
        <v>271</v>
      </c>
      <c r="D246" s="11" t="s">
        <v>5206</v>
      </c>
      <c r="E246" s="10" t="s">
        <v>5165</v>
      </c>
      <c r="F246" s="55" t="s">
        <v>533</v>
      </c>
      <c r="G246" s="153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5.75" customHeight="1" x14ac:dyDescent="0.25">
      <c r="A247" s="11">
        <v>246</v>
      </c>
      <c r="B247" s="54" t="s">
        <v>4778</v>
      </c>
      <c r="C247" s="59" t="s">
        <v>272</v>
      </c>
      <c r="D247" s="59" t="s">
        <v>5207</v>
      </c>
      <c r="E247" s="57" t="s">
        <v>5166</v>
      </c>
      <c r="F247" s="58" t="s">
        <v>533</v>
      </c>
      <c r="G247" s="153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5.75" customHeight="1" x14ac:dyDescent="0.25">
      <c r="A248" s="53">
        <v>247</v>
      </c>
      <c r="B248" s="54" t="s">
        <v>4779</v>
      </c>
      <c r="C248" s="59" t="s">
        <v>273</v>
      </c>
      <c r="D248" s="59" t="s">
        <v>5207</v>
      </c>
      <c r="E248" s="57" t="s">
        <v>5166</v>
      </c>
      <c r="F248" s="58" t="s">
        <v>533</v>
      </c>
      <c r="G248" s="153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5.75" customHeight="1" x14ac:dyDescent="0.25">
      <c r="A249" s="11">
        <v>248</v>
      </c>
      <c r="B249" s="54" t="s">
        <v>4780</v>
      </c>
      <c r="C249" s="59" t="s">
        <v>274</v>
      </c>
      <c r="D249" s="59" t="s">
        <v>5207</v>
      </c>
      <c r="E249" s="57" t="s">
        <v>5166</v>
      </c>
      <c r="F249" s="58" t="s">
        <v>533</v>
      </c>
      <c r="G249" s="153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5.75" customHeight="1" x14ac:dyDescent="0.25">
      <c r="A250" s="53">
        <v>249</v>
      </c>
      <c r="B250" s="54" t="s">
        <v>4781</v>
      </c>
      <c r="C250" s="59" t="s">
        <v>275</v>
      </c>
      <c r="D250" s="59" t="s">
        <v>5207</v>
      </c>
      <c r="E250" s="57" t="s">
        <v>5166</v>
      </c>
      <c r="F250" s="58" t="s">
        <v>533</v>
      </c>
      <c r="G250" s="153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5.75" customHeight="1" x14ac:dyDescent="0.25">
      <c r="A251" s="11">
        <v>250</v>
      </c>
      <c r="B251" s="54" t="s">
        <v>4782</v>
      </c>
      <c r="C251" s="59" t="s">
        <v>276</v>
      </c>
      <c r="D251" s="59" t="s">
        <v>5207</v>
      </c>
      <c r="E251" s="57" t="s">
        <v>5166</v>
      </c>
      <c r="F251" s="58" t="s">
        <v>533</v>
      </c>
      <c r="G251" s="153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5.75" customHeight="1" x14ac:dyDescent="0.25">
      <c r="A252" s="53">
        <v>251</v>
      </c>
      <c r="B252" s="54" t="s">
        <v>4783</v>
      </c>
      <c r="C252" s="59" t="s">
        <v>277</v>
      </c>
      <c r="D252" s="59" t="s">
        <v>5207</v>
      </c>
      <c r="E252" s="57" t="s">
        <v>5166</v>
      </c>
      <c r="F252" s="58" t="s">
        <v>533</v>
      </c>
      <c r="G252" s="153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5.75" customHeight="1" x14ac:dyDescent="0.25">
      <c r="A253" s="11">
        <v>252</v>
      </c>
      <c r="B253" s="54" t="s">
        <v>4784</v>
      </c>
      <c r="C253" s="59" t="s">
        <v>278</v>
      </c>
      <c r="D253" s="59" t="s">
        <v>5207</v>
      </c>
      <c r="E253" s="57" t="s">
        <v>5166</v>
      </c>
      <c r="F253" s="58" t="s">
        <v>533</v>
      </c>
      <c r="G253" s="153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5.75" customHeight="1" x14ac:dyDescent="0.25">
      <c r="A254" s="53">
        <v>253</v>
      </c>
      <c r="B254" s="54" t="s">
        <v>4785</v>
      </c>
      <c r="C254" s="59" t="s">
        <v>279</v>
      </c>
      <c r="D254" s="59" t="s">
        <v>5207</v>
      </c>
      <c r="E254" s="57" t="s">
        <v>5166</v>
      </c>
      <c r="F254" s="58" t="s">
        <v>533</v>
      </c>
      <c r="G254" s="153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5.75" customHeight="1" x14ac:dyDescent="0.25">
      <c r="A255" s="11">
        <v>254</v>
      </c>
      <c r="B255" s="92" t="s">
        <v>4786</v>
      </c>
      <c r="C255" s="93" t="s">
        <v>280</v>
      </c>
      <c r="D255" s="93" t="s">
        <v>5207</v>
      </c>
      <c r="E255" s="94" t="s">
        <v>5166</v>
      </c>
      <c r="F255" s="95" t="s">
        <v>534</v>
      </c>
      <c r="G255" s="153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5.75" customHeight="1" x14ac:dyDescent="0.25">
      <c r="A256" s="53">
        <v>255</v>
      </c>
      <c r="B256" s="54" t="s">
        <v>4787</v>
      </c>
      <c r="C256" s="59" t="s">
        <v>281</v>
      </c>
      <c r="D256" s="59" t="s">
        <v>5207</v>
      </c>
      <c r="E256" s="57" t="s">
        <v>5166</v>
      </c>
      <c r="F256" s="58" t="s">
        <v>533</v>
      </c>
      <c r="G256" s="153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5.75" customHeight="1" x14ac:dyDescent="0.25">
      <c r="A257" s="11">
        <v>256</v>
      </c>
      <c r="B257" s="54" t="s">
        <v>4788</v>
      </c>
      <c r="C257" s="59" t="s">
        <v>282</v>
      </c>
      <c r="D257" s="59" t="s">
        <v>5207</v>
      </c>
      <c r="E257" s="57" t="s">
        <v>5166</v>
      </c>
      <c r="F257" s="58" t="s">
        <v>533</v>
      </c>
      <c r="G257" s="153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5.75" customHeight="1" x14ac:dyDescent="0.25">
      <c r="A258" s="53">
        <v>257</v>
      </c>
      <c r="B258" s="54" t="s">
        <v>4789</v>
      </c>
      <c r="C258" s="59" t="s">
        <v>283</v>
      </c>
      <c r="D258" s="59" t="s">
        <v>5207</v>
      </c>
      <c r="E258" s="57" t="s">
        <v>5166</v>
      </c>
      <c r="F258" s="58" t="s">
        <v>533</v>
      </c>
      <c r="G258" s="153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5.75" customHeight="1" x14ac:dyDescent="0.25">
      <c r="A259" s="11">
        <v>258</v>
      </c>
      <c r="B259" s="54" t="s">
        <v>4790</v>
      </c>
      <c r="C259" s="59" t="s">
        <v>284</v>
      </c>
      <c r="D259" s="59" t="s">
        <v>5207</v>
      </c>
      <c r="E259" s="57" t="s">
        <v>5166</v>
      </c>
      <c r="F259" s="58" t="s">
        <v>533</v>
      </c>
      <c r="G259" s="153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5.75" customHeight="1" x14ac:dyDescent="0.25">
      <c r="A260" s="53">
        <v>259</v>
      </c>
      <c r="B260" s="54" t="s">
        <v>4791</v>
      </c>
      <c r="C260" s="59" t="s">
        <v>285</v>
      </c>
      <c r="D260" s="59" t="s">
        <v>5207</v>
      </c>
      <c r="E260" s="57" t="s">
        <v>5166</v>
      </c>
      <c r="F260" s="58" t="s">
        <v>533</v>
      </c>
      <c r="G260" s="153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5.75" customHeight="1" x14ac:dyDescent="0.25">
      <c r="A261" s="11">
        <v>260</v>
      </c>
      <c r="B261" s="54" t="s">
        <v>4792</v>
      </c>
      <c r="C261" s="59" t="s">
        <v>286</v>
      </c>
      <c r="D261" s="59" t="s">
        <v>5207</v>
      </c>
      <c r="E261" s="57" t="s">
        <v>5166</v>
      </c>
      <c r="F261" s="58" t="s">
        <v>533</v>
      </c>
      <c r="G261" s="153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5.75" customHeight="1" x14ac:dyDescent="0.25">
      <c r="A262" s="53">
        <v>261</v>
      </c>
      <c r="B262" s="54" t="s">
        <v>4793</v>
      </c>
      <c r="C262" s="59" t="s">
        <v>287</v>
      </c>
      <c r="D262" s="59" t="s">
        <v>5207</v>
      </c>
      <c r="E262" s="57" t="s">
        <v>5166</v>
      </c>
      <c r="F262" s="58" t="s">
        <v>533</v>
      </c>
      <c r="G262" s="153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5.75" customHeight="1" x14ac:dyDescent="0.25">
      <c r="A263" s="11">
        <v>262</v>
      </c>
      <c r="B263" s="54" t="s">
        <v>4794</v>
      </c>
      <c r="C263" s="59" t="s">
        <v>288</v>
      </c>
      <c r="D263" s="59" t="s">
        <v>5207</v>
      </c>
      <c r="E263" s="57" t="s">
        <v>5166</v>
      </c>
      <c r="F263" s="58" t="s">
        <v>533</v>
      </c>
      <c r="G263" s="153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5.75" customHeight="1" x14ac:dyDescent="0.25">
      <c r="A264" s="53">
        <v>263</v>
      </c>
      <c r="B264" s="54" t="s">
        <v>4795</v>
      </c>
      <c r="C264" s="59" t="s">
        <v>289</v>
      </c>
      <c r="D264" s="59" t="s">
        <v>5207</v>
      </c>
      <c r="E264" s="57" t="s">
        <v>5166</v>
      </c>
      <c r="F264" s="58" t="s">
        <v>533</v>
      </c>
      <c r="G264" s="153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5.75" customHeight="1" x14ac:dyDescent="0.25">
      <c r="A265" s="11">
        <v>264</v>
      </c>
      <c r="B265" s="54" t="s">
        <v>4796</v>
      </c>
      <c r="C265" s="59" t="s">
        <v>290</v>
      </c>
      <c r="D265" s="59" t="s">
        <v>5207</v>
      </c>
      <c r="E265" s="57" t="s">
        <v>5166</v>
      </c>
      <c r="F265" s="58" t="s">
        <v>533</v>
      </c>
      <c r="G265" s="153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5.75" customHeight="1" x14ac:dyDescent="0.25">
      <c r="A266" s="53">
        <v>265</v>
      </c>
      <c r="B266" s="54" t="s">
        <v>4797</v>
      </c>
      <c r="C266" s="59" t="s">
        <v>291</v>
      </c>
      <c r="D266" s="59" t="s">
        <v>5207</v>
      </c>
      <c r="E266" s="57" t="s">
        <v>5166</v>
      </c>
      <c r="F266" s="58" t="s">
        <v>533</v>
      </c>
      <c r="G266" s="153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5.75" customHeight="1" x14ac:dyDescent="0.25">
      <c r="A267" s="11">
        <v>266</v>
      </c>
      <c r="B267" s="54" t="s">
        <v>4798</v>
      </c>
      <c r="C267" s="59" t="s">
        <v>292</v>
      </c>
      <c r="D267" s="59" t="s">
        <v>5207</v>
      </c>
      <c r="E267" s="57" t="s">
        <v>5166</v>
      </c>
      <c r="F267" s="58" t="s">
        <v>533</v>
      </c>
      <c r="G267" s="153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5.75" customHeight="1" x14ac:dyDescent="0.25">
      <c r="A268" s="53">
        <v>267</v>
      </c>
      <c r="B268" s="92" t="s">
        <v>4799</v>
      </c>
      <c r="C268" s="93" t="s">
        <v>293</v>
      </c>
      <c r="D268" s="93" t="s">
        <v>5207</v>
      </c>
      <c r="E268" s="94" t="s">
        <v>5166</v>
      </c>
      <c r="F268" s="95" t="s">
        <v>534</v>
      </c>
      <c r="G268" s="153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5.75" customHeight="1" x14ac:dyDescent="0.25">
      <c r="A269" s="11">
        <v>268</v>
      </c>
      <c r="B269" s="54" t="s">
        <v>4800</v>
      </c>
      <c r="C269" s="59" t="s">
        <v>294</v>
      </c>
      <c r="D269" s="59" t="s">
        <v>5207</v>
      </c>
      <c r="E269" s="57" t="s">
        <v>5166</v>
      </c>
      <c r="F269" s="58" t="s">
        <v>533</v>
      </c>
      <c r="G269" s="153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5.75" customHeight="1" x14ac:dyDescent="0.25">
      <c r="A270" s="53">
        <v>269</v>
      </c>
      <c r="B270" s="54" t="s">
        <v>4801</v>
      </c>
      <c r="C270" s="59" t="s">
        <v>295</v>
      </c>
      <c r="D270" s="59" t="s">
        <v>5207</v>
      </c>
      <c r="E270" s="57" t="s">
        <v>5166</v>
      </c>
      <c r="F270" s="58" t="s">
        <v>533</v>
      </c>
      <c r="G270" s="153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5.75" customHeight="1" x14ac:dyDescent="0.25">
      <c r="A271" s="11">
        <v>270</v>
      </c>
      <c r="B271" s="54" t="s">
        <v>4802</v>
      </c>
      <c r="C271" s="59" t="s">
        <v>296</v>
      </c>
      <c r="D271" s="59" t="s">
        <v>5207</v>
      </c>
      <c r="E271" s="57" t="s">
        <v>5166</v>
      </c>
      <c r="F271" s="58" t="s">
        <v>533</v>
      </c>
      <c r="G271" s="153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5.75" customHeight="1" x14ac:dyDescent="0.25">
      <c r="A272" s="53">
        <v>271</v>
      </c>
      <c r="B272" s="54" t="s">
        <v>4803</v>
      </c>
      <c r="C272" s="59" t="s">
        <v>297</v>
      </c>
      <c r="D272" s="59" t="s">
        <v>5207</v>
      </c>
      <c r="E272" s="57" t="s">
        <v>5166</v>
      </c>
      <c r="F272" s="58" t="s">
        <v>533</v>
      </c>
      <c r="G272" s="153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5.75" customHeight="1" x14ac:dyDescent="0.25">
      <c r="A273" s="11">
        <v>272</v>
      </c>
      <c r="B273" s="54" t="s">
        <v>4804</v>
      </c>
      <c r="C273" s="59" t="s">
        <v>298</v>
      </c>
      <c r="D273" s="59" t="s">
        <v>5207</v>
      </c>
      <c r="E273" s="57" t="s">
        <v>5166</v>
      </c>
      <c r="F273" s="58" t="s">
        <v>533</v>
      </c>
      <c r="G273" s="153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5.75" customHeight="1" x14ac:dyDescent="0.25">
      <c r="A274" s="53">
        <v>273</v>
      </c>
      <c r="B274" s="54" t="s">
        <v>4805</v>
      </c>
      <c r="C274" s="59" t="s">
        <v>5093</v>
      </c>
      <c r="D274" s="59" t="s">
        <v>5207</v>
      </c>
      <c r="E274" s="57" t="s">
        <v>5166</v>
      </c>
      <c r="F274" s="58" t="s">
        <v>533</v>
      </c>
      <c r="G274" s="153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5.75" customHeight="1" x14ac:dyDescent="0.25">
      <c r="A275" s="11">
        <v>274</v>
      </c>
      <c r="B275" s="54" t="s">
        <v>4806</v>
      </c>
      <c r="C275" s="59" t="s">
        <v>299</v>
      </c>
      <c r="D275" s="59" t="s">
        <v>5207</v>
      </c>
      <c r="E275" s="57" t="s">
        <v>5166</v>
      </c>
      <c r="F275" s="58" t="s">
        <v>533</v>
      </c>
      <c r="G275" s="153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5.75" customHeight="1" x14ac:dyDescent="0.25">
      <c r="A276" s="53">
        <v>275</v>
      </c>
      <c r="B276" s="54" t="s">
        <v>4807</v>
      </c>
      <c r="C276" s="59" t="s">
        <v>300</v>
      </c>
      <c r="D276" s="59" t="s">
        <v>5207</v>
      </c>
      <c r="E276" s="57" t="s">
        <v>5166</v>
      </c>
      <c r="F276" s="58" t="s">
        <v>533</v>
      </c>
      <c r="G276" s="153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5.75" customHeight="1" x14ac:dyDescent="0.25">
      <c r="A277" s="11">
        <v>276</v>
      </c>
      <c r="B277" s="92" t="s">
        <v>4808</v>
      </c>
      <c r="C277" s="93" t="s">
        <v>301</v>
      </c>
      <c r="D277" s="93" t="s">
        <v>5207</v>
      </c>
      <c r="E277" s="94" t="s">
        <v>5166</v>
      </c>
      <c r="F277" s="95" t="s">
        <v>534</v>
      </c>
      <c r="G277" s="153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5.75" customHeight="1" x14ac:dyDescent="0.25">
      <c r="A278" s="53">
        <v>277</v>
      </c>
      <c r="B278" s="54" t="s">
        <v>4809</v>
      </c>
      <c r="C278" s="59" t="s">
        <v>302</v>
      </c>
      <c r="D278" s="59" t="s">
        <v>5207</v>
      </c>
      <c r="E278" s="57" t="s">
        <v>5166</v>
      </c>
      <c r="F278" s="58" t="s">
        <v>533</v>
      </c>
      <c r="G278" s="153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5.75" customHeight="1" x14ac:dyDescent="0.25">
      <c r="A279" s="11">
        <v>278</v>
      </c>
      <c r="B279" s="92" t="s">
        <v>4810</v>
      </c>
      <c r="C279" s="93" t="s">
        <v>303</v>
      </c>
      <c r="D279" s="93" t="s">
        <v>5207</v>
      </c>
      <c r="E279" s="94" t="s">
        <v>5166</v>
      </c>
      <c r="F279" s="95" t="s">
        <v>534</v>
      </c>
      <c r="G279" s="153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5.75" customHeight="1" x14ac:dyDescent="0.25">
      <c r="A280" s="53">
        <v>279</v>
      </c>
      <c r="B280" s="54" t="s">
        <v>4811</v>
      </c>
      <c r="C280" s="11" t="s">
        <v>304</v>
      </c>
      <c r="D280" s="11" t="s">
        <v>5198</v>
      </c>
      <c r="E280" s="10" t="s">
        <v>5167</v>
      </c>
      <c r="F280" s="55" t="s">
        <v>533</v>
      </c>
      <c r="G280" s="153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5.75" customHeight="1" x14ac:dyDescent="0.25">
      <c r="A281" s="11">
        <v>280</v>
      </c>
      <c r="B281" s="92" t="s">
        <v>4812</v>
      </c>
      <c r="C281" s="127" t="s">
        <v>305</v>
      </c>
      <c r="D281" s="127" t="s">
        <v>5198</v>
      </c>
      <c r="E281" s="128" t="s">
        <v>5167</v>
      </c>
      <c r="F281" s="129" t="s">
        <v>534</v>
      </c>
      <c r="G281" s="153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5.75" customHeight="1" x14ac:dyDescent="0.25">
      <c r="A282" s="53">
        <v>281</v>
      </c>
      <c r="B282" s="92" t="s">
        <v>4813</v>
      </c>
      <c r="C282" s="127" t="s">
        <v>5092</v>
      </c>
      <c r="D282" s="127" t="s">
        <v>5198</v>
      </c>
      <c r="E282" s="128" t="s">
        <v>5167</v>
      </c>
      <c r="F282" s="129" t="s">
        <v>534</v>
      </c>
      <c r="G282" s="153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5.75" customHeight="1" x14ac:dyDescent="0.25">
      <c r="A283" s="11">
        <v>282</v>
      </c>
      <c r="B283" s="54" t="s">
        <v>4814</v>
      </c>
      <c r="C283" s="11" t="s">
        <v>306</v>
      </c>
      <c r="D283" s="11" t="s">
        <v>5198</v>
      </c>
      <c r="E283" s="10" t="s">
        <v>5167</v>
      </c>
      <c r="F283" s="55" t="s">
        <v>533</v>
      </c>
      <c r="G283" s="153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5.75" customHeight="1" x14ac:dyDescent="0.25">
      <c r="A284" s="53">
        <v>283</v>
      </c>
      <c r="B284" s="54" t="s">
        <v>4815</v>
      </c>
      <c r="C284" s="11" t="s">
        <v>307</v>
      </c>
      <c r="D284" s="11" t="s">
        <v>5198</v>
      </c>
      <c r="E284" s="10" t="s">
        <v>5167</v>
      </c>
      <c r="F284" s="55" t="s">
        <v>533</v>
      </c>
      <c r="G284" s="153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5.75" customHeight="1" x14ac:dyDescent="0.25">
      <c r="A285" s="11">
        <v>284</v>
      </c>
      <c r="B285" s="54" t="s">
        <v>4816</v>
      </c>
      <c r="C285" s="67" t="s">
        <v>4524</v>
      </c>
      <c r="D285" s="11" t="s">
        <v>5198</v>
      </c>
      <c r="E285" s="10" t="s">
        <v>5167</v>
      </c>
      <c r="F285" s="55" t="s">
        <v>533</v>
      </c>
      <c r="G285" s="153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5.75" customHeight="1" x14ac:dyDescent="0.25">
      <c r="A286" s="53">
        <v>285</v>
      </c>
      <c r="B286" s="54" t="s">
        <v>4817</v>
      </c>
      <c r="C286" s="11" t="s">
        <v>308</v>
      </c>
      <c r="D286" s="11" t="s">
        <v>5198</v>
      </c>
      <c r="E286" s="10" t="s">
        <v>5167</v>
      </c>
      <c r="F286" s="55" t="s">
        <v>533</v>
      </c>
      <c r="G286" s="153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5.75" customHeight="1" x14ac:dyDescent="0.25">
      <c r="A287" s="11">
        <v>286</v>
      </c>
      <c r="B287" s="54" t="s">
        <v>4818</v>
      </c>
      <c r="C287" s="11" t="s">
        <v>309</v>
      </c>
      <c r="D287" s="11" t="s">
        <v>5198</v>
      </c>
      <c r="E287" s="10" t="s">
        <v>5167</v>
      </c>
      <c r="F287" s="55" t="s">
        <v>533</v>
      </c>
      <c r="G287" s="153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5.75" customHeight="1" x14ac:dyDescent="0.25">
      <c r="A288" s="53">
        <v>287</v>
      </c>
      <c r="B288" s="54" t="s">
        <v>4819</v>
      </c>
      <c r="C288" s="11" t="s">
        <v>310</v>
      </c>
      <c r="D288" s="11" t="s">
        <v>5198</v>
      </c>
      <c r="E288" s="10" t="s">
        <v>5167</v>
      </c>
      <c r="F288" s="55" t="s">
        <v>533</v>
      </c>
      <c r="G288" s="153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5.75" customHeight="1" x14ac:dyDescent="0.25">
      <c r="A289" s="11">
        <v>288</v>
      </c>
      <c r="B289" s="54" t="s">
        <v>4820</v>
      </c>
      <c r="C289" s="11" t="s">
        <v>311</v>
      </c>
      <c r="D289" s="11" t="s">
        <v>5198</v>
      </c>
      <c r="E289" s="10" t="s">
        <v>5167</v>
      </c>
      <c r="F289" s="55" t="s">
        <v>533</v>
      </c>
      <c r="G289" s="153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5.75" customHeight="1" x14ac:dyDescent="0.25">
      <c r="A290" s="53">
        <v>289</v>
      </c>
      <c r="B290" s="54" t="s">
        <v>4821</v>
      </c>
      <c r="C290" s="11" t="s">
        <v>312</v>
      </c>
      <c r="D290" s="11" t="s">
        <v>5198</v>
      </c>
      <c r="E290" s="10" t="s">
        <v>5167</v>
      </c>
      <c r="F290" s="55" t="s">
        <v>533</v>
      </c>
      <c r="G290" s="153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5.75" customHeight="1" x14ac:dyDescent="0.25">
      <c r="A291" s="11">
        <v>290</v>
      </c>
      <c r="B291" s="54" t="s">
        <v>4822</v>
      </c>
      <c r="C291" s="11" t="s">
        <v>313</v>
      </c>
      <c r="D291" s="11" t="s">
        <v>5198</v>
      </c>
      <c r="E291" s="10" t="s">
        <v>5167</v>
      </c>
      <c r="F291" s="55" t="s">
        <v>533</v>
      </c>
      <c r="G291" s="153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5.75" customHeight="1" x14ac:dyDescent="0.25">
      <c r="A292" s="53">
        <v>291</v>
      </c>
      <c r="B292" s="54" t="s">
        <v>4823</v>
      </c>
      <c r="C292" s="11" t="s">
        <v>315</v>
      </c>
      <c r="D292" s="11" t="s">
        <v>5198</v>
      </c>
      <c r="E292" s="10" t="s">
        <v>5167</v>
      </c>
      <c r="F292" s="55" t="s">
        <v>533</v>
      </c>
      <c r="G292" s="153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5.75" customHeight="1" x14ac:dyDescent="0.25">
      <c r="A293" s="11">
        <v>292</v>
      </c>
      <c r="B293" s="54" t="s">
        <v>4824</v>
      </c>
      <c r="C293" s="11" t="s">
        <v>316</v>
      </c>
      <c r="D293" s="11" t="s">
        <v>5198</v>
      </c>
      <c r="E293" s="10" t="s">
        <v>5167</v>
      </c>
      <c r="F293" s="55" t="s">
        <v>533</v>
      </c>
      <c r="G293" s="153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5.75" customHeight="1" x14ac:dyDescent="0.25">
      <c r="A294" s="53">
        <v>293</v>
      </c>
      <c r="B294" s="54" t="s">
        <v>4825</v>
      </c>
      <c r="C294" s="11" t="s">
        <v>317</v>
      </c>
      <c r="D294" s="11" t="s">
        <v>5198</v>
      </c>
      <c r="E294" s="10" t="s">
        <v>5167</v>
      </c>
      <c r="F294" s="55" t="s">
        <v>533</v>
      </c>
      <c r="G294" s="153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5.75" customHeight="1" x14ac:dyDescent="0.25">
      <c r="A295" s="11">
        <v>294</v>
      </c>
      <c r="B295" s="54" t="s">
        <v>4826</v>
      </c>
      <c r="C295" s="11" t="s">
        <v>318</v>
      </c>
      <c r="D295" s="11" t="s">
        <v>5198</v>
      </c>
      <c r="E295" s="10" t="s">
        <v>5167</v>
      </c>
      <c r="F295" s="55" t="s">
        <v>533</v>
      </c>
      <c r="G295" s="153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5.75" customHeight="1" x14ac:dyDescent="0.25">
      <c r="A296" s="53">
        <v>295</v>
      </c>
      <c r="B296" s="54" t="s">
        <v>4827</v>
      </c>
      <c r="C296" s="11" t="s">
        <v>319</v>
      </c>
      <c r="D296" s="11" t="s">
        <v>5198</v>
      </c>
      <c r="E296" s="10" t="s">
        <v>5167</v>
      </c>
      <c r="F296" s="55" t="s">
        <v>533</v>
      </c>
      <c r="G296" s="153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5.75" customHeight="1" x14ac:dyDescent="0.25">
      <c r="A297" s="11">
        <v>296</v>
      </c>
      <c r="B297" s="54" t="s">
        <v>4828</v>
      </c>
      <c r="C297" s="11" t="s">
        <v>320</v>
      </c>
      <c r="D297" s="11" t="s">
        <v>5198</v>
      </c>
      <c r="E297" s="10" t="s">
        <v>5167</v>
      </c>
      <c r="F297" s="55" t="s">
        <v>533</v>
      </c>
      <c r="G297" s="153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5.75" customHeight="1" x14ac:dyDescent="0.25">
      <c r="A298" s="53">
        <v>297</v>
      </c>
      <c r="B298" s="54" t="s">
        <v>4829</v>
      </c>
      <c r="C298" s="11" t="s">
        <v>321</v>
      </c>
      <c r="D298" s="11" t="s">
        <v>5198</v>
      </c>
      <c r="E298" s="10" t="s">
        <v>5167</v>
      </c>
      <c r="F298" s="55" t="s">
        <v>533</v>
      </c>
      <c r="G298" s="153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5.75" customHeight="1" x14ac:dyDescent="0.25">
      <c r="A299" s="11">
        <v>298</v>
      </c>
      <c r="B299" s="54" t="s">
        <v>4830</v>
      </c>
      <c r="C299" s="11" t="s">
        <v>322</v>
      </c>
      <c r="D299" s="11" t="s">
        <v>5198</v>
      </c>
      <c r="E299" s="10" t="s">
        <v>5167</v>
      </c>
      <c r="F299" s="55" t="s">
        <v>533</v>
      </c>
      <c r="G299" s="153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5.75" customHeight="1" x14ac:dyDescent="0.25">
      <c r="A300" s="53">
        <v>299</v>
      </c>
      <c r="B300" s="54" t="s">
        <v>4831</v>
      </c>
      <c r="C300" s="11" t="s">
        <v>323</v>
      </c>
      <c r="D300" s="11" t="s">
        <v>5198</v>
      </c>
      <c r="E300" s="10" t="s">
        <v>5167</v>
      </c>
      <c r="F300" s="55" t="s">
        <v>533</v>
      </c>
      <c r="G300" s="153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5.75" customHeight="1" x14ac:dyDescent="0.25">
      <c r="A301" s="11">
        <v>300</v>
      </c>
      <c r="B301" s="92" t="s">
        <v>4832</v>
      </c>
      <c r="C301" s="127" t="s">
        <v>324</v>
      </c>
      <c r="D301" s="127" t="s">
        <v>5198</v>
      </c>
      <c r="E301" s="128" t="s">
        <v>5167</v>
      </c>
      <c r="F301" s="129" t="s">
        <v>534</v>
      </c>
      <c r="G301" s="153" t="s">
        <v>5139</v>
      </c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5.75" customHeight="1" x14ac:dyDescent="0.25">
      <c r="A302" s="53">
        <v>301</v>
      </c>
      <c r="B302" s="54" t="s">
        <v>4833</v>
      </c>
      <c r="C302" s="11" t="s">
        <v>325</v>
      </c>
      <c r="D302" s="11" t="s">
        <v>5198</v>
      </c>
      <c r="E302" s="10" t="s">
        <v>5167</v>
      </c>
      <c r="F302" s="55" t="s">
        <v>533</v>
      </c>
      <c r="G302" s="153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5.75" customHeight="1" x14ac:dyDescent="0.25">
      <c r="A303" s="11">
        <v>302</v>
      </c>
      <c r="B303" s="54" t="s">
        <v>4834</v>
      </c>
      <c r="C303" s="11" t="s">
        <v>326</v>
      </c>
      <c r="D303" s="11" t="s">
        <v>5198</v>
      </c>
      <c r="E303" s="10" t="s">
        <v>5167</v>
      </c>
      <c r="F303" s="55" t="s">
        <v>533</v>
      </c>
      <c r="G303" s="153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5.75" customHeight="1" x14ac:dyDescent="0.25">
      <c r="A304" s="53">
        <v>303</v>
      </c>
      <c r="B304" s="54" t="s">
        <v>4835</v>
      </c>
      <c r="C304" s="11" t="s">
        <v>327</v>
      </c>
      <c r="D304" s="11" t="s">
        <v>5198</v>
      </c>
      <c r="E304" s="10" t="s">
        <v>5167</v>
      </c>
      <c r="F304" s="55" t="s">
        <v>533</v>
      </c>
      <c r="G304" s="153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5.75" customHeight="1" x14ac:dyDescent="0.25">
      <c r="A305" s="11">
        <v>304</v>
      </c>
      <c r="B305" s="54" t="s">
        <v>4836</v>
      </c>
      <c r="C305" s="11" t="s">
        <v>328</v>
      </c>
      <c r="D305" s="11" t="s">
        <v>5198</v>
      </c>
      <c r="E305" s="10" t="s">
        <v>5167</v>
      </c>
      <c r="F305" s="55" t="s">
        <v>533</v>
      </c>
      <c r="G305" s="153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5.75" customHeight="1" x14ac:dyDescent="0.25">
      <c r="A306" s="53">
        <v>305</v>
      </c>
      <c r="B306" s="54" t="s">
        <v>4837</v>
      </c>
      <c r="C306" s="11" t="s">
        <v>329</v>
      </c>
      <c r="D306" s="11" t="s">
        <v>5198</v>
      </c>
      <c r="E306" s="10" t="s">
        <v>5167</v>
      </c>
      <c r="F306" s="55" t="s">
        <v>533</v>
      </c>
      <c r="G306" s="153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5.75" customHeight="1" x14ac:dyDescent="0.25">
      <c r="A307" s="11">
        <v>306</v>
      </c>
      <c r="B307" s="92" t="s">
        <v>4838</v>
      </c>
      <c r="C307" s="127" t="s">
        <v>5091</v>
      </c>
      <c r="D307" s="127" t="s">
        <v>5198</v>
      </c>
      <c r="E307" s="128" t="s">
        <v>5167</v>
      </c>
      <c r="F307" s="129" t="s">
        <v>534</v>
      </c>
      <c r="G307" s="153" t="s">
        <v>5139</v>
      </c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5.75" customHeight="1" x14ac:dyDescent="0.25">
      <c r="A308" s="53">
        <v>307</v>
      </c>
      <c r="B308" s="54" t="s">
        <v>4839</v>
      </c>
      <c r="C308" s="11" t="s">
        <v>330</v>
      </c>
      <c r="D308" s="11" t="s">
        <v>5198</v>
      </c>
      <c r="E308" s="10" t="s">
        <v>5167</v>
      </c>
      <c r="F308" s="55" t="s">
        <v>533</v>
      </c>
      <c r="G308" s="153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5.75" customHeight="1" x14ac:dyDescent="0.25">
      <c r="A309" s="11">
        <v>308</v>
      </c>
      <c r="B309" s="54" t="s">
        <v>4840</v>
      </c>
      <c r="C309" s="75" t="s">
        <v>331</v>
      </c>
      <c r="D309" s="11" t="s">
        <v>5198</v>
      </c>
      <c r="E309" s="10" t="s">
        <v>5167</v>
      </c>
      <c r="F309" s="55" t="s">
        <v>533</v>
      </c>
      <c r="G309" s="153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5.75" customHeight="1" x14ac:dyDescent="0.25">
      <c r="A310" s="53">
        <v>309</v>
      </c>
      <c r="B310" s="54" t="s">
        <v>4841</v>
      </c>
      <c r="C310" s="11" t="s">
        <v>332</v>
      </c>
      <c r="D310" s="11" t="s">
        <v>5198</v>
      </c>
      <c r="E310" s="10" t="s">
        <v>5167</v>
      </c>
      <c r="F310" s="55" t="s">
        <v>533</v>
      </c>
      <c r="G310" s="153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5.75" customHeight="1" x14ac:dyDescent="0.25">
      <c r="A311" s="11">
        <v>310</v>
      </c>
      <c r="B311" s="54" t="s">
        <v>4842</v>
      </c>
      <c r="C311" s="11" t="s">
        <v>333</v>
      </c>
      <c r="D311" s="11" t="s">
        <v>5198</v>
      </c>
      <c r="E311" s="10" t="s">
        <v>5167</v>
      </c>
      <c r="F311" s="55" t="s">
        <v>533</v>
      </c>
      <c r="G311" s="153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5.75" customHeight="1" x14ac:dyDescent="0.25">
      <c r="A312" s="53">
        <v>311</v>
      </c>
      <c r="B312" s="54" t="s">
        <v>4843</v>
      </c>
      <c r="C312" s="11" t="s">
        <v>334</v>
      </c>
      <c r="D312" s="11" t="s">
        <v>5198</v>
      </c>
      <c r="E312" s="10" t="s">
        <v>5167</v>
      </c>
      <c r="F312" s="55" t="s">
        <v>533</v>
      </c>
      <c r="G312" s="153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5.75" customHeight="1" x14ac:dyDescent="0.25">
      <c r="A313" s="11">
        <v>312</v>
      </c>
      <c r="B313" s="54" t="s">
        <v>4844</v>
      </c>
      <c r="C313" s="11" t="s">
        <v>335</v>
      </c>
      <c r="D313" s="11" t="s">
        <v>5198</v>
      </c>
      <c r="E313" s="10" t="s">
        <v>5167</v>
      </c>
      <c r="F313" s="55" t="s">
        <v>533</v>
      </c>
      <c r="G313" s="153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5.75" customHeight="1" x14ac:dyDescent="0.25">
      <c r="A314" s="53">
        <v>313</v>
      </c>
      <c r="B314" s="54" t="s">
        <v>4845</v>
      </c>
      <c r="C314" s="11" t="s">
        <v>336</v>
      </c>
      <c r="D314" s="11" t="s">
        <v>5198</v>
      </c>
      <c r="E314" s="10" t="s">
        <v>5167</v>
      </c>
      <c r="F314" s="55" t="s">
        <v>533</v>
      </c>
      <c r="G314" s="153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5.75" customHeight="1" x14ac:dyDescent="0.25">
      <c r="A315" s="11">
        <v>314</v>
      </c>
      <c r="B315" s="54" t="s">
        <v>4846</v>
      </c>
      <c r="C315" s="11" t="s">
        <v>337</v>
      </c>
      <c r="D315" s="11" t="s">
        <v>5198</v>
      </c>
      <c r="E315" s="10" t="s">
        <v>5167</v>
      </c>
      <c r="F315" s="55" t="s">
        <v>533</v>
      </c>
      <c r="G315" s="153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5.75" customHeight="1" x14ac:dyDescent="0.25">
      <c r="A316" s="53">
        <v>315</v>
      </c>
      <c r="B316" s="54" t="s">
        <v>4847</v>
      </c>
      <c r="C316" s="11" t="s">
        <v>338</v>
      </c>
      <c r="D316" s="11" t="s">
        <v>5198</v>
      </c>
      <c r="E316" s="10" t="s">
        <v>5167</v>
      </c>
      <c r="F316" s="55" t="s">
        <v>533</v>
      </c>
      <c r="G316" s="153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5.75" customHeight="1" x14ac:dyDescent="0.25">
      <c r="A317" s="11">
        <v>316</v>
      </c>
      <c r="B317" s="54" t="s">
        <v>4848</v>
      </c>
      <c r="C317" s="59" t="s">
        <v>339</v>
      </c>
      <c r="D317" s="59" t="s">
        <v>5199</v>
      </c>
      <c r="E317" s="57" t="s">
        <v>5168</v>
      </c>
      <c r="F317" s="58" t="s">
        <v>533</v>
      </c>
      <c r="G317" s="153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5.75" customHeight="1" x14ac:dyDescent="0.25">
      <c r="A318" s="53">
        <v>317</v>
      </c>
      <c r="B318" s="54" t="s">
        <v>4849</v>
      </c>
      <c r="C318" s="59" t="s">
        <v>340</v>
      </c>
      <c r="D318" s="59" t="s">
        <v>5199</v>
      </c>
      <c r="E318" s="57" t="s">
        <v>5168</v>
      </c>
      <c r="F318" s="58" t="s">
        <v>533</v>
      </c>
      <c r="G318" s="153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5.75" customHeight="1" x14ac:dyDescent="0.25">
      <c r="A319" s="11">
        <v>318</v>
      </c>
      <c r="B319" s="54" t="s">
        <v>4850</v>
      </c>
      <c r="C319" s="59" t="s">
        <v>341</v>
      </c>
      <c r="D319" s="59" t="s">
        <v>5199</v>
      </c>
      <c r="E319" s="57" t="s">
        <v>5168</v>
      </c>
      <c r="F319" s="58" t="s">
        <v>533</v>
      </c>
      <c r="G319" s="153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5.75" customHeight="1" x14ac:dyDescent="0.25">
      <c r="A320" s="53">
        <v>319</v>
      </c>
      <c r="B320" s="54" t="s">
        <v>4851</v>
      </c>
      <c r="C320" s="59" t="s">
        <v>1717</v>
      </c>
      <c r="D320" s="59" t="s">
        <v>5199</v>
      </c>
      <c r="E320" s="57" t="s">
        <v>5168</v>
      </c>
      <c r="F320" s="58" t="s">
        <v>533</v>
      </c>
      <c r="G320" s="153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5.75" customHeight="1" x14ac:dyDescent="0.25">
      <c r="A321" s="11">
        <v>320</v>
      </c>
      <c r="B321" s="54" t="s">
        <v>4852</v>
      </c>
      <c r="C321" s="59" t="s">
        <v>342</v>
      </c>
      <c r="D321" s="59" t="s">
        <v>5199</v>
      </c>
      <c r="E321" s="57" t="s">
        <v>5168</v>
      </c>
      <c r="F321" s="58" t="s">
        <v>533</v>
      </c>
      <c r="G321" s="153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5.75" customHeight="1" x14ac:dyDescent="0.25">
      <c r="A322" s="53">
        <v>321</v>
      </c>
      <c r="B322" s="92" t="s">
        <v>4853</v>
      </c>
      <c r="C322" s="93" t="s">
        <v>343</v>
      </c>
      <c r="D322" s="93" t="s">
        <v>5199</v>
      </c>
      <c r="E322" s="94" t="s">
        <v>5168</v>
      </c>
      <c r="F322" s="95" t="s">
        <v>534</v>
      </c>
      <c r="G322" s="153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5.75" customHeight="1" x14ac:dyDescent="0.25">
      <c r="A323" s="11">
        <v>322</v>
      </c>
      <c r="B323" s="54" t="s">
        <v>4854</v>
      </c>
      <c r="C323" s="59" t="s">
        <v>344</v>
      </c>
      <c r="D323" s="59" t="s">
        <v>5199</v>
      </c>
      <c r="E323" s="57" t="s">
        <v>5168</v>
      </c>
      <c r="F323" s="58" t="s">
        <v>533</v>
      </c>
      <c r="G323" s="153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5.75" customHeight="1" x14ac:dyDescent="0.25">
      <c r="A324" s="53">
        <v>323</v>
      </c>
      <c r="B324" s="54" t="s">
        <v>4855</v>
      </c>
      <c r="C324" s="59" t="s">
        <v>345</v>
      </c>
      <c r="D324" s="59" t="s">
        <v>5199</v>
      </c>
      <c r="E324" s="57" t="s">
        <v>5168</v>
      </c>
      <c r="F324" s="58" t="s">
        <v>533</v>
      </c>
      <c r="G324" s="153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5.75" customHeight="1" x14ac:dyDescent="0.25">
      <c r="A325" s="11">
        <v>324</v>
      </c>
      <c r="B325" s="54" t="s">
        <v>4856</v>
      </c>
      <c r="C325" s="59" t="s">
        <v>5055</v>
      </c>
      <c r="D325" s="59" t="s">
        <v>5199</v>
      </c>
      <c r="E325" s="57" t="s">
        <v>5168</v>
      </c>
      <c r="F325" s="58" t="s">
        <v>533</v>
      </c>
      <c r="G325" s="153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5.75" customHeight="1" x14ac:dyDescent="0.25">
      <c r="A326" s="53">
        <v>325</v>
      </c>
      <c r="B326" s="54" t="s">
        <v>4857</v>
      </c>
      <c r="C326" s="59" t="s">
        <v>5054</v>
      </c>
      <c r="D326" s="59" t="s">
        <v>5199</v>
      </c>
      <c r="E326" s="57" t="s">
        <v>5168</v>
      </c>
      <c r="F326" s="58" t="s">
        <v>533</v>
      </c>
      <c r="G326" s="153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5.75" customHeight="1" x14ac:dyDescent="0.25">
      <c r="A327" s="11">
        <v>326</v>
      </c>
      <c r="B327" s="92" t="s">
        <v>4858</v>
      </c>
      <c r="C327" s="93" t="s">
        <v>346</v>
      </c>
      <c r="D327" s="93" t="s">
        <v>5199</v>
      </c>
      <c r="E327" s="94" t="s">
        <v>5168</v>
      </c>
      <c r="F327" s="95" t="s">
        <v>534</v>
      </c>
      <c r="G327" s="153" t="s">
        <v>5139</v>
      </c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5.75" customHeight="1" x14ac:dyDescent="0.25">
      <c r="A328" s="53">
        <v>327</v>
      </c>
      <c r="B328" s="92" t="s">
        <v>4859</v>
      </c>
      <c r="C328" s="93" t="s">
        <v>347</v>
      </c>
      <c r="D328" s="93" t="s">
        <v>5199</v>
      </c>
      <c r="E328" s="94" t="s">
        <v>5168</v>
      </c>
      <c r="F328" s="95" t="s">
        <v>534</v>
      </c>
      <c r="G328" s="153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5.75" customHeight="1" x14ac:dyDescent="0.25">
      <c r="A329" s="11">
        <v>328</v>
      </c>
      <c r="B329" s="54" t="s">
        <v>4860</v>
      </c>
      <c r="C329" s="59" t="s">
        <v>348</v>
      </c>
      <c r="D329" s="59" t="s">
        <v>5199</v>
      </c>
      <c r="E329" s="57" t="s">
        <v>5168</v>
      </c>
      <c r="F329" s="58" t="s">
        <v>533</v>
      </c>
      <c r="G329" s="153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5.75" customHeight="1" x14ac:dyDescent="0.25">
      <c r="A330" s="53">
        <v>329</v>
      </c>
      <c r="B330" s="54" t="s">
        <v>4861</v>
      </c>
      <c r="C330" s="59" t="s">
        <v>349</v>
      </c>
      <c r="D330" s="59" t="s">
        <v>5199</v>
      </c>
      <c r="E330" s="57" t="s">
        <v>5168</v>
      </c>
      <c r="F330" s="58" t="s">
        <v>533</v>
      </c>
      <c r="G330" s="153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5.75" customHeight="1" x14ac:dyDescent="0.25">
      <c r="A331" s="11">
        <v>330</v>
      </c>
      <c r="B331" s="54" t="s">
        <v>4862</v>
      </c>
      <c r="C331" s="59" t="s">
        <v>350</v>
      </c>
      <c r="D331" s="59" t="s">
        <v>5199</v>
      </c>
      <c r="E331" s="57" t="s">
        <v>5168</v>
      </c>
      <c r="F331" s="58" t="s">
        <v>533</v>
      </c>
      <c r="G331" s="153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5.75" customHeight="1" x14ac:dyDescent="0.25">
      <c r="A332" s="53">
        <v>331</v>
      </c>
      <c r="B332" s="92" t="s">
        <v>4863</v>
      </c>
      <c r="C332" s="93" t="s">
        <v>351</v>
      </c>
      <c r="D332" s="93" t="s">
        <v>5199</v>
      </c>
      <c r="E332" s="94" t="s">
        <v>5168</v>
      </c>
      <c r="F332" s="95" t="s">
        <v>534</v>
      </c>
      <c r="G332" s="153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5.75" customHeight="1" x14ac:dyDescent="0.25">
      <c r="A333" s="11">
        <v>332</v>
      </c>
      <c r="B333" s="54" t="s">
        <v>4864</v>
      </c>
      <c r="C333" s="59" t="s">
        <v>352</v>
      </c>
      <c r="D333" s="59" t="s">
        <v>5199</v>
      </c>
      <c r="E333" s="57" t="s">
        <v>5168</v>
      </c>
      <c r="F333" s="58" t="s">
        <v>533</v>
      </c>
      <c r="G333" s="153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5.75" customHeight="1" x14ac:dyDescent="0.25">
      <c r="A334" s="53">
        <v>333</v>
      </c>
      <c r="B334" s="54" t="s">
        <v>4865</v>
      </c>
      <c r="C334" s="59" t="s">
        <v>353</v>
      </c>
      <c r="D334" s="59" t="s">
        <v>5199</v>
      </c>
      <c r="E334" s="57" t="s">
        <v>5168</v>
      </c>
      <c r="F334" s="58" t="s">
        <v>533</v>
      </c>
      <c r="G334" s="153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5.75" customHeight="1" x14ac:dyDescent="0.25">
      <c r="A335" s="11">
        <v>334</v>
      </c>
      <c r="B335" s="54" t="s">
        <v>4866</v>
      </c>
      <c r="C335" s="59" t="s">
        <v>354</v>
      </c>
      <c r="D335" s="59" t="s">
        <v>5199</v>
      </c>
      <c r="E335" s="57" t="s">
        <v>5168</v>
      </c>
      <c r="F335" s="58" t="s">
        <v>533</v>
      </c>
      <c r="G335" s="153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5.75" customHeight="1" x14ac:dyDescent="0.25">
      <c r="A336" s="53">
        <v>335</v>
      </c>
      <c r="B336" s="54" t="s">
        <v>4867</v>
      </c>
      <c r="C336" s="59" t="s">
        <v>355</v>
      </c>
      <c r="D336" s="59" t="s">
        <v>5199</v>
      </c>
      <c r="E336" s="57" t="s">
        <v>5168</v>
      </c>
      <c r="F336" s="58" t="s">
        <v>533</v>
      </c>
      <c r="G336" s="153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5.75" customHeight="1" x14ac:dyDescent="0.25">
      <c r="A337" s="11">
        <v>336</v>
      </c>
      <c r="B337" s="54" t="s">
        <v>4868</v>
      </c>
      <c r="C337" s="59" t="s">
        <v>356</v>
      </c>
      <c r="D337" s="59" t="s">
        <v>5199</v>
      </c>
      <c r="E337" s="57" t="s">
        <v>5168</v>
      </c>
      <c r="F337" s="58" t="s">
        <v>533</v>
      </c>
      <c r="G337" s="153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5.75" customHeight="1" x14ac:dyDescent="0.25">
      <c r="A338" s="53">
        <v>337</v>
      </c>
      <c r="B338" s="54" t="s">
        <v>4869</v>
      </c>
      <c r="C338" s="59" t="s">
        <v>357</v>
      </c>
      <c r="D338" s="59" t="s">
        <v>5199</v>
      </c>
      <c r="E338" s="57" t="s">
        <v>5168</v>
      </c>
      <c r="F338" s="58" t="s">
        <v>533</v>
      </c>
      <c r="G338" s="153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5.75" customHeight="1" x14ac:dyDescent="0.25">
      <c r="A339" s="11">
        <v>338</v>
      </c>
      <c r="B339" s="54" t="s">
        <v>4870</v>
      </c>
      <c r="C339" s="59" t="s">
        <v>358</v>
      </c>
      <c r="D339" s="59" t="s">
        <v>5199</v>
      </c>
      <c r="E339" s="57" t="s">
        <v>5168</v>
      </c>
      <c r="F339" s="58" t="s">
        <v>533</v>
      </c>
      <c r="G339" s="153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5.75" customHeight="1" x14ac:dyDescent="0.25">
      <c r="A340" s="53">
        <v>339</v>
      </c>
      <c r="B340" s="54" t="s">
        <v>4871</v>
      </c>
      <c r="C340" s="59" t="s">
        <v>359</v>
      </c>
      <c r="D340" s="59" t="s">
        <v>5199</v>
      </c>
      <c r="E340" s="57" t="s">
        <v>5168</v>
      </c>
      <c r="F340" s="58" t="s">
        <v>533</v>
      </c>
      <c r="G340" s="153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5.75" customHeight="1" x14ac:dyDescent="0.25">
      <c r="A341" s="11">
        <v>340</v>
      </c>
      <c r="B341" s="54" t="s">
        <v>4872</v>
      </c>
      <c r="C341" s="59" t="s">
        <v>360</v>
      </c>
      <c r="D341" s="59" t="s">
        <v>5199</v>
      </c>
      <c r="E341" s="57" t="s">
        <v>5168</v>
      </c>
      <c r="F341" s="58" t="s">
        <v>533</v>
      </c>
      <c r="G341" s="153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5.75" customHeight="1" x14ac:dyDescent="0.25">
      <c r="A342" s="53">
        <v>341</v>
      </c>
      <c r="B342" s="54" t="s">
        <v>4873</v>
      </c>
      <c r="C342" s="59" t="s">
        <v>361</v>
      </c>
      <c r="D342" s="59" t="s">
        <v>5199</v>
      </c>
      <c r="E342" s="57" t="s">
        <v>5168</v>
      </c>
      <c r="F342" s="58" t="s">
        <v>533</v>
      </c>
      <c r="G342" s="153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5.75" customHeight="1" x14ac:dyDescent="0.25">
      <c r="A343" s="11">
        <v>342</v>
      </c>
      <c r="B343" s="92" t="s">
        <v>4874</v>
      </c>
      <c r="C343" s="93" t="s">
        <v>396</v>
      </c>
      <c r="D343" s="93" t="s">
        <v>5199</v>
      </c>
      <c r="E343" s="94" t="s">
        <v>5168</v>
      </c>
      <c r="F343" s="95" t="s">
        <v>534</v>
      </c>
      <c r="G343" s="153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5.75" customHeight="1" x14ac:dyDescent="0.25">
      <c r="A344" s="53">
        <v>343</v>
      </c>
      <c r="B344" s="54" t="s">
        <v>4875</v>
      </c>
      <c r="C344" s="59" t="s">
        <v>362</v>
      </c>
      <c r="D344" s="59" t="s">
        <v>5199</v>
      </c>
      <c r="E344" s="57" t="s">
        <v>5168</v>
      </c>
      <c r="F344" s="58" t="s">
        <v>533</v>
      </c>
      <c r="G344" s="153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5.75" customHeight="1" x14ac:dyDescent="0.25">
      <c r="A345" s="11">
        <v>344</v>
      </c>
      <c r="B345" s="54" t="s">
        <v>4876</v>
      </c>
      <c r="C345" s="59" t="s">
        <v>363</v>
      </c>
      <c r="D345" s="59" t="s">
        <v>5199</v>
      </c>
      <c r="E345" s="57" t="s">
        <v>5168</v>
      </c>
      <c r="F345" s="58" t="s">
        <v>533</v>
      </c>
      <c r="G345" s="153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5.75" customHeight="1" x14ac:dyDescent="0.25">
      <c r="A346" s="53">
        <v>345</v>
      </c>
      <c r="B346" s="54" t="s">
        <v>4877</v>
      </c>
      <c r="C346" s="59" t="s">
        <v>5053</v>
      </c>
      <c r="D346" s="59" t="s">
        <v>5199</v>
      </c>
      <c r="E346" s="57" t="s">
        <v>5168</v>
      </c>
      <c r="F346" s="58" t="s">
        <v>533</v>
      </c>
      <c r="G346" s="153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5.75" customHeight="1" x14ac:dyDescent="0.25">
      <c r="A347" s="11">
        <v>346</v>
      </c>
      <c r="B347" s="54" t="s">
        <v>4878</v>
      </c>
      <c r="C347" s="59" t="s">
        <v>364</v>
      </c>
      <c r="D347" s="59" t="s">
        <v>5199</v>
      </c>
      <c r="E347" s="57" t="s">
        <v>5168</v>
      </c>
      <c r="F347" s="58" t="s">
        <v>533</v>
      </c>
      <c r="G347" s="153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5.75" customHeight="1" x14ac:dyDescent="0.25">
      <c r="A348" s="53">
        <v>347</v>
      </c>
      <c r="B348" s="54" t="s">
        <v>4879</v>
      </c>
      <c r="C348" s="59" t="s">
        <v>365</v>
      </c>
      <c r="D348" s="59" t="s">
        <v>5199</v>
      </c>
      <c r="E348" s="57" t="s">
        <v>5168</v>
      </c>
      <c r="F348" s="58" t="s">
        <v>533</v>
      </c>
      <c r="G348" s="153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5.75" customHeight="1" x14ac:dyDescent="0.25">
      <c r="A349" s="11">
        <v>348</v>
      </c>
      <c r="B349" s="54" t="s">
        <v>4880</v>
      </c>
      <c r="C349" s="59" t="s">
        <v>366</v>
      </c>
      <c r="D349" s="59" t="s">
        <v>5199</v>
      </c>
      <c r="E349" s="57" t="s">
        <v>5168</v>
      </c>
      <c r="F349" s="58" t="s">
        <v>533</v>
      </c>
      <c r="G349" s="153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5.75" customHeight="1" x14ac:dyDescent="0.25">
      <c r="A350" s="53">
        <v>349</v>
      </c>
      <c r="B350" s="54" t="s">
        <v>4881</v>
      </c>
      <c r="C350" s="59" t="s">
        <v>367</v>
      </c>
      <c r="D350" s="59" t="s">
        <v>5199</v>
      </c>
      <c r="E350" s="57" t="s">
        <v>5168</v>
      </c>
      <c r="F350" s="58" t="s">
        <v>533</v>
      </c>
      <c r="G350" s="153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5.75" customHeight="1" x14ac:dyDescent="0.25">
      <c r="A351" s="11">
        <v>350</v>
      </c>
      <c r="B351" s="54" t="s">
        <v>4882</v>
      </c>
      <c r="C351" s="59" t="s">
        <v>368</v>
      </c>
      <c r="D351" s="59" t="s">
        <v>5199</v>
      </c>
      <c r="E351" s="57" t="s">
        <v>5168</v>
      </c>
      <c r="F351" s="58" t="s">
        <v>533</v>
      </c>
      <c r="G351" s="153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5.75" customHeight="1" x14ac:dyDescent="0.25">
      <c r="A352" s="53">
        <v>351</v>
      </c>
      <c r="B352" s="54" t="s">
        <v>4883</v>
      </c>
      <c r="C352" s="59" t="s">
        <v>369</v>
      </c>
      <c r="D352" s="59" t="s">
        <v>5199</v>
      </c>
      <c r="E352" s="57" t="s">
        <v>5168</v>
      </c>
      <c r="F352" s="58" t="s">
        <v>533</v>
      </c>
      <c r="G352" s="153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5.75" customHeight="1" x14ac:dyDescent="0.25">
      <c r="A353" s="11">
        <v>352</v>
      </c>
      <c r="B353" s="54" t="s">
        <v>4884</v>
      </c>
      <c r="C353" s="59" t="s">
        <v>370</v>
      </c>
      <c r="D353" s="59" t="s">
        <v>5199</v>
      </c>
      <c r="E353" s="57" t="s">
        <v>5168</v>
      </c>
      <c r="F353" s="58" t="s">
        <v>533</v>
      </c>
      <c r="G353" s="153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5.75" customHeight="1" x14ac:dyDescent="0.25">
      <c r="A354" s="53">
        <v>353</v>
      </c>
      <c r="B354" s="54" t="s">
        <v>4885</v>
      </c>
      <c r="C354" s="59" t="s">
        <v>371</v>
      </c>
      <c r="D354" s="59" t="s">
        <v>5199</v>
      </c>
      <c r="E354" s="57" t="s">
        <v>5168</v>
      </c>
      <c r="F354" s="58" t="s">
        <v>533</v>
      </c>
      <c r="G354" s="153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5.75" customHeight="1" x14ac:dyDescent="0.25">
      <c r="A355" s="11">
        <v>354</v>
      </c>
      <c r="B355" s="54" t="s">
        <v>4886</v>
      </c>
      <c r="C355" s="11" t="s">
        <v>372</v>
      </c>
      <c r="D355" s="11" t="s">
        <v>5200</v>
      </c>
      <c r="E355" s="10" t="s">
        <v>5169</v>
      </c>
      <c r="F355" s="55" t="s">
        <v>533</v>
      </c>
      <c r="G355" s="153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5.75" customHeight="1" x14ac:dyDescent="0.25">
      <c r="A356" s="53">
        <v>355</v>
      </c>
      <c r="B356" s="54" t="s">
        <v>4887</v>
      </c>
      <c r="C356" s="11" t="s">
        <v>373</v>
      </c>
      <c r="D356" s="11" t="s">
        <v>5200</v>
      </c>
      <c r="E356" s="10" t="s">
        <v>5169</v>
      </c>
      <c r="F356" s="55" t="s">
        <v>533</v>
      </c>
      <c r="G356" s="153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5.75" customHeight="1" x14ac:dyDescent="0.25">
      <c r="A357" s="11">
        <v>356</v>
      </c>
      <c r="B357" s="54" t="s">
        <v>4888</v>
      </c>
      <c r="C357" s="11" t="s">
        <v>5052</v>
      </c>
      <c r="D357" s="11" t="s">
        <v>5200</v>
      </c>
      <c r="E357" s="10" t="s">
        <v>5169</v>
      </c>
      <c r="F357" s="55" t="s">
        <v>533</v>
      </c>
      <c r="G357" s="153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5.75" customHeight="1" x14ac:dyDescent="0.25">
      <c r="A358" s="53">
        <v>357</v>
      </c>
      <c r="B358" s="54" t="s">
        <v>4889</v>
      </c>
      <c r="C358" s="11" t="s">
        <v>374</v>
      </c>
      <c r="D358" s="11" t="s">
        <v>5200</v>
      </c>
      <c r="E358" s="10" t="s">
        <v>5169</v>
      </c>
      <c r="F358" s="55" t="s">
        <v>533</v>
      </c>
      <c r="G358" s="153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5.75" customHeight="1" x14ac:dyDescent="0.25">
      <c r="A359" s="11">
        <v>358</v>
      </c>
      <c r="B359" s="54" t="s">
        <v>4890</v>
      </c>
      <c r="C359" s="11" t="s">
        <v>375</v>
      </c>
      <c r="D359" s="11" t="s">
        <v>5200</v>
      </c>
      <c r="E359" s="10" t="s">
        <v>5169</v>
      </c>
      <c r="F359" s="55" t="s">
        <v>533</v>
      </c>
      <c r="G359" s="153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5.75" customHeight="1" x14ac:dyDescent="0.25">
      <c r="A360" s="53">
        <v>359</v>
      </c>
      <c r="B360" s="92" t="s">
        <v>4891</v>
      </c>
      <c r="C360" s="127" t="s">
        <v>376</v>
      </c>
      <c r="D360" s="127" t="s">
        <v>5200</v>
      </c>
      <c r="E360" s="128" t="s">
        <v>5169</v>
      </c>
      <c r="F360" s="129" t="s">
        <v>534</v>
      </c>
      <c r="G360" s="153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5.75" customHeight="1" x14ac:dyDescent="0.25">
      <c r="A361" s="11">
        <v>360</v>
      </c>
      <c r="B361" s="54" t="s">
        <v>4892</v>
      </c>
      <c r="C361" s="11" t="s">
        <v>377</v>
      </c>
      <c r="D361" s="11" t="s">
        <v>5200</v>
      </c>
      <c r="E361" s="10" t="s">
        <v>5169</v>
      </c>
      <c r="F361" s="55" t="s">
        <v>533</v>
      </c>
      <c r="G361" s="153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5.75" customHeight="1" x14ac:dyDescent="0.25">
      <c r="A362" s="53">
        <v>361</v>
      </c>
      <c r="B362" s="54" t="s">
        <v>4893</v>
      </c>
      <c r="C362" s="11" t="s">
        <v>378</v>
      </c>
      <c r="D362" s="11" t="s">
        <v>5200</v>
      </c>
      <c r="E362" s="10" t="s">
        <v>5169</v>
      </c>
      <c r="F362" s="55" t="s">
        <v>533</v>
      </c>
      <c r="G362" s="153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5.75" customHeight="1" x14ac:dyDescent="0.25">
      <c r="A363" s="11">
        <v>362</v>
      </c>
      <c r="B363" s="92" t="s">
        <v>4894</v>
      </c>
      <c r="C363" s="127" t="s">
        <v>379</v>
      </c>
      <c r="D363" s="127" t="s">
        <v>5200</v>
      </c>
      <c r="E363" s="128" t="s">
        <v>5169</v>
      </c>
      <c r="F363" s="129" t="s">
        <v>534</v>
      </c>
      <c r="G363" s="153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5.75" customHeight="1" x14ac:dyDescent="0.25">
      <c r="A364" s="53">
        <v>363</v>
      </c>
      <c r="B364" s="54" t="s">
        <v>4895</v>
      </c>
      <c r="C364" s="11" t="s">
        <v>380</v>
      </c>
      <c r="D364" s="11" t="s">
        <v>5200</v>
      </c>
      <c r="E364" s="10" t="s">
        <v>5169</v>
      </c>
      <c r="F364" s="55" t="s">
        <v>533</v>
      </c>
      <c r="G364" s="153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5.75" customHeight="1" x14ac:dyDescent="0.25">
      <c r="A365" s="11">
        <v>364</v>
      </c>
      <c r="B365" s="54" t="s">
        <v>4896</v>
      </c>
      <c r="C365" s="11" t="s">
        <v>381</v>
      </c>
      <c r="D365" s="11" t="s">
        <v>5200</v>
      </c>
      <c r="E365" s="10" t="s">
        <v>5169</v>
      </c>
      <c r="F365" s="55" t="s">
        <v>533</v>
      </c>
      <c r="G365" s="153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5.75" customHeight="1" x14ac:dyDescent="0.25">
      <c r="A366" s="53">
        <v>365</v>
      </c>
      <c r="B366" s="54" t="s">
        <v>4897</v>
      </c>
      <c r="C366" s="11" t="s">
        <v>382</v>
      </c>
      <c r="D366" s="11" t="s">
        <v>5200</v>
      </c>
      <c r="E366" s="10" t="s">
        <v>5169</v>
      </c>
      <c r="F366" s="55" t="s">
        <v>533</v>
      </c>
      <c r="G366" s="153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5.75" customHeight="1" x14ac:dyDescent="0.25">
      <c r="A367" s="11">
        <v>366</v>
      </c>
      <c r="B367" s="54" t="s">
        <v>4898</v>
      </c>
      <c r="C367" s="11" t="s">
        <v>383</v>
      </c>
      <c r="D367" s="11" t="s">
        <v>5200</v>
      </c>
      <c r="E367" s="10" t="s">
        <v>5169</v>
      </c>
      <c r="F367" s="55" t="s">
        <v>533</v>
      </c>
      <c r="G367" s="153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5.75" customHeight="1" x14ac:dyDescent="0.25">
      <c r="A368" s="53">
        <v>367</v>
      </c>
      <c r="B368" s="145" t="s">
        <v>4934</v>
      </c>
      <c r="C368" s="146" t="s">
        <v>420</v>
      </c>
      <c r="D368" s="146" t="s">
        <v>5200</v>
      </c>
      <c r="E368" s="147" t="s">
        <v>5169</v>
      </c>
      <c r="F368" s="148" t="s">
        <v>533</v>
      </c>
      <c r="G368" s="151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5.75" customHeight="1" x14ac:dyDescent="0.25">
      <c r="A369" s="11">
        <v>368</v>
      </c>
      <c r="B369" s="54" t="s">
        <v>4899</v>
      </c>
      <c r="C369" s="11" t="s">
        <v>384</v>
      </c>
      <c r="D369" s="11" t="s">
        <v>5200</v>
      </c>
      <c r="E369" s="10" t="s">
        <v>5169</v>
      </c>
      <c r="F369" s="55" t="s">
        <v>533</v>
      </c>
      <c r="G369" s="153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5.75" customHeight="1" x14ac:dyDescent="0.25">
      <c r="A370" s="53">
        <v>369</v>
      </c>
      <c r="B370" s="54" t="s">
        <v>4900</v>
      </c>
      <c r="C370" s="11" t="s">
        <v>385</v>
      </c>
      <c r="D370" s="11" t="s">
        <v>5200</v>
      </c>
      <c r="E370" s="10" t="s">
        <v>5169</v>
      </c>
      <c r="F370" s="55" t="s">
        <v>533</v>
      </c>
      <c r="G370" s="153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5.75" customHeight="1" x14ac:dyDescent="0.25">
      <c r="A371" s="11">
        <v>370</v>
      </c>
      <c r="B371" s="54" t="s">
        <v>4901</v>
      </c>
      <c r="C371" s="11" t="s">
        <v>386</v>
      </c>
      <c r="D371" s="11" t="s">
        <v>5200</v>
      </c>
      <c r="E371" s="10" t="s">
        <v>5169</v>
      </c>
      <c r="F371" s="55" t="s">
        <v>533</v>
      </c>
      <c r="G371" s="153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5.75" customHeight="1" x14ac:dyDescent="0.25">
      <c r="A372" s="53">
        <v>371</v>
      </c>
      <c r="B372" s="54" t="s">
        <v>4902</v>
      </c>
      <c r="C372" s="11" t="s">
        <v>387</v>
      </c>
      <c r="D372" s="11" t="s">
        <v>5200</v>
      </c>
      <c r="E372" s="10" t="s">
        <v>5169</v>
      </c>
      <c r="F372" s="55" t="s">
        <v>533</v>
      </c>
      <c r="G372" s="153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5.75" customHeight="1" x14ac:dyDescent="0.25">
      <c r="A373" s="11">
        <v>372</v>
      </c>
      <c r="B373" s="54" t="s">
        <v>4903</v>
      </c>
      <c r="C373" s="11" t="s">
        <v>388</v>
      </c>
      <c r="D373" s="11" t="s">
        <v>5200</v>
      </c>
      <c r="E373" s="10" t="s">
        <v>5169</v>
      </c>
      <c r="F373" s="55" t="s">
        <v>533</v>
      </c>
      <c r="G373" s="153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5.75" customHeight="1" x14ac:dyDescent="0.25">
      <c r="A374" s="53">
        <v>373</v>
      </c>
      <c r="B374" s="54" t="s">
        <v>4904</v>
      </c>
      <c r="C374" s="11" t="s">
        <v>389</v>
      </c>
      <c r="D374" s="11" t="s">
        <v>5200</v>
      </c>
      <c r="E374" s="10" t="s">
        <v>5169</v>
      </c>
      <c r="F374" s="55" t="s">
        <v>533</v>
      </c>
      <c r="G374" s="153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5.75" customHeight="1" x14ac:dyDescent="0.25">
      <c r="A375" s="11">
        <v>374</v>
      </c>
      <c r="B375" s="54" t="s">
        <v>4905</v>
      </c>
      <c r="C375" s="11" t="s">
        <v>390</v>
      </c>
      <c r="D375" s="11" t="s">
        <v>5200</v>
      </c>
      <c r="E375" s="10" t="s">
        <v>5169</v>
      </c>
      <c r="F375" s="55" t="s">
        <v>533</v>
      </c>
      <c r="G375" s="153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5.75" customHeight="1" x14ac:dyDescent="0.25">
      <c r="A376" s="53">
        <v>375</v>
      </c>
      <c r="B376" s="54" t="s">
        <v>4906</v>
      </c>
      <c r="C376" s="11" t="s">
        <v>391</v>
      </c>
      <c r="D376" s="11" t="s">
        <v>5200</v>
      </c>
      <c r="E376" s="10" t="s">
        <v>5169</v>
      </c>
      <c r="F376" s="55" t="s">
        <v>533</v>
      </c>
      <c r="G376" s="153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5.75" customHeight="1" x14ac:dyDescent="0.25">
      <c r="A377" s="11">
        <v>376</v>
      </c>
      <c r="B377" s="54" t="s">
        <v>4907</v>
      </c>
      <c r="C377" s="11" t="s">
        <v>392</v>
      </c>
      <c r="D377" s="11" t="s">
        <v>5200</v>
      </c>
      <c r="E377" s="10" t="s">
        <v>5169</v>
      </c>
      <c r="F377" s="55" t="s">
        <v>533</v>
      </c>
      <c r="G377" s="153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5.75" customHeight="1" x14ac:dyDescent="0.25">
      <c r="A378" s="53">
        <v>377</v>
      </c>
      <c r="B378" s="54" t="s">
        <v>4908</v>
      </c>
      <c r="C378" s="11" t="s">
        <v>393</v>
      </c>
      <c r="D378" s="11" t="s">
        <v>5200</v>
      </c>
      <c r="E378" s="10" t="s">
        <v>5169</v>
      </c>
      <c r="F378" s="55" t="s">
        <v>533</v>
      </c>
      <c r="G378" s="153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5.75" customHeight="1" x14ac:dyDescent="0.25">
      <c r="A379" s="11">
        <v>378</v>
      </c>
      <c r="B379" s="54" t="s">
        <v>4909</v>
      </c>
      <c r="C379" s="11" t="s">
        <v>394</v>
      </c>
      <c r="D379" s="11" t="s">
        <v>5200</v>
      </c>
      <c r="E379" s="10" t="s">
        <v>5169</v>
      </c>
      <c r="F379" s="55" t="s">
        <v>533</v>
      </c>
      <c r="G379" s="153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5.75" customHeight="1" x14ac:dyDescent="0.25">
      <c r="A380" s="53">
        <v>379</v>
      </c>
      <c r="B380" s="54" t="s">
        <v>4910</v>
      </c>
      <c r="C380" s="11" t="s">
        <v>395</v>
      </c>
      <c r="D380" s="11" t="s">
        <v>5200</v>
      </c>
      <c r="E380" s="10" t="s">
        <v>5169</v>
      </c>
      <c r="F380" s="55" t="s">
        <v>533</v>
      </c>
      <c r="G380" s="153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5.75" customHeight="1" x14ac:dyDescent="0.25">
      <c r="A381" s="11">
        <v>380</v>
      </c>
      <c r="B381" s="54" t="s">
        <v>4911</v>
      </c>
      <c r="C381" s="11" t="s">
        <v>397</v>
      </c>
      <c r="D381" s="11" t="s">
        <v>5200</v>
      </c>
      <c r="E381" s="10" t="s">
        <v>5169</v>
      </c>
      <c r="F381" s="55" t="s">
        <v>533</v>
      </c>
      <c r="G381" s="153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5.75" customHeight="1" x14ac:dyDescent="0.25">
      <c r="A382" s="53">
        <v>381</v>
      </c>
      <c r="B382" s="54" t="s">
        <v>4912</v>
      </c>
      <c r="C382" s="11" t="s">
        <v>398</v>
      </c>
      <c r="D382" s="11" t="s">
        <v>5200</v>
      </c>
      <c r="E382" s="10" t="s">
        <v>5169</v>
      </c>
      <c r="F382" s="55" t="s">
        <v>533</v>
      </c>
      <c r="G382" s="153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5.75" customHeight="1" x14ac:dyDescent="0.25">
      <c r="A383" s="11">
        <v>382</v>
      </c>
      <c r="B383" s="54" t="s">
        <v>4913</v>
      </c>
      <c r="C383" s="11" t="s">
        <v>399</v>
      </c>
      <c r="D383" s="11" t="s">
        <v>5200</v>
      </c>
      <c r="E383" s="10" t="s">
        <v>5169</v>
      </c>
      <c r="F383" s="55" t="s">
        <v>533</v>
      </c>
      <c r="G383" s="153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5.75" customHeight="1" x14ac:dyDescent="0.25">
      <c r="A384" s="53">
        <v>383</v>
      </c>
      <c r="B384" s="92" t="s">
        <v>4914</v>
      </c>
      <c r="C384" s="127" t="s">
        <v>400</v>
      </c>
      <c r="D384" s="127" t="s">
        <v>5200</v>
      </c>
      <c r="E384" s="128" t="s">
        <v>5169</v>
      </c>
      <c r="F384" s="129" t="s">
        <v>534</v>
      </c>
      <c r="G384" s="153" t="s">
        <v>5139</v>
      </c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5.75" customHeight="1" x14ac:dyDescent="0.25">
      <c r="A385" s="11">
        <v>384</v>
      </c>
      <c r="B385" s="54" t="s">
        <v>4915</v>
      </c>
      <c r="C385" s="11" t="s">
        <v>401</v>
      </c>
      <c r="D385" s="11" t="s">
        <v>5200</v>
      </c>
      <c r="E385" s="10" t="s">
        <v>5169</v>
      </c>
      <c r="F385" s="55" t="s">
        <v>533</v>
      </c>
      <c r="G385" s="153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5.75" customHeight="1" x14ac:dyDescent="0.25">
      <c r="A386" s="53">
        <v>385</v>
      </c>
      <c r="B386" s="92" t="s">
        <v>4916</v>
      </c>
      <c r="C386" s="127" t="s">
        <v>402</v>
      </c>
      <c r="D386" s="127" t="s">
        <v>5200</v>
      </c>
      <c r="E386" s="128" t="s">
        <v>5169</v>
      </c>
      <c r="F386" s="129" t="s">
        <v>534</v>
      </c>
      <c r="G386" s="153" t="s">
        <v>5139</v>
      </c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5.75" customHeight="1" x14ac:dyDescent="0.25">
      <c r="A387" s="11">
        <v>386</v>
      </c>
      <c r="B387" s="54" t="s">
        <v>4917</v>
      </c>
      <c r="C387" s="11" t="s">
        <v>403</v>
      </c>
      <c r="D387" s="11" t="s">
        <v>5200</v>
      </c>
      <c r="E387" s="10" t="s">
        <v>5169</v>
      </c>
      <c r="F387" s="55" t="s">
        <v>533</v>
      </c>
      <c r="G387" s="153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5.75" customHeight="1" x14ac:dyDescent="0.25">
      <c r="A388" s="53">
        <v>387</v>
      </c>
      <c r="B388" s="54" t="s">
        <v>4918</v>
      </c>
      <c r="C388" s="11" t="s">
        <v>404</v>
      </c>
      <c r="D388" s="11" t="s">
        <v>5200</v>
      </c>
      <c r="E388" s="10" t="s">
        <v>5169</v>
      </c>
      <c r="F388" s="55" t="s">
        <v>533</v>
      </c>
      <c r="G388" s="153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5.75" customHeight="1" x14ac:dyDescent="0.25">
      <c r="A389" s="11">
        <v>388</v>
      </c>
      <c r="B389" s="54" t="s">
        <v>4919</v>
      </c>
      <c r="C389" s="11" t="s">
        <v>405</v>
      </c>
      <c r="D389" s="11" t="s">
        <v>5200</v>
      </c>
      <c r="E389" s="10" t="s">
        <v>5169</v>
      </c>
      <c r="F389" s="55" t="s">
        <v>533</v>
      </c>
      <c r="G389" s="153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5.75" customHeight="1" x14ac:dyDescent="0.25">
      <c r="A390" s="53">
        <v>389</v>
      </c>
      <c r="B390" s="54" t="s">
        <v>4920</v>
      </c>
      <c r="C390" s="11" t="s">
        <v>406</v>
      </c>
      <c r="D390" s="11" t="s">
        <v>5200</v>
      </c>
      <c r="E390" s="10" t="s">
        <v>5169</v>
      </c>
      <c r="F390" s="55" t="s">
        <v>533</v>
      </c>
      <c r="G390" s="153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5.75" customHeight="1" x14ac:dyDescent="0.25">
      <c r="A391" s="11">
        <v>390</v>
      </c>
      <c r="B391" s="125" t="s">
        <v>5040</v>
      </c>
      <c r="C391" s="126" t="s">
        <v>522</v>
      </c>
      <c r="D391" s="107" t="s">
        <v>5200</v>
      </c>
      <c r="E391" s="108" t="s">
        <v>5169</v>
      </c>
      <c r="F391" s="109" t="s">
        <v>533</v>
      </c>
      <c r="G391" s="151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5.75" customHeight="1" x14ac:dyDescent="0.25">
      <c r="A392" s="53">
        <v>391</v>
      </c>
      <c r="B392" s="54" t="s">
        <v>4921</v>
      </c>
      <c r="C392" s="11" t="s">
        <v>407</v>
      </c>
      <c r="D392" s="11" t="s">
        <v>5200</v>
      </c>
      <c r="E392" s="10" t="s">
        <v>5169</v>
      </c>
      <c r="F392" s="55" t="s">
        <v>533</v>
      </c>
      <c r="G392" s="153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5.75" customHeight="1" x14ac:dyDescent="0.25">
      <c r="A393" s="11">
        <v>392</v>
      </c>
      <c r="B393" s="54" t="s">
        <v>4922</v>
      </c>
      <c r="C393" s="59" t="s">
        <v>408</v>
      </c>
      <c r="D393" s="59" t="s">
        <v>5201</v>
      </c>
      <c r="E393" s="57" t="s">
        <v>5170</v>
      </c>
      <c r="F393" s="58" t="s">
        <v>533</v>
      </c>
      <c r="G393" s="153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5.75" customHeight="1" x14ac:dyDescent="0.25">
      <c r="A394" s="53">
        <v>393</v>
      </c>
      <c r="B394" s="92" t="s">
        <v>4923</v>
      </c>
      <c r="C394" s="93" t="s">
        <v>409</v>
      </c>
      <c r="D394" s="93" t="s">
        <v>5201</v>
      </c>
      <c r="E394" s="94" t="s">
        <v>5170</v>
      </c>
      <c r="F394" s="95" t="s">
        <v>534</v>
      </c>
      <c r="G394" s="153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5.75" customHeight="1" x14ac:dyDescent="0.25">
      <c r="A395" s="11">
        <v>394</v>
      </c>
      <c r="B395" s="92" t="s">
        <v>4924</v>
      </c>
      <c r="C395" s="93" t="s">
        <v>410</v>
      </c>
      <c r="D395" s="93" t="s">
        <v>5201</v>
      </c>
      <c r="E395" s="94" t="s">
        <v>5170</v>
      </c>
      <c r="F395" s="95" t="s">
        <v>534</v>
      </c>
      <c r="G395" s="153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5.75" customHeight="1" x14ac:dyDescent="0.25">
      <c r="A396" s="53">
        <v>395</v>
      </c>
      <c r="B396" s="54" t="s">
        <v>4925</v>
      </c>
      <c r="C396" s="59" t="s">
        <v>411</v>
      </c>
      <c r="D396" s="59" t="s">
        <v>5201</v>
      </c>
      <c r="E396" s="57" t="s">
        <v>5170</v>
      </c>
      <c r="F396" s="58" t="s">
        <v>533</v>
      </c>
      <c r="G396" s="153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5.75" customHeight="1" x14ac:dyDescent="0.25">
      <c r="A397" s="11">
        <v>396</v>
      </c>
      <c r="B397" s="92" t="s">
        <v>4926</v>
      </c>
      <c r="C397" s="93" t="s">
        <v>412</v>
      </c>
      <c r="D397" s="93" t="s">
        <v>5201</v>
      </c>
      <c r="E397" s="94" t="s">
        <v>5170</v>
      </c>
      <c r="F397" s="95" t="s">
        <v>534</v>
      </c>
      <c r="G397" s="153" t="s">
        <v>5139</v>
      </c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5.75" customHeight="1" x14ac:dyDescent="0.25">
      <c r="A398" s="53">
        <v>397</v>
      </c>
      <c r="B398" s="54" t="s">
        <v>4927</v>
      </c>
      <c r="C398" s="59" t="s">
        <v>413</v>
      </c>
      <c r="D398" s="59" t="s">
        <v>5201</v>
      </c>
      <c r="E398" s="57" t="s">
        <v>5170</v>
      </c>
      <c r="F398" s="58" t="s">
        <v>533</v>
      </c>
      <c r="G398" s="153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5.75" customHeight="1" x14ac:dyDescent="0.25">
      <c r="A399" s="11">
        <v>398</v>
      </c>
      <c r="B399" s="54" t="s">
        <v>4928</v>
      </c>
      <c r="C399" s="59" t="s">
        <v>414</v>
      </c>
      <c r="D399" s="59" t="s">
        <v>5201</v>
      </c>
      <c r="E399" s="57" t="s">
        <v>5170</v>
      </c>
      <c r="F399" s="58" t="s">
        <v>533</v>
      </c>
      <c r="G399" s="153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5.75" customHeight="1" x14ac:dyDescent="0.25">
      <c r="A400" s="53">
        <v>399</v>
      </c>
      <c r="B400" s="54" t="s">
        <v>4929</v>
      </c>
      <c r="C400" s="59" t="s">
        <v>415</v>
      </c>
      <c r="D400" s="59" t="s">
        <v>5201</v>
      </c>
      <c r="E400" s="57" t="s">
        <v>5170</v>
      </c>
      <c r="F400" s="58" t="s">
        <v>533</v>
      </c>
      <c r="G400" s="153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5.75" customHeight="1" x14ac:dyDescent="0.25">
      <c r="A401" s="11">
        <v>400</v>
      </c>
      <c r="B401" s="92" t="s">
        <v>4930</v>
      </c>
      <c r="C401" s="93" t="s">
        <v>416</v>
      </c>
      <c r="D401" s="93" t="s">
        <v>5201</v>
      </c>
      <c r="E401" s="94" t="s">
        <v>5170</v>
      </c>
      <c r="F401" s="95" t="s">
        <v>534</v>
      </c>
      <c r="G401" s="153" t="s">
        <v>5139</v>
      </c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5.75" customHeight="1" x14ac:dyDescent="0.25">
      <c r="A402" s="53">
        <v>401</v>
      </c>
      <c r="B402" s="54" t="s">
        <v>4931</v>
      </c>
      <c r="C402" s="59" t="s">
        <v>417</v>
      </c>
      <c r="D402" s="59" t="s">
        <v>5201</v>
      </c>
      <c r="E402" s="57" t="s">
        <v>5170</v>
      </c>
      <c r="F402" s="58" t="s">
        <v>533</v>
      </c>
      <c r="G402" s="153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5.75" customHeight="1" x14ac:dyDescent="0.25">
      <c r="A403" s="11">
        <v>402</v>
      </c>
      <c r="B403" s="54" t="s">
        <v>4932</v>
      </c>
      <c r="C403" s="59" t="s">
        <v>418</v>
      </c>
      <c r="D403" s="59" t="s">
        <v>5201</v>
      </c>
      <c r="E403" s="57" t="s">
        <v>5170</v>
      </c>
      <c r="F403" s="58" t="s">
        <v>533</v>
      </c>
      <c r="G403" s="153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5.75" customHeight="1" x14ac:dyDescent="0.25">
      <c r="A404" s="53">
        <v>403</v>
      </c>
      <c r="B404" s="54" t="s">
        <v>4933</v>
      </c>
      <c r="C404" s="59" t="s">
        <v>419</v>
      </c>
      <c r="D404" s="59" t="s">
        <v>5201</v>
      </c>
      <c r="E404" s="57" t="s">
        <v>5170</v>
      </c>
      <c r="F404" s="58" t="s">
        <v>533</v>
      </c>
      <c r="G404" s="153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5.75" customHeight="1" x14ac:dyDescent="0.25">
      <c r="A405" s="11">
        <v>404</v>
      </c>
      <c r="B405" s="92" t="s">
        <v>4935</v>
      </c>
      <c r="C405" s="93" t="s">
        <v>421</v>
      </c>
      <c r="D405" s="93" t="s">
        <v>5201</v>
      </c>
      <c r="E405" s="94" t="s">
        <v>5170</v>
      </c>
      <c r="F405" s="95" t="s">
        <v>534</v>
      </c>
      <c r="G405" s="153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5.75" customHeight="1" x14ac:dyDescent="0.25">
      <c r="A406" s="53">
        <v>405</v>
      </c>
      <c r="B406" s="92" t="s">
        <v>4936</v>
      </c>
      <c r="C406" s="93" t="s">
        <v>422</v>
      </c>
      <c r="D406" s="93" t="s">
        <v>5201</v>
      </c>
      <c r="E406" s="94" t="s">
        <v>5170</v>
      </c>
      <c r="F406" s="95" t="s">
        <v>534</v>
      </c>
      <c r="G406" s="153" t="s">
        <v>5139</v>
      </c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5.75" customHeight="1" x14ac:dyDescent="0.25">
      <c r="A407" s="11">
        <v>406</v>
      </c>
      <c r="B407" s="92" t="s">
        <v>4937</v>
      </c>
      <c r="C407" s="93" t="s">
        <v>423</v>
      </c>
      <c r="D407" s="93" t="s">
        <v>5201</v>
      </c>
      <c r="E407" s="94" t="s">
        <v>5170</v>
      </c>
      <c r="F407" s="95" t="s">
        <v>534</v>
      </c>
      <c r="G407" s="153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5.75" customHeight="1" x14ac:dyDescent="0.25">
      <c r="A408" s="53">
        <v>407</v>
      </c>
      <c r="B408" s="54" t="s">
        <v>4938</v>
      </c>
      <c r="C408" s="59" t="s">
        <v>424</v>
      </c>
      <c r="D408" s="59" t="s">
        <v>5201</v>
      </c>
      <c r="E408" s="57" t="s">
        <v>5170</v>
      </c>
      <c r="F408" s="58" t="s">
        <v>533</v>
      </c>
      <c r="G408" s="153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5.75" customHeight="1" x14ac:dyDescent="0.25">
      <c r="A409" s="11">
        <v>408</v>
      </c>
      <c r="B409" s="54" t="s">
        <v>4939</v>
      </c>
      <c r="C409" s="59" t="s">
        <v>425</v>
      </c>
      <c r="D409" s="59" t="s">
        <v>5201</v>
      </c>
      <c r="E409" s="57" t="s">
        <v>5170</v>
      </c>
      <c r="F409" s="58" t="s">
        <v>533</v>
      </c>
      <c r="G409" s="153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5.75" customHeight="1" x14ac:dyDescent="0.25">
      <c r="A410" s="53">
        <v>409</v>
      </c>
      <c r="B410" s="54" t="s">
        <v>4940</v>
      </c>
      <c r="C410" s="59" t="s">
        <v>426</v>
      </c>
      <c r="D410" s="59" t="s">
        <v>5201</v>
      </c>
      <c r="E410" s="57" t="s">
        <v>5170</v>
      </c>
      <c r="F410" s="58" t="s">
        <v>533</v>
      </c>
      <c r="G410" s="153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5.75" customHeight="1" x14ac:dyDescent="0.25">
      <c r="A411" s="11">
        <v>410</v>
      </c>
      <c r="B411" s="92" t="s">
        <v>4941</v>
      </c>
      <c r="C411" s="93" t="s">
        <v>427</v>
      </c>
      <c r="D411" s="93" t="s">
        <v>5201</v>
      </c>
      <c r="E411" s="94" t="s">
        <v>5170</v>
      </c>
      <c r="F411" s="95" t="s">
        <v>534</v>
      </c>
      <c r="G411" s="153" t="s">
        <v>5139</v>
      </c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5.75" customHeight="1" x14ac:dyDescent="0.25">
      <c r="A412" s="53">
        <v>411</v>
      </c>
      <c r="B412" s="54" t="s">
        <v>4942</v>
      </c>
      <c r="C412" s="59" t="s">
        <v>428</v>
      </c>
      <c r="D412" s="59" t="s">
        <v>5201</v>
      </c>
      <c r="E412" s="57" t="s">
        <v>5170</v>
      </c>
      <c r="F412" s="58" t="s">
        <v>533</v>
      </c>
      <c r="G412" s="153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5.75" customHeight="1" x14ac:dyDescent="0.25">
      <c r="A413" s="11">
        <v>412</v>
      </c>
      <c r="B413" s="54" t="s">
        <v>4943</v>
      </c>
      <c r="C413" s="59" t="s">
        <v>429</v>
      </c>
      <c r="D413" s="59" t="s">
        <v>5201</v>
      </c>
      <c r="E413" s="57" t="s">
        <v>5170</v>
      </c>
      <c r="F413" s="58" t="s">
        <v>533</v>
      </c>
      <c r="G413" s="153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5.75" customHeight="1" x14ac:dyDescent="0.25">
      <c r="A414" s="53">
        <v>413</v>
      </c>
      <c r="B414" s="54" t="s">
        <v>4944</v>
      </c>
      <c r="C414" s="59" t="s">
        <v>430</v>
      </c>
      <c r="D414" s="59" t="s">
        <v>5201</v>
      </c>
      <c r="E414" s="57" t="s">
        <v>5170</v>
      </c>
      <c r="F414" s="58" t="s">
        <v>533</v>
      </c>
      <c r="G414" s="153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5.75" customHeight="1" x14ac:dyDescent="0.25">
      <c r="A415" s="11">
        <v>414</v>
      </c>
      <c r="B415" s="54" t="s">
        <v>4945</v>
      </c>
      <c r="C415" s="59" t="s">
        <v>431</v>
      </c>
      <c r="D415" s="59" t="s">
        <v>5201</v>
      </c>
      <c r="E415" s="57" t="s">
        <v>5170</v>
      </c>
      <c r="F415" s="58" t="s">
        <v>533</v>
      </c>
      <c r="G415" s="153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5.75" customHeight="1" x14ac:dyDescent="0.25">
      <c r="A416" s="53">
        <v>415</v>
      </c>
      <c r="B416" s="54" t="s">
        <v>4946</v>
      </c>
      <c r="C416" s="59" t="s">
        <v>432</v>
      </c>
      <c r="D416" s="59" t="s">
        <v>5201</v>
      </c>
      <c r="E416" s="57" t="s">
        <v>5170</v>
      </c>
      <c r="F416" s="58" t="s">
        <v>533</v>
      </c>
      <c r="G416" s="153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5.75" customHeight="1" x14ac:dyDescent="0.25">
      <c r="A417" s="11">
        <v>416</v>
      </c>
      <c r="B417" s="54" t="s">
        <v>4947</v>
      </c>
      <c r="C417" s="59" t="s">
        <v>433</v>
      </c>
      <c r="D417" s="59" t="s">
        <v>5201</v>
      </c>
      <c r="E417" s="57" t="s">
        <v>5170</v>
      </c>
      <c r="F417" s="58" t="s">
        <v>533</v>
      </c>
      <c r="G417" s="153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5.75" customHeight="1" x14ac:dyDescent="0.25">
      <c r="A418" s="53">
        <v>417</v>
      </c>
      <c r="B418" s="54" t="s">
        <v>4948</v>
      </c>
      <c r="C418" s="59" t="s">
        <v>434</v>
      </c>
      <c r="D418" s="59" t="s">
        <v>5201</v>
      </c>
      <c r="E418" s="57" t="s">
        <v>5170</v>
      </c>
      <c r="F418" s="58" t="s">
        <v>533</v>
      </c>
      <c r="G418" s="153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5.75" customHeight="1" x14ac:dyDescent="0.25">
      <c r="A419" s="11">
        <v>418</v>
      </c>
      <c r="B419" s="54" t="s">
        <v>4949</v>
      </c>
      <c r="C419" s="59" t="s">
        <v>435</v>
      </c>
      <c r="D419" s="59" t="s">
        <v>5201</v>
      </c>
      <c r="E419" s="57" t="s">
        <v>5170</v>
      </c>
      <c r="F419" s="58" t="s">
        <v>533</v>
      </c>
      <c r="G419" s="153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5.75" customHeight="1" x14ac:dyDescent="0.25">
      <c r="A420" s="53">
        <v>419</v>
      </c>
      <c r="B420" s="92" t="s">
        <v>4950</v>
      </c>
      <c r="C420" s="93" t="s">
        <v>436</v>
      </c>
      <c r="D420" s="93" t="s">
        <v>5201</v>
      </c>
      <c r="E420" s="94" t="s">
        <v>5170</v>
      </c>
      <c r="F420" s="95" t="s">
        <v>534</v>
      </c>
      <c r="G420" s="153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5.75" customHeight="1" x14ac:dyDescent="0.25">
      <c r="A421" s="11">
        <v>420</v>
      </c>
      <c r="B421" s="54" t="s">
        <v>4951</v>
      </c>
      <c r="C421" s="59" t="s">
        <v>437</v>
      </c>
      <c r="D421" s="59" t="s">
        <v>5201</v>
      </c>
      <c r="E421" s="57" t="s">
        <v>5170</v>
      </c>
      <c r="F421" s="58" t="s">
        <v>533</v>
      </c>
      <c r="G421" s="153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5.75" customHeight="1" x14ac:dyDescent="0.25">
      <c r="A422" s="53">
        <v>421</v>
      </c>
      <c r="B422" s="54" t="s">
        <v>4952</v>
      </c>
      <c r="C422" s="59" t="s">
        <v>438</v>
      </c>
      <c r="D422" s="59" t="s">
        <v>5201</v>
      </c>
      <c r="E422" s="57" t="s">
        <v>5170</v>
      </c>
      <c r="F422" s="58" t="s">
        <v>533</v>
      </c>
      <c r="G422" s="153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5.75" customHeight="1" x14ac:dyDescent="0.25">
      <c r="A423" s="11">
        <v>422</v>
      </c>
      <c r="B423" s="92" t="s">
        <v>4953</v>
      </c>
      <c r="C423" s="93" t="s">
        <v>439</v>
      </c>
      <c r="D423" s="93" t="s">
        <v>5201</v>
      </c>
      <c r="E423" s="94" t="s">
        <v>5170</v>
      </c>
      <c r="F423" s="95" t="s">
        <v>534</v>
      </c>
      <c r="G423" s="153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5.75" customHeight="1" x14ac:dyDescent="0.25">
      <c r="A424" s="53">
        <v>423</v>
      </c>
      <c r="B424" s="92" t="s">
        <v>4954</v>
      </c>
      <c r="C424" s="93" t="s">
        <v>440</v>
      </c>
      <c r="D424" s="93" t="s">
        <v>5201</v>
      </c>
      <c r="E424" s="94" t="s">
        <v>5170</v>
      </c>
      <c r="F424" s="95" t="s">
        <v>534</v>
      </c>
      <c r="G424" s="153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5.75" customHeight="1" x14ac:dyDescent="0.25">
      <c r="A425" s="11">
        <v>424</v>
      </c>
      <c r="B425" s="92" t="s">
        <v>4955</v>
      </c>
      <c r="C425" s="93" t="s">
        <v>441</v>
      </c>
      <c r="D425" s="93" t="s">
        <v>5201</v>
      </c>
      <c r="E425" s="94" t="s">
        <v>5170</v>
      </c>
      <c r="F425" s="95" t="s">
        <v>534</v>
      </c>
      <c r="G425" s="153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5.75" customHeight="1" x14ac:dyDescent="0.25">
      <c r="A426" s="53">
        <v>425</v>
      </c>
      <c r="B426" s="54" t="s">
        <v>4956</v>
      </c>
      <c r="C426" s="59" t="s">
        <v>442</v>
      </c>
      <c r="D426" s="59" t="s">
        <v>5201</v>
      </c>
      <c r="E426" s="57" t="s">
        <v>5170</v>
      </c>
      <c r="F426" s="58" t="s">
        <v>533</v>
      </c>
      <c r="G426" s="153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5.75" customHeight="1" x14ac:dyDescent="0.25">
      <c r="A427" s="11">
        <v>426</v>
      </c>
      <c r="B427" s="54" t="s">
        <v>4957</v>
      </c>
      <c r="C427" s="59" t="s">
        <v>443</v>
      </c>
      <c r="D427" s="59" t="s">
        <v>5201</v>
      </c>
      <c r="E427" s="57" t="s">
        <v>5170</v>
      </c>
      <c r="F427" s="58" t="s">
        <v>533</v>
      </c>
      <c r="G427" s="153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5.75" customHeight="1" x14ac:dyDescent="0.25">
      <c r="A428" s="53">
        <v>427</v>
      </c>
      <c r="B428" s="54" t="s">
        <v>4958</v>
      </c>
      <c r="C428" s="59" t="s">
        <v>444</v>
      </c>
      <c r="D428" s="59" t="s">
        <v>5201</v>
      </c>
      <c r="E428" s="57" t="s">
        <v>5170</v>
      </c>
      <c r="F428" s="58" t="s">
        <v>533</v>
      </c>
      <c r="G428" s="153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5.75" customHeight="1" x14ac:dyDescent="0.25">
      <c r="A429" s="11">
        <v>428</v>
      </c>
      <c r="B429" s="54" t="s">
        <v>4959</v>
      </c>
      <c r="C429" s="11" t="s">
        <v>445</v>
      </c>
      <c r="D429" s="11" t="s">
        <v>5171</v>
      </c>
      <c r="E429" s="10" t="s">
        <v>5172</v>
      </c>
      <c r="F429" s="55" t="s">
        <v>533</v>
      </c>
      <c r="G429" s="153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5.75" customHeight="1" x14ac:dyDescent="0.25">
      <c r="A430" s="53">
        <v>429</v>
      </c>
      <c r="B430" s="54" t="s">
        <v>4960</v>
      </c>
      <c r="C430" s="11" t="s">
        <v>446</v>
      </c>
      <c r="D430" s="11" t="s">
        <v>5171</v>
      </c>
      <c r="E430" s="10" t="s">
        <v>5172</v>
      </c>
      <c r="F430" s="55" t="s">
        <v>533</v>
      </c>
      <c r="G430" s="153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5.75" customHeight="1" x14ac:dyDescent="0.25">
      <c r="A431" s="11">
        <v>430</v>
      </c>
      <c r="B431" s="54" t="s">
        <v>4961</v>
      </c>
      <c r="C431" s="34" t="s">
        <v>447</v>
      </c>
      <c r="D431" s="11" t="s">
        <v>5171</v>
      </c>
      <c r="E431" s="10" t="s">
        <v>5172</v>
      </c>
      <c r="F431" s="55" t="s">
        <v>533</v>
      </c>
      <c r="G431" s="153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5.75" customHeight="1" x14ac:dyDescent="0.25">
      <c r="A432" s="53">
        <v>431</v>
      </c>
      <c r="B432" s="54" t="s">
        <v>4962</v>
      </c>
      <c r="C432" s="11" t="s">
        <v>448</v>
      </c>
      <c r="D432" s="11" t="s">
        <v>5171</v>
      </c>
      <c r="E432" s="10" t="s">
        <v>5172</v>
      </c>
      <c r="F432" s="55" t="s">
        <v>533</v>
      </c>
      <c r="G432" s="153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5.75" customHeight="1" x14ac:dyDescent="0.25">
      <c r="A433" s="11">
        <v>432</v>
      </c>
      <c r="B433" s="54" t="s">
        <v>4963</v>
      </c>
      <c r="C433" s="11" t="s">
        <v>449</v>
      </c>
      <c r="D433" s="11" t="s">
        <v>5171</v>
      </c>
      <c r="E433" s="10" t="s">
        <v>5172</v>
      </c>
      <c r="F433" s="55" t="s">
        <v>533</v>
      </c>
      <c r="G433" s="153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5.75" customHeight="1" x14ac:dyDescent="0.25">
      <c r="A434" s="53">
        <v>433</v>
      </c>
      <c r="B434" s="54" t="s">
        <v>4964</v>
      </c>
      <c r="C434" s="34" t="s">
        <v>450</v>
      </c>
      <c r="D434" s="11" t="s">
        <v>5171</v>
      </c>
      <c r="E434" s="10" t="s">
        <v>5172</v>
      </c>
      <c r="F434" s="55" t="s">
        <v>533</v>
      </c>
      <c r="G434" s="153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5.75" customHeight="1" x14ac:dyDescent="0.25">
      <c r="A435" s="11">
        <v>434</v>
      </c>
      <c r="B435" s="54" t="s">
        <v>4965</v>
      </c>
      <c r="C435" s="11" t="s">
        <v>451</v>
      </c>
      <c r="D435" s="11" t="s">
        <v>5171</v>
      </c>
      <c r="E435" s="10" t="s">
        <v>5172</v>
      </c>
      <c r="F435" s="55" t="s">
        <v>533</v>
      </c>
      <c r="G435" s="153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5.75" customHeight="1" x14ac:dyDescent="0.25">
      <c r="A436" s="53">
        <v>435</v>
      </c>
      <c r="B436" s="164" t="s">
        <v>5099</v>
      </c>
      <c r="C436" s="165" t="s">
        <v>5086</v>
      </c>
      <c r="D436" s="165" t="s">
        <v>5171</v>
      </c>
      <c r="E436" s="166" t="s">
        <v>5172</v>
      </c>
      <c r="F436" s="167" t="s">
        <v>534</v>
      </c>
      <c r="G436" s="151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5.75" customHeight="1" x14ac:dyDescent="0.25">
      <c r="A437" s="11">
        <v>436</v>
      </c>
      <c r="B437" s="54" t="s">
        <v>4966</v>
      </c>
      <c r="C437" s="34" t="s">
        <v>452</v>
      </c>
      <c r="D437" s="11" t="s">
        <v>5171</v>
      </c>
      <c r="E437" s="10" t="s">
        <v>5172</v>
      </c>
      <c r="F437" s="55" t="s">
        <v>533</v>
      </c>
      <c r="G437" s="153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5.75" customHeight="1" x14ac:dyDescent="0.25">
      <c r="A438" s="53">
        <v>437</v>
      </c>
      <c r="B438" s="54" t="s">
        <v>4967</v>
      </c>
      <c r="C438" s="34" t="s">
        <v>453</v>
      </c>
      <c r="D438" s="11" t="s">
        <v>5171</v>
      </c>
      <c r="E438" s="10" t="s">
        <v>5172</v>
      </c>
      <c r="F438" s="55" t="s">
        <v>533</v>
      </c>
      <c r="G438" s="153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5.75" customHeight="1" x14ac:dyDescent="0.25">
      <c r="A439" s="11">
        <v>438</v>
      </c>
      <c r="B439" s="54" t="s">
        <v>4968</v>
      </c>
      <c r="C439" s="11" t="s">
        <v>454</v>
      </c>
      <c r="D439" s="11" t="s">
        <v>5171</v>
      </c>
      <c r="E439" s="10" t="s">
        <v>5172</v>
      </c>
      <c r="F439" s="55" t="s">
        <v>533</v>
      </c>
      <c r="G439" s="153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5.75" customHeight="1" x14ac:dyDescent="0.25">
      <c r="A440" s="53">
        <v>439</v>
      </c>
      <c r="B440" s="54" t="s">
        <v>4969</v>
      </c>
      <c r="C440" s="88" t="s">
        <v>455</v>
      </c>
      <c r="D440" s="11" t="s">
        <v>5171</v>
      </c>
      <c r="E440" s="10" t="s">
        <v>5172</v>
      </c>
      <c r="F440" s="55" t="s">
        <v>533</v>
      </c>
      <c r="G440" s="153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5.75" customHeight="1" x14ac:dyDescent="0.25">
      <c r="A441" s="11">
        <v>440</v>
      </c>
      <c r="B441" s="54" t="s">
        <v>4970</v>
      </c>
      <c r="C441" s="34" t="s">
        <v>456</v>
      </c>
      <c r="D441" s="11" t="s">
        <v>5171</v>
      </c>
      <c r="E441" s="10" t="s">
        <v>5172</v>
      </c>
      <c r="F441" s="55" t="s">
        <v>533</v>
      </c>
      <c r="G441" s="153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5.75" customHeight="1" x14ac:dyDescent="0.25">
      <c r="A442" s="53">
        <v>441</v>
      </c>
      <c r="B442" s="54" t="s">
        <v>4971</v>
      </c>
      <c r="C442" s="89" t="s">
        <v>4531</v>
      </c>
      <c r="D442" s="11" t="s">
        <v>5171</v>
      </c>
      <c r="E442" s="10" t="s">
        <v>5172</v>
      </c>
      <c r="F442" s="55" t="s">
        <v>533</v>
      </c>
      <c r="G442" s="153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5.75" customHeight="1" x14ac:dyDescent="0.25">
      <c r="A443" s="11">
        <v>442</v>
      </c>
      <c r="B443" s="54" t="s">
        <v>4972</v>
      </c>
      <c r="C443" s="11" t="s">
        <v>457</v>
      </c>
      <c r="D443" s="11" t="s">
        <v>5171</v>
      </c>
      <c r="E443" s="10" t="s">
        <v>5172</v>
      </c>
      <c r="F443" s="55" t="s">
        <v>533</v>
      </c>
      <c r="G443" s="153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5.75" customHeight="1" x14ac:dyDescent="0.25">
      <c r="A444" s="53">
        <v>443</v>
      </c>
      <c r="B444" s="54" t="s">
        <v>4973</v>
      </c>
      <c r="C444" s="34" t="s">
        <v>458</v>
      </c>
      <c r="D444" s="11" t="s">
        <v>5171</v>
      </c>
      <c r="E444" s="10" t="s">
        <v>5172</v>
      </c>
      <c r="F444" s="55" t="s">
        <v>533</v>
      </c>
      <c r="G444" s="153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5.75" customHeight="1" x14ac:dyDescent="0.25">
      <c r="A445" s="11">
        <v>444</v>
      </c>
      <c r="B445" s="54" t="s">
        <v>4974</v>
      </c>
      <c r="C445" s="34" t="s">
        <v>459</v>
      </c>
      <c r="D445" s="11" t="s">
        <v>5171</v>
      </c>
      <c r="E445" s="10" t="s">
        <v>5172</v>
      </c>
      <c r="F445" s="55" t="s">
        <v>533</v>
      </c>
      <c r="G445" s="153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5.75" customHeight="1" x14ac:dyDescent="0.25">
      <c r="A446" s="53">
        <v>445</v>
      </c>
      <c r="B446" s="54" t="s">
        <v>4975</v>
      </c>
      <c r="C446" s="11" t="s">
        <v>460</v>
      </c>
      <c r="D446" s="11" t="s">
        <v>5171</v>
      </c>
      <c r="E446" s="10" t="s">
        <v>5172</v>
      </c>
      <c r="F446" s="55" t="s">
        <v>533</v>
      </c>
      <c r="G446" s="153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5.75" customHeight="1" x14ac:dyDescent="0.25">
      <c r="A447" s="11">
        <v>446</v>
      </c>
      <c r="B447" s="54" t="s">
        <v>4976</v>
      </c>
      <c r="C447" s="11" t="s">
        <v>461</v>
      </c>
      <c r="D447" s="11" t="s">
        <v>5171</v>
      </c>
      <c r="E447" s="10" t="s">
        <v>5172</v>
      </c>
      <c r="F447" s="55" t="s">
        <v>533</v>
      </c>
      <c r="G447" s="153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5.75" customHeight="1" x14ac:dyDescent="0.25">
      <c r="A448" s="53">
        <v>447</v>
      </c>
      <c r="B448" s="54" t="s">
        <v>4977</v>
      </c>
      <c r="C448" s="11" t="s">
        <v>462</v>
      </c>
      <c r="D448" s="11" t="s">
        <v>5171</v>
      </c>
      <c r="E448" s="10" t="s">
        <v>5172</v>
      </c>
      <c r="F448" s="55" t="s">
        <v>533</v>
      </c>
      <c r="G448" s="153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5.75" customHeight="1" x14ac:dyDescent="0.25">
      <c r="A449" s="11">
        <v>448</v>
      </c>
      <c r="B449" s="54" t="s">
        <v>4978</v>
      </c>
      <c r="C449" s="11" t="s">
        <v>463</v>
      </c>
      <c r="D449" s="11" t="s">
        <v>5171</v>
      </c>
      <c r="E449" s="10" t="s">
        <v>5172</v>
      </c>
      <c r="F449" s="55" t="s">
        <v>533</v>
      </c>
      <c r="G449" s="153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5.75" customHeight="1" x14ac:dyDescent="0.25">
      <c r="A450" s="53">
        <v>449</v>
      </c>
      <c r="B450" s="54" t="s">
        <v>4979</v>
      </c>
      <c r="C450" s="34" t="s">
        <v>464</v>
      </c>
      <c r="D450" s="11" t="s">
        <v>5171</v>
      </c>
      <c r="E450" s="10" t="s">
        <v>5172</v>
      </c>
      <c r="F450" s="55" t="s">
        <v>533</v>
      </c>
      <c r="G450" s="153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5.75" customHeight="1" x14ac:dyDescent="0.25">
      <c r="A451" s="11">
        <v>450</v>
      </c>
      <c r="B451" s="92" t="s">
        <v>4980</v>
      </c>
      <c r="C451" s="174" t="s">
        <v>465</v>
      </c>
      <c r="D451" s="127" t="s">
        <v>5171</v>
      </c>
      <c r="E451" s="128" t="s">
        <v>5172</v>
      </c>
      <c r="F451" s="129" t="s">
        <v>534</v>
      </c>
      <c r="G451" s="153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5.75" customHeight="1" x14ac:dyDescent="0.25">
      <c r="A452" s="53">
        <v>451</v>
      </c>
      <c r="B452" s="54" t="s">
        <v>4981</v>
      </c>
      <c r="C452" s="34" t="s">
        <v>466</v>
      </c>
      <c r="D452" s="11" t="s">
        <v>5171</v>
      </c>
      <c r="E452" s="10" t="s">
        <v>5172</v>
      </c>
      <c r="F452" s="55" t="s">
        <v>533</v>
      </c>
      <c r="G452" s="153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5.75" customHeight="1" x14ac:dyDescent="0.25">
      <c r="A453" s="11">
        <v>452</v>
      </c>
      <c r="B453" s="54" t="s">
        <v>4982</v>
      </c>
      <c r="C453" s="11" t="s">
        <v>467</v>
      </c>
      <c r="D453" s="11" t="s">
        <v>5171</v>
      </c>
      <c r="E453" s="10" t="s">
        <v>5172</v>
      </c>
      <c r="F453" s="55" t="s">
        <v>533</v>
      </c>
      <c r="G453" s="153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5.75" customHeight="1" x14ac:dyDescent="0.25">
      <c r="A454" s="53">
        <v>453</v>
      </c>
      <c r="B454" s="133" t="s">
        <v>5116</v>
      </c>
      <c r="C454" s="134" t="s">
        <v>5110</v>
      </c>
      <c r="D454" s="11" t="s">
        <v>5171</v>
      </c>
      <c r="E454" s="10" t="s">
        <v>5172</v>
      </c>
      <c r="F454" s="55" t="s">
        <v>533</v>
      </c>
      <c r="G454" s="153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5.75" customHeight="1" x14ac:dyDescent="0.25">
      <c r="A455" s="11">
        <v>454</v>
      </c>
      <c r="B455" s="92" t="s">
        <v>4983</v>
      </c>
      <c r="C455" s="174" t="s">
        <v>468</v>
      </c>
      <c r="D455" s="127" t="s">
        <v>5171</v>
      </c>
      <c r="E455" s="128" t="s">
        <v>5172</v>
      </c>
      <c r="F455" s="129" t="s">
        <v>534</v>
      </c>
      <c r="G455" s="153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5.75" customHeight="1" x14ac:dyDescent="0.25">
      <c r="A456" s="53">
        <v>455</v>
      </c>
      <c r="B456" s="54" t="s">
        <v>4984</v>
      </c>
      <c r="C456" s="11" t="s">
        <v>469</v>
      </c>
      <c r="D456" s="11" t="s">
        <v>5171</v>
      </c>
      <c r="E456" s="10" t="s">
        <v>5172</v>
      </c>
      <c r="F456" s="55" t="s">
        <v>533</v>
      </c>
      <c r="G456" s="153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5.75" customHeight="1" x14ac:dyDescent="0.25">
      <c r="A457" s="11">
        <v>456</v>
      </c>
      <c r="B457" s="54" t="s">
        <v>4985</v>
      </c>
      <c r="C457" s="11" t="s">
        <v>470</v>
      </c>
      <c r="D457" s="11" t="s">
        <v>5171</v>
      </c>
      <c r="E457" s="10" t="s">
        <v>5172</v>
      </c>
      <c r="F457" s="55" t="s">
        <v>533</v>
      </c>
      <c r="G457" s="153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5.75" customHeight="1" x14ac:dyDescent="0.25">
      <c r="A458" s="53">
        <v>457</v>
      </c>
      <c r="B458" s="54" t="s">
        <v>4986</v>
      </c>
      <c r="C458" s="34" t="s">
        <v>471</v>
      </c>
      <c r="D458" s="11" t="s">
        <v>5171</v>
      </c>
      <c r="E458" s="10" t="s">
        <v>5172</v>
      </c>
      <c r="F458" s="55" t="s">
        <v>533</v>
      </c>
      <c r="G458" s="153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5.75" customHeight="1" x14ac:dyDescent="0.25">
      <c r="A459" s="11">
        <v>458</v>
      </c>
      <c r="B459" s="54" t="s">
        <v>4987</v>
      </c>
      <c r="C459" s="59" t="s">
        <v>472</v>
      </c>
      <c r="D459" s="59" t="s">
        <v>5173</v>
      </c>
      <c r="E459" s="57" t="s">
        <v>5174</v>
      </c>
      <c r="F459" s="58" t="s">
        <v>533</v>
      </c>
      <c r="G459" s="153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5.75" customHeight="1" x14ac:dyDescent="0.25">
      <c r="A460" s="53">
        <v>459</v>
      </c>
      <c r="B460" s="54" t="s">
        <v>4988</v>
      </c>
      <c r="C460" s="59" t="s">
        <v>473</v>
      </c>
      <c r="D460" s="59" t="s">
        <v>5173</v>
      </c>
      <c r="E460" s="57" t="s">
        <v>5174</v>
      </c>
      <c r="F460" s="58" t="s">
        <v>533</v>
      </c>
      <c r="G460" s="153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5.75" customHeight="1" x14ac:dyDescent="0.25">
      <c r="A461" s="11">
        <v>460</v>
      </c>
      <c r="B461" s="54" t="s">
        <v>4989</v>
      </c>
      <c r="C461" s="59" t="s">
        <v>474</v>
      </c>
      <c r="D461" s="59" t="s">
        <v>5173</v>
      </c>
      <c r="E461" s="57" t="s">
        <v>5174</v>
      </c>
      <c r="F461" s="58" t="s">
        <v>533</v>
      </c>
      <c r="G461" s="153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5.75" customHeight="1" x14ac:dyDescent="0.25">
      <c r="A462" s="53">
        <v>461</v>
      </c>
      <c r="B462" s="54" t="s">
        <v>4990</v>
      </c>
      <c r="C462" s="59" t="s">
        <v>475</v>
      </c>
      <c r="D462" s="59" t="s">
        <v>5173</v>
      </c>
      <c r="E462" s="57" t="s">
        <v>5174</v>
      </c>
      <c r="F462" s="58" t="s">
        <v>533</v>
      </c>
      <c r="G462" s="153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5.75" customHeight="1" x14ac:dyDescent="0.25">
      <c r="A463" s="11">
        <v>462</v>
      </c>
      <c r="B463" s="54" t="s">
        <v>4991</v>
      </c>
      <c r="C463" s="59" t="s">
        <v>476</v>
      </c>
      <c r="D463" s="59" t="s">
        <v>5173</v>
      </c>
      <c r="E463" s="57" t="s">
        <v>5174</v>
      </c>
      <c r="F463" s="58" t="s">
        <v>533</v>
      </c>
      <c r="G463" s="153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5.75" customHeight="1" x14ac:dyDescent="0.25">
      <c r="A464" s="53">
        <v>463</v>
      </c>
      <c r="B464" s="54" t="s">
        <v>4992</v>
      </c>
      <c r="C464" s="59" t="s">
        <v>477</v>
      </c>
      <c r="D464" s="59" t="s">
        <v>5173</v>
      </c>
      <c r="E464" s="57" t="s">
        <v>5174</v>
      </c>
      <c r="F464" s="58" t="s">
        <v>533</v>
      </c>
      <c r="G464" s="153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5.75" customHeight="1" x14ac:dyDescent="0.25">
      <c r="A465" s="11">
        <v>464</v>
      </c>
      <c r="B465" s="54" t="s">
        <v>4993</v>
      </c>
      <c r="C465" s="59" t="s">
        <v>478</v>
      </c>
      <c r="D465" s="59" t="s">
        <v>5173</v>
      </c>
      <c r="E465" s="57" t="s">
        <v>5174</v>
      </c>
      <c r="F465" s="58" t="s">
        <v>533</v>
      </c>
      <c r="G465" s="153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5.75" customHeight="1" x14ac:dyDescent="0.25">
      <c r="A466" s="53">
        <v>465</v>
      </c>
      <c r="B466" s="54" t="s">
        <v>4994</v>
      </c>
      <c r="C466" s="59" t="s">
        <v>479</v>
      </c>
      <c r="D466" s="59" t="s">
        <v>5173</v>
      </c>
      <c r="E466" s="57" t="s">
        <v>5174</v>
      </c>
      <c r="F466" s="58" t="s">
        <v>533</v>
      </c>
      <c r="G466" s="153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5.75" customHeight="1" x14ac:dyDescent="0.25">
      <c r="A467" s="11">
        <v>466</v>
      </c>
      <c r="B467" s="54" t="s">
        <v>4995</v>
      </c>
      <c r="C467" s="59" t="s">
        <v>480</v>
      </c>
      <c r="D467" s="59" t="s">
        <v>5173</v>
      </c>
      <c r="E467" s="57" t="s">
        <v>5174</v>
      </c>
      <c r="F467" s="58" t="s">
        <v>533</v>
      </c>
      <c r="G467" s="153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5.75" customHeight="1" x14ac:dyDescent="0.25">
      <c r="A468" s="53">
        <v>467</v>
      </c>
      <c r="B468" s="54" t="s">
        <v>4996</v>
      </c>
      <c r="C468" s="59" t="s">
        <v>481</v>
      </c>
      <c r="D468" s="59" t="s">
        <v>5173</v>
      </c>
      <c r="E468" s="57" t="s">
        <v>5174</v>
      </c>
      <c r="F468" s="58" t="s">
        <v>533</v>
      </c>
      <c r="G468" s="153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5.75" customHeight="1" x14ac:dyDescent="0.25">
      <c r="A469" s="11">
        <v>468</v>
      </c>
      <c r="B469" s="54" t="s">
        <v>4997</v>
      </c>
      <c r="C469" s="59" t="s">
        <v>482</v>
      </c>
      <c r="D469" s="59" t="s">
        <v>5173</v>
      </c>
      <c r="E469" s="57" t="s">
        <v>5174</v>
      </c>
      <c r="F469" s="58" t="s">
        <v>533</v>
      </c>
      <c r="G469" s="153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5.75" customHeight="1" x14ac:dyDescent="0.25">
      <c r="A470" s="53">
        <v>469</v>
      </c>
      <c r="B470" s="54" t="s">
        <v>4998</v>
      </c>
      <c r="C470" s="59" t="s">
        <v>483</v>
      </c>
      <c r="D470" s="59" t="s">
        <v>5173</v>
      </c>
      <c r="E470" s="57" t="s">
        <v>5174</v>
      </c>
      <c r="F470" s="58" t="s">
        <v>533</v>
      </c>
      <c r="G470" s="153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5.75" customHeight="1" x14ac:dyDescent="0.25">
      <c r="A471" s="11">
        <v>470</v>
      </c>
      <c r="B471" s="54" t="s">
        <v>4999</v>
      </c>
      <c r="C471" s="59" t="s">
        <v>484</v>
      </c>
      <c r="D471" s="59" t="s">
        <v>5173</v>
      </c>
      <c r="E471" s="57" t="s">
        <v>5174</v>
      </c>
      <c r="F471" s="58" t="s">
        <v>533</v>
      </c>
      <c r="G471" s="153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5.75" customHeight="1" x14ac:dyDescent="0.25">
      <c r="A472" s="53">
        <v>471</v>
      </c>
      <c r="B472" s="54" t="s">
        <v>5000</v>
      </c>
      <c r="C472" s="59" t="s">
        <v>485</v>
      </c>
      <c r="D472" s="59" t="s">
        <v>5173</v>
      </c>
      <c r="E472" s="57" t="s">
        <v>5174</v>
      </c>
      <c r="F472" s="58" t="s">
        <v>533</v>
      </c>
      <c r="G472" s="153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5.75" customHeight="1" x14ac:dyDescent="0.25">
      <c r="A473" s="11">
        <v>472</v>
      </c>
      <c r="B473" s="54" t="s">
        <v>5001</v>
      </c>
      <c r="C473" s="59" t="s">
        <v>486</v>
      </c>
      <c r="D473" s="59" t="s">
        <v>5173</v>
      </c>
      <c r="E473" s="57" t="s">
        <v>5174</v>
      </c>
      <c r="F473" s="58" t="s">
        <v>533</v>
      </c>
      <c r="G473" s="153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5.75" customHeight="1" x14ac:dyDescent="0.25">
      <c r="A474" s="53">
        <v>473</v>
      </c>
      <c r="B474" s="54" t="s">
        <v>5002</v>
      </c>
      <c r="C474" s="59" t="s">
        <v>487</v>
      </c>
      <c r="D474" s="59" t="s">
        <v>5173</v>
      </c>
      <c r="E474" s="57" t="s">
        <v>5174</v>
      </c>
      <c r="F474" s="58" t="s">
        <v>533</v>
      </c>
      <c r="G474" s="153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5.75" customHeight="1" x14ac:dyDescent="0.25">
      <c r="A475" s="11">
        <v>474</v>
      </c>
      <c r="B475" s="54" t="s">
        <v>5003</v>
      </c>
      <c r="C475" s="59" t="s">
        <v>488</v>
      </c>
      <c r="D475" s="59" t="s">
        <v>5173</v>
      </c>
      <c r="E475" s="57" t="s">
        <v>5174</v>
      </c>
      <c r="F475" s="58" t="s">
        <v>533</v>
      </c>
      <c r="G475" s="153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5.75" customHeight="1" x14ac:dyDescent="0.25">
      <c r="A476" s="53">
        <v>475</v>
      </c>
      <c r="B476" s="54" t="s">
        <v>5004</v>
      </c>
      <c r="C476" s="59" t="s">
        <v>489</v>
      </c>
      <c r="D476" s="59" t="s">
        <v>5173</v>
      </c>
      <c r="E476" s="57" t="s">
        <v>5174</v>
      </c>
      <c r="F476" s="58" t="s">
        <v>533</v>
      </c>
      <c r="G476" s="153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5.75" customHeight="1" x14ac:dyDescent="0.25">
      <c r="A477" s="11">
        <v>476</v>
      </c>
      <c r="B477" s="54" t="s">
        <v>5005</v>
      </c>
      <c r="C477" s="59" t="s">
        <v>490</v>
      </c>
      <c r="D477" s="59" t="s">
        <v>5173</v>
      </c>
      <c r="E477" s="57" t="s">
        <v>5174</v>
      </c>
      <c r="F477" s="58" t="s">
        <v>533</v>
      </c>
      <c r="G477" s="153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5.75" customHeight="1" x14ac:dyDescent="0.25">
      <c r="A478" s="53">
        <v>477</v>
      </c>
      <c r="B478" s="54" t="s">
        <v>5006</v>
      </c>
      <c r="C478" s="59" t="s">
        <v>491</v>
      </c>
      <c r="D478" s="59" t="s">
        <v>5173</v>
      </c>
      <c r="E478" s="57" t="s">
        <v>5174</v>
      </c>
      <c r="F478" s="58" t="s">
        <v>533</v>
      </c>
      <c r="G478" s="153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5.75" customHeight="1" x14ac:dyDescent="0.25">
      <c r="A479" s="11">
        <v>478</v>
      </c>
      <c r="B479" s="54" t="s">
        <v>5007</v>
      </c>
      <c r="C479" s="59" t="s">
        <v>492</v>
      </c>
      <c r="D479" s="59" t="s">
        <v>5173</v>
      </c>
      <c r="E479" s="57" t="s">
        <v>5174</v>
      </c>
      <c r="F479" s="58" t="s">
        <v>533</v>
      </c>
      <c r="G479" s="153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5.75" customHeight="1" x14ac:dyDescent="0.25">
      <c r="A480" s="53">
        <v>479</v>
      </c>
      <c r="B480" s="54" t="s">
        <v>5008</v>
      </c>
      <c r="C480" s="59" t="s">
        <v>4493</v>
      </c>
      <c r="D480" s="59" t="s">
        <v>5173</v>
      </c>
      <c r="E480" s="57" t="s">
        <v>5174</v>
      </c>
      <c r="F480" s="58" t="s">
        <v>533</v>
      </c>
      <c r="G480" s="153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5.75" customHeight="1" x14ac:dyDescent="0.25">
      <c r="A481" s="11">
        <v>480</v>
      </c>
      <c r="B481" s="54" t="s">
        <v>5009</v>
      </c>
      <c r="C481" s="59" t="s">
        <v>493</v>
      </c>
      <c r="D481" s="59" t="s">
        <v>5173</v>
      </c>
      <c r="E481" s="57" t="s">
        <v>5174</v>
      </c>
      <c r="F481" s="58" t="s">
        <v>533</v>
      </c>
      <c r="G481" s="153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5.75" customHeight="1" x14ac:dyDescent="0.25">
      <c r="A482" s="53">
        <v>481</v>
      </c>
      <c r="B482" s="106" t="s">
        <v>5098</v>
      </c>
      <c r="C482" s="103" t="s">
        <v>5080</v>
      </c>
      <c r="D482" s="103" t="s">
        <v>5173</v>
      </c>
      <c r="E482" s="104" t="s">
        <v>5174</v>
      </c>
      <c r="F482" s="105" t="s">
        <v>533</v>
      </c>
      <c r="G482" s="151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5.75" customHeight="1" x14ac:dyDescent="0.25">
      <c r="A483" s="11">
        <v>482</v>
      </c>
      <c r="B483" s="54" t="s">
        <v>5010</v>
      </c>
      <c r="C483" s="59" t="s">
        <v>494</v>
      </c>
      <c r="D483" s="59" t="s">
        <v>5173</v>
      </c>
      <c r="E483" s="57" t="s">
        <v>5174</v>
      </c>
      <c r="F483" s="58" t="s">
        <v>533</v>
      </c>
      <c r="G483" s="153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5.75" customHeight="1" x14ac:dyDescent="0.25">
      <c r="A484" s="53">
        <v>483</v>
      </c>
      <c r="B484" s="54" t="s">
        <v>5011</v>
      </c>
      <c r="C484" s="59" t="s">
        <v>495</v>
      </c>
      <c r="D484" s="59" t="s">
        <v>5173</v>
      </c>
      <c r="E484" s="57" t="s">
        <v>5174</v>
      </c>
      <c r="F484" s="58" t="s">
        <v>533</v>
      </c>
      <c r="G484" s="153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5.75" customHeight="1" x14ac:dyDescent="0.25">
      <c r="A485" s="11">
        <v>484</v>
      </c>
      <c r="B485" s="54" t="s">
        <v>5012</v>
      </c>
      <c r="C485" s="59" t="s">
        <v>496</v>
      </c>
      <c r="D485" s="59" t="s">
        <v>5173</v>
      </c>
      <c r="E485" s="57" t="s">
        <v>5174</v>
      </c>
      <c r="F485" s="58" t="s">
        <v>533</v>
      </c>
      <c r="G485" s="153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5.75" customHeight="1" x14ac:dyDescent="0.25">
      <c r="A486" s="53">
        <v>485</v>
      </c>
      <c r="B486" s="54" t="s">
        <v>5013</v>
      </c>
      <c r="C486" s="59" t="s">
        <v>497</v>
      </c>
      <c r="D486" s="59" t="s">
        <v>5173</v>
      </c>
      <c r="E486" s="57" t="s">
        <v>5174</v>
      </c>
      <c r="F486" s="58" t="s">
        <v>533</v>
      </c>
      <c r="G486" s="153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5.75" customHeight="1" x14ac:dyDescent="0.25">
      <c r="A487" s="11">
        <v>486</v>
      </c>
      <c r="B487" s="54" t="s">
        <v>5014</v>
      </c>
      <c r="C487" s="11" t="s">
        <v>498</v>
      </c>
      <c r="D487" s="11" t="s">
        <v>5175</v>
      </c>
      <c r="E487" s="10" t="s">
        <v>5176</v>
      </c>
      <c r="F487" s="55" t="s">
        <v>533</v>
      </c>
      <c r="G487" s="153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5.75" customHeight="1" x14ac:dyDescent="0.25">
      <c r="A488" s="53">
        <v>487</v>
      </c>
      <c r="B488" s="54" t="s">
        <v>5015</v>
      </c>
      <c r="C488" s="11" t="s">
        <v>499</v>
      </c>
      <c r="D488" s="11" t="s">
        <v>5175</v>
      </c>
      <c r="E488" s="10" t="s">
        <v>5176</v>
      </c>
      <c r="F488" s="55" t="s">
        <v>533</v>
      </c>
      <c r="G488" s="153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5.75" customHeight="1" x14ac:dyDescent="0.25">
      <c r="A489" s="11">
        <v>488</v>
      </c>
      <c r="B489" s="106" t="s">
        <v>5106</v>
      </c>
      <c r="C489" s="107" t="s">
        <v>5101</v>
      </c>
      <c r="D489" s="11" t="s">
        <v>5175</v>
      </c>
      <c r="E489" s="10" t="s">
        <v>5176</v>
      </c>
      <c r="F489" s="55" t="s">
        <v>533</v>
      </c>
      <c r="G489" s="153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5.75" customHeight="1" x14ac:dyDescent="0.25">
      <c r="A490" s="53">
        <v>489</v>
      </c>
      <c r="B490" s="54" t="s">
        <v>5016</v>
      </c>
      <c r="C490" s="11" t="s">
        <v>500</v>
      </c>
      <c r="D490" s="11" t="s">
        <v>5175</v>
      </c>
      <c r="E490" s="10" t="s">
        <v>5176</v>
      </c>
      <c r="F490" s="55" t="s">
        <v>533</v>
      </c>
      <c r="G490" s="153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5.75" customHeight="1" x14ac:dyDescent="0.25">
      <c r="A491" s="11">
        <v>490</v>
      </c>
      <c r="B491" s="54" t="s">
        <v>5017</v>
      </c>
      <c r="C491" s="11" t="s">
        <v>501</v>
      </c>
      <c r="D491" s="11" t="s">
        <v>5175</v>
      </c>
      <c r="E491" s="10" t="s">
        <v>5176</v>
      </c>
      <c r="F491" s="55" t="s">
        <v>533</v>
      </c>
      <c r="G491" s="153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5.75" customHeight="1" x14ac:dyDescent="0.25">
      <c r="A492" s="53">
        <v>491</v>
      </c>
      <c r="B492" s="54" t="s">
        <v>5018</v>
      </c>
      <c r="C492" s="11" t="s">
        <v>502</v>
      </c>
      <c r="D492" s="11" t="s">
        <v>5175</v>
      </c>
      <c r="E492" s="10" t="s">
        <v>5176</v>
      </c>
      <c r="F492" s="55" t="s">
        <v>533</v>
      </c>
      <c r="G492" s="153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5.75" customHeight="1" x14ac:dyDescent="0.25">
      <c r="A493" s="11">
        <v>492</v>
      </c>
      <c r="B493" s="54" t="s">
        <v>5019</v>
      </c>
      <c r="C493" s="11" t="s">
        <v>503</v>
      </c>
      <c r="D493" s="11" t="s">
        <v>5175</v>
      </c>
      <c r="E493" s="10" t="s">
        <v>5176</v>
      </c>
      <c r="F493" s="55" t="s">
        <v>533</v>
      </c>
      <c r="G493" s="153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5.75" customHeight="1" x14ac:dyDescent="0.25">
      <c r="A494" s="53">
        <v>493</v>
      </c>
      <c r="B494" s="54" t="s">
        <v>5020</v>
      </c>
      <c r="C494" s="11" t="s">
        <v>5097</v>
      </c>
      <c r="D494" s="11" t="s">
        <v>5175</v>
      </c>
      <c r="E494" s="10" t="s">
        <v>5176</v>
      </c>
      <c r="F494" s="55" t="s">
        <v>533</v>
      </c>
      <c r="G494" s="153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5.75" customHeight="1" x14ac:dyDescent="0.25">
      <c r="A495" s="11">
        <v>494</v>
      </c>
      <c r="B495" s="54" t="s">
        <v>5021</v>
      </c>
      <c r="C495" s="11" t="s">
        <v>504</v>
      </c>
      <c r="D495" s="11" t="s">
        <v>5175</v>
      </c>
      <c r="E495" s="10" t="s">
        <v>5176</v>
      </c>
      <c r="F495" s="55" t="s">
        <v>533</v>
      </c>
      <c r="G495" s="153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5.75" customHeight="1" x14ac:dyDescent="0.25">
      <c r="A496" s="53">
        <v>495</v>
      </c>
      <c r="B496" s="54" t="s">
        <v>5022</v>
      </c>
      <c r="C496" s="11" t="s">
        <v>505</v>
      </c>
      <c r="D496" s="11" t="s">
        <v>5175</v>
      </c>
      <c r="E496" s="10" t="s">
        <v>5176</v>
      </c>
      <c r="F496" s="55" t="s">
        <v>533</v>
      </c>
      <c r="G496" s="153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5.75" customHeight="1" x14ac:dyDescent="0.25">
      <c r="A497" s="11">
        <v>496</v>
      </c>
      <c r="B497" s="54" t="s">
        <v>5023</v>
      </c>
      <c r="C497" s="11" t="s">
        <v>506</v>
      </c>
      <c r="D497" s="11" t="s">
        <v>5175</v>
      </c>
      <c r="E497" s="10" t="s">
        <v>5176</v>
      </c>
      <c r="F497" s="55" t="s">
        <v>533</v>
      </c>
      <c r="G497" s="153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5.75" customHeight="1" x14ac:dyDescent="0.25">
      <c r="A498" s="53">
        <v>497</v>
      </c>
      <c r="B498" s="54" t="s">
        <v>5024</v>
      </c>
      <c r="C498" s="11" t="s">
        <v>507</v>
      </c>
      <c r="D498" s="11" t="s">
        <v>5175</v>
      </c>
      <c r="E498" s="10" t="s">
        <v>5176</v>
      </c>
      <c r="F498" s="55" t="s">
        <v>533</v>
      </c>
      <c r="G498" s="153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5.75" customHeight="1" x14ac:dyDescent="0.25">
      <c r="A499" s="11">
        <v>498</v>
      </c>
      <c r="B499" s="54" t="s">
        <v>5025</v>
      </c>
      <c r="C499" s="11" t="s">
        <v>508</v>
      </c>
      <c r="D499" s="11" t="s">
        <v>5175</v>
      </c>
      <c r="E499" s="10" t="s">
        <v>5176</v>
      </c>
      <c r="F499" s="55" t="s">
        <v>533</v>
      </c>
      <c r="G499" s="153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5.75" customHeight="1" x14ac:dyDescent="0.25">
      <c r="A500" s="53">
        <v>499</v>
      </c>
      <c r="B500" s="54" t="s">
        <v>5026</v>
      </c>
      <c r="C500" s="11" t="s">
        <v>509</v>
      </c>
      <c r="D500" s="11" t="s">
        <v>5175</v>
      </c>
      <c r="E500" s="10" t="s">
        <v>5176</v>
      </c>
      <c r="F500" s="55" t="s">
        <v>533</v>
      </c>
      <c r="G500" s="153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5.75" customHeight="1" x14ac:dyDescent="0.25">
      <c r="A501" s="11">
        <v>500</v>
      </c>
      <c r="B501" s="54" t="s">
        <v>5027</v>
      </c>
      <c r="C501" s="11" t="s">
        <v>510</v>
      </c>
      <c r="D501" s="11" t="s">
        <v>5175</v>
      </c>
      <c r="E501" s="10" t="s">
        <v>5176</v>
      </c>
      <c r="F501" s="55" t="s">
        <v>533</v>
      </c>
      <c r="G501" s="153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5.75" customHeight="1" x14ac:dyDescent="0.25">
      <c r="A502" s="53">
        <v>501</v>
      </c>
      <c r="B502" s="54" t="s">
        <v>5028</v>
      </c>
      <c r="C502" s="11" t="s">
        <v>511</v>
      </c>
      <c r="D502" s="11" t="s">
        <v>5175</v>
      </c>
      <c r="E502" s="10" t="s">
        <v>5176</v>
      </c>
      <c r="F502" s="55" t="s">
        <v>533</v>
      </c>
      <c r="G502" s="153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5.75" customHeight="1" x14ac:dyDescent="0.25">
      <c r="A503" s="11">
        <v>502</v>
      </c>
      <c r="B503" s="54" t="s">
        <v>5029</v>
      </c>
      <c r="C503" s="11" t="s">
        <v>512</v>
      </c>
      <c r="D503" s="11" t="s">
        <v>5175</v>
      </c>
      <c r="E503" s="10" t="s">
        <v>5176</v>
      </c>
      <c r="F503" s="55" t="s">
        <v>533</v>
      </c>
      <c r="G503" s="153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5.75" customHeight="1" x14ac:dyDescent="0.25">
      <c r="A504" s="53">
        <v>503</v>
      </c>
      <c r="B504" s="54" t="s">
        <v>5030</v>
      </c>
      <c r="C504" s="11" t="s">
        <v>513</v>
      </c>
      <c r="D504" s="11" t="s">
        <v>5175</v>
      </c>
      <c r="E504" s="10" t="s">
        <v>5176</v>
      </c>
      <c r="F504" s="55" t="s">
        <v>533</v>
      </c>
      <c r="G504" s="153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5.75" customHeight="1" x14ac:dyDescent="0.25">
      <c r="A505" s="11">
        <v>504</v>
      </c>
      <c r="B505" s="54" t="s">
        <v>5031</v>
      </c>
      <c r="C505" s="11" t="s">
        <v>514</v>
      </c>
      <c r="D505" s="11" t="s">
        <v>5175</v>
      </c>
      <c r="E505" s="10" t="s">
        <v>5176</v>
      </c>
      <c r="F505" s="55" t="s">
        <v>533</v>
      </c>
      <c r="G505" s="153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5.75" customHeight="1" x14ac:dyDescent="0.25">
      <c r="A506" s="53">
        <v>505</v>
      </c>
      <c r="B506" s="54" t="s">
        <v>5032</v>
      </c>
      <c r="C506" s="11" t="s">
        <v>515</v>
      </c>
      <c r="D506" s="11" t="s">
        <v>5175</v>
      </c>
      <c r="E506" s="10" t="s">
        <v>5176</v>
      </c>
      <c r="F506" s="55" t="s">
        <v>533</v>
      </c>
      <c r="G506" s="153"/>
      <c r="H506" s="19"/>
      <c r="I506" s="19"/>
      <c r="J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5.75" customHeight="1" x14ac:dyDescent="0.25">
      <c r="A507" s="11">
        <v>506</v>
      </c>
      <c r="B507" s="54" t="s">
        <v>5033</v>
      </c>
      <c r="C507" s="11" t="s">
        <v>516</v>
      </c>
      <c r="D507" s="11" t="s">
        <v>5175</v>
      </c>
      <c r="E507" s="10" t="s">
        <v>5176</v>
      </c>
      <c r="F507" s="55" t="s">
        <v>533</v>
      </c>
      <c r="G507" s="153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5.75" customHeight="1" x14ac:dyDescent="0.25">
      <c r="A508" s="53">
        <v>507</v>
      </c>
      <c r="B508" s="106" t="s">
        <v>5051</v>
      </c>
      <c r="C508" s="107" t="s">
        <v>5045</v>
      </c>
      <c r="D508" s="107" t="s">
        <v>5175</v>
      </c>
      <c r="E508" s="108" t="s">
        <v>5176</v>
      </c>
      <c r="F508" s="109" t="s">
        <v>533</v>
      </c>
      <c r="G508" s="151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5.75" customHeight="1" x14ac:dyDescent="0.25">
      <c r="A509" s="11">
        <v>508</v>
      </c>
      <c r="B509" s="54" t="s">
        <v>5034</v>
      </c>
      <c r="C509" s="72" t="s">
        <v>4516</v>
      </c>
      <c r="D509" s="11" t="s">
        <v>5175</v>
      </c>
      <c r="E509" s="10" t="s">
        <v>5176</v>
      </c>
      <c r="F509" s="55" t="s">
        <v>533</v>
      </c>
      <c r="G509" s="153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5.75" customHeight="1" x14ac:dyDescent="0.25">
      <c r="A510" s="53">
        <v>509</v>
      </c>
      <c r="B510" s="54" t="s">
        <v>5035</v>
      </c>
      <c r="C510" s="11" t="s">
        <v>517</v>
      </c>
      <c r="D510" s="14" t="s">
        <v>5175</v>
      </c>
      <c r="E510" s="10" t="s">
        <v>5176</v>
      </c>
      <c r="F510" s="55" t="s">
        <v>533</v>
      </c>
      <c r="G510" s="153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5.75" customHeight="1" x14ac:dyDescent="0.25">
      <c r="A511" s="11">
        <v>510</v>
      </c>
      <c r="B511" s="96" t="s">
        <v>5036</v>
      </c>
      <c r="C511" s="14" t="s">
        <v>518</v>
      </c>
      <c r="D511" s="14" t="s">
        <v>5175</v>
      </c>
      <c r="E511" s="119" t="s">
        <v>5176</v>
      </c>
      <c r="F511" s="120" t="s">
        <v>533</v>
      </c>
      <c r="G511" s="153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5.75" customHeight="1" x14ac:dyDescent="0.25">
      <c r="A512" s="53">
        <v>511</v>
      </c>
      <c r="B512" s="97" t="s">
        <v>5037</v>
      </c>
      <c r="C512" s="75" t="s">
        <v>519</v>
      </c>
      <c r="D512" s="75" t="s">
        <v>5175</v>
      </c>
      <c r="E512" s="70" t="s">
        <v>5176</v>
      </c>
      <c r="F512" s="100" t="s">
        <v>533</v>
      </c>
      <c r="G512" s="153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5.75" customHeight="1" x14ac:dyDescent="0.25">
      <c r="A513" s="11">
        <v>512</v>
      </c>
      <c r="B513" s="141" t="s">
        <v>5038</v>
      </c>
      <c r="C513" s="85" t="s">
        <v>520</v>
      </c>
      <c r="D513" s="85" t="s">
        <v>5175</v>
      </c>
      <c r="E513" s="142" t="s">
        <v>5176</v>
      </c>
      <c r="F513" s="143" t="s">
        <v>533</v>
      </c>
      <c r="G513" s="153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5.75" customHeight="1" x14ac:dyDescent="0.25">
      <c r="A514" s="53">
        <v>513</v>
      </c>
      <c r="B514" s="97" t="s">
        <v>5039</v>
      </c>
      <c r="C514" s="75" t="s">
        <v>521</v>
      </c>
      <c r="D514" s="75" t="s">
        <v>5175</v>
      </c>
      <c r="E514" s="70" t="s">
        <v>5176</v>
      </c>
      <c r="F514" s="100" t="s">
        <v>533</v>
      </c>
      <c r="G514" s="153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5.75" customHeight="1" x14ac:dyDescent="0.25">
      <c r="A515" s="11">
        <v>514</v>
      </c>
      <c r="B515" s="101"/>
      <c r="C515" s="101"/>
      <c r="D515" s="101"/>
      <c r="E515" s="101"/>
      <c r="F515" s="101"/>
      <c r="G515" s="154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5.75" customHeight="1" x14ac:dyDescent="0.25">
      <c r="A516" s="53">
        <v>515</v>
      </c>
      <c r="B516" s="101"/>
      <c r="C516" s="101"/>
      <c r="D516" s="101"/>
      <c r="E516" s="101"/>
      <c r="F516" s="101"/>
      <c r="G516" s="154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5.75" customHeight="1" x14ac:dyDescent="0.25">
      <c r="A517" s="11">
        <v>516</v>
      </c>
      <c r="B517" s="101"/>
      <c r="C517" s="101"/>
      <c r="D517" s="101"/>
      <c r="E517" s="101"/>
      <c r="F517" s="101"/>
      <c r="G517" s="154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5.75" customHeight="1" x14ac:dyDescent="0.25">
      <c r="A518" s="53">
        <v>517</v>
      </c>
      <c r="B518" s="97"/>
      <c r="C518" s="75"/>
      <c r="D518" s="75"/>
      <c r="E518" s="70"/>
      <c r="F518" s="100"/>
      <c r="G518" s="153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5.75" customHeight="1" x14ac:dyDescent="0.25">
      <c r="A519" s="19"/>
      <c r="B519" s="19"/>
      <c r="C519" s="19"/>
      <c r="D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5.75" customHeight="1" x14ac:dyDescent="0.25">
      <c r="A520" s="19"/>
      <c r="B520" s="19"/>
      <c r="C520" s="19"/>
      <c r="D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5.75" customHeight="1" x14ac:dyDescent="0.25">
      <c r="A521" s="19"/>
      <c r="B521" s="19"/>
      <c r="C521" s="19"/>
      <c r="D521" s="19"/>
      <c r="E521" s="19"/>
      <c r="F521" s="19"/>
      <c r="G521" s="156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5.75" customHeight="1" x14ac:dyDescent="0.25">
      <c r="A522" s="19"/>
      <c r="B522" s="19"/>
      <c r="C522" s="19"/>
      <c r="D522" s="19"/>
      <c r="E522" s="60" t="s">
        <v>533</v>
      </c>
      <c r="F522" s="49">
        <f>COUNTIF($F$2:$F$518,"AKTIF")</f>
        <v>457</v>
      </c>
      <c r="G522" s="157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5.75" customHeight="1" x14ac:dyDescent="0.25">
      <c r="A523" s="19"/>
      <c r="B523" s="19"/>
      <c r="C523" s="19"/>
      <c r="D523" s="19"/>
      <c r="E523" s="60" t="s">
        <v>543</v>
      </c>
      <c r="F523" s="49">
        <f>COUNTIF($F$2:$F$518,"KELUAR")</f>
        <v>56</v>
      </c>
      <c r="G523" s="157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5.75" customHeight="1" x14ac:dyDescent="0.25">
      <c r="A524" s="19"/>
      <c r="B524" s="19"/>
      <c r="C524" s="19"/>
      <c r="D524" s="19"/>
      <c r="E524" s="19"/>
      <c r="F524" s="19"/>
      <c r="G524" s="156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5.75" customHeight="1" x14ac:dyDescent="0.25">
      <c r="A525" s="19"/>
      <c r="B525" s="19"/>
      <c r="C525" s="19"/>
      <c r="D525" s="19"/>
      <c r="E525" s="19"/>
      <c r="F525" s="19"/>
      <c r="G525" s="156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5.75" customHeight="1" x14ac:dyDescent="0.25">
      <c r="A526" s="19"/>
      <c r="B526" s="19"/>
      <c r="C526" s="19"/>
      <c r="D526" s="19"/>
      <c r="E526" s="19"/>
      <c r="F526" s="19"/>
      <c r="G526" s="156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5.75" customHeight="1" x14ac:dyDescent="0.25">
      <c r="A527" s="19"/>
      <c r="B527" s="19"/>
      <c r="C527" s="19"/>
      <c r="D527" s="19"/>
      <c r="E527" s="19"/>
      <c r="F527" s="19"/>
      <c r="G527" s="156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5.75" customHeight="1" x14ac:dyDescent="0.25">
      <c r="A528" s="19"/>
      <c r="B528" s="19"/>
      <c r="C528" s="19"/>
      <c r="D528" s="19"/>
      <c r="E528" s="19"/>
      <c r="F528" s="19"/>
      <c r="G528" s="156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5.75" customHeight="1" x14ac:dyDescent="0.25">
      <c r="A529" s="19"/>
      <c r="B529" s="19"/>
      <c r="C529" s="19"/>
      <c r="D529" s="19"/>
      <c r="E529" s="19"/>
      <c r="F529" s="19"/>
      <c r="G529" s="156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5.75" customHeight="1" x14ac:dyDescent="0.25">
      <c r="A530" s="19"/>
      <c r="B530" s="19"/>
      <c r="C530" s="19"/>
      <c r="D530" s="19"/>
      <c r="E530" s="19"/>
      <c r="F530" s="19"/>
      <c r="G530" s="156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5.75" customHeight="1" x14ac:dyDescent="0.25">
      <c r="A531" s="19"/>
      <c r="B531" s="19"/>
      <c r="C531" s="19"/>
      <c r="D531" s="19"/>
      <c r="E531" s="19"/>
      <c r="F531" s="19"/>
      <c r="G531" s="156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5.75" customHeight="1" x14ac:dyDescent="0.25">
      <c r="A532" s="19"/>
      <c r="B532" s="19"/>
      <c r="C532" s="19"/>
      <c r="D532" s="19"/>
      <c r="E532" s="19"/>
      <c r="F532" s="19"/>
      <c r="G532" s="156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5.75" customHeight="1" x14ac:dyDescent="0.25">
      <c r="A533" s="19"/>
      <c r="B533" s="19"/>
      <c r="C533" s="19"/>
      <c r="D533" s="19"/>
      <c r="E533" s="19"/>
      <c r="F533" s="19"/>
      <c r="G533" s="156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5.75" customHeight="1" x14ac:dyDescent="0.25">
      <c r="A534" s="19"/>
      <c r="B534" s="19"/>
      <c r="C534" s="19"/>
      <c r="D534" s="19"/>
      <c r="E534" s="19"/>
      <c r="F534" s="19"/>
      <c r="G534" s="156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5.75" customHeight="1" x14ac:dyDescent="0.25">
      <c r="A535" s="19"/>
      <c r="B535" s="19"/>
      <c r="C535" s="19"/>
      <c r="D535" s="19"/>
      <c r="E535" s="19"/>
      <c r="F535" s="19"/>
      <c r="G535" s="156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5.75" customHeight="1" x14ac:dyDescent="0.25">
      <c r="A536" s="19"/>
      <c r="B536" s="19"/>
      <c r="C536" s="19"/>
      <c r="D536" s="19"/>
      <c r="E536" s="19"/>
      <c r="F536" s="19"/>
      <c r="G536" s="156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5.75" customHeight="1" x14ac:dyDescent="0.25">
      <c r="A537" s="19"/>
      <c r="B537" s="19"/>
      <c r="C537" s="19"/>
      <c r="D537" s="19"/>
      <c r="E537" s="19"/>
      <c r="F537" s="19"/>
      <c r="G537" s="156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5.75" customHeight="1" x14ac:dyDescent="0.25">
      <c r="A538" s="19"/>
      <c r="B538" s="19"/>
      <c r="C538" s="19"/>
      <c r="D538" s="19"/>
      <c r="E538" s="19"/>
      <c r="F538" s="19"/>
      <c r="G538" s="156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5.75" customHeight="1" x14ac:dyDescent="0.25">
      <c r="A539" s="19"/>
      <c r="B539" s="19"/>
      <c r="C539" s="19"/>
      <c r="D539" s="19"/>
      <c r="E539" s="19"/>
      <c r="F539" s="19"/>
      <c r="G539" s="156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5.75" customHeight="1" x14ac:dyDescent="0.25">
      <c r="A540" s="19"/>
      <c r="B540" s="19"/>
      <c r="C540" s="19"/>
      <c r="D540" s="19"/>
      <c r="E540" s="19"/>
      <c r="F540" s="19"/>
      <c r="G540" s="156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5.75" customHeight="1" x14ac:dyDescent="0.25">
      <c r="A541" s="19"/>
      <c r="B541" s="19"/>
      <c r="C541" s="19"/>
      <c r="D541" s="19"/>
      <c r="E541" s="19"/>
      <c r="F541" s="19"/>
      <c r="G541" s="156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5.75" customHeight="1" x14ac:dyDescent="0.25">
      <c r="A542" s="19"/>
      <c r="B542" s="19"/>
      <c r="C542" s="19"/>
      <c r="D542" s="19"/>
      <c r="E542" s="19"/>
      <c r="F542" s="19"/>
      <c r="G542" s="156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5.75" customHeight="1" x14ac:dyDescent="0.25">
      <c r="A543" s="19"/>
      <c r="B543" s="19"/>
      <c r="C543" s="19"/>
      <c r="D543" s="19"/>
      <c r="E543" s="19"/>
      <c r="F543" s="19"/>
      <c r="G543" s="156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5.75" customHeight="1" x14ac:dyDescent="0.25">
      <c r="A544" s="19"/>
      <c r="B544" s="19"/>
      <c r="C544" s="19"/>
      <c r="D544" s="19"/>
      <c r="E544" s="19"/>
      <c r="F544" s="19"/>
      <c r="G544" s="156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5.75" customHeight="1" x14ac:dyDescent="0.25">
      <c r="A545" s="19"/>
      <c r="B545" s="19"/>
      <c r="C545" s="19"/>
      <c r="D545" s="19"/>
      <c r="E545" s="19"/>
      <c r="F545" s="19"/>
      <c r="G545" s="156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5.75" customHeight="1" x14ac:dyDescent="0.25">
      <c r="A546" s="19"/>
      <c r="B546" s="19"/>
      <c r="C546" s="19"/>
      <c r="D546" s="19"/>
      <c r="E546" s="19"/>
      <c r="F546" s="19"/>
      <c r="G546" s="156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5.75" customHeight="1" x14ac:dyDescent="0.25">
      <c r="A547" s="19"/>
      <c r="B547" s="19"/>
      <c r="C547" s="19"/>
      <c r="D547" s="19"/>
      <c r="E547" s="19"/>
      <c r="F547" s="19"/>
      <c r="G547" s="156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5.75" customHeight="1" x14ac:dyDescent="0.25">
      <c r="A548" s="19"/>
      <c r="B548" s="19"/>
      <c r="C548" s="19"/>
      <c r="D548" s="19"/>
      <c r="E548" s="19"/>
      <c r="F548" s="19"/>
      <c r="G548" s="156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5.75" customHeight="1" x14ac:dyDescent="0.25">
      <c r="A549" s="19"/>
      <c r="B549" s="19"/>
      <c r="C549" s="19"/>
      <c r="D549" s="19"/>
      <c r="E549" s="19"/>
      <c r="F549" s="19"/>
      <c r="G549" s="156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5.75" customHeight="1" x14ac:dyDescent="0.25">
      <c r="A550" s="19"/>
      <c r="B550" s="19"/>
      <c r="C550" s="19"/>
      <c r="D550" s="19"/>
      <c r="E550" s="19"/>
      <c r="F550" s="19"/>
      <c r="G550" s="156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5.75" customHeight="1" x14ac:dyDescent="0.25">
      <c r="A551" s="19"/>
      <c r="B551" s="19"/>
      <c r="C551" s="19"/>
      <c r="D551" s="19"/>
      <c r="E551" s="19"/>
      <c r="F551" s="19"/>
      <c r="G551" s="156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5.75" customHeight="1" x14ac:dyDescent="0.25">
      <c r="A552" s="19"/>
      <c r="B552" s="19"/>
      <c r="C552" s="19"/>
      <c r="D552" s="19"/>
      <c r="E552" s="19"/>
      <c r="F552" s="19"/>
      <c r="G552" s="156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5.75" customHeight="1" x14ac:dyDescent="0.25">
      <c r="A553" s="19"/>
      <c r="B553" s="19"/>
      <c r="C553" s="19"/>
      <c r="D553" s="19"/>
      <c r="E553" s="19"/>
      <c r="F553" s="19"/>
      <c r="G553" s="156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5.75" customHeight="1" x14ac:dyDescent="0.25">
      <c r="A554" s="19"/>
      <c r="B554" s="19"/>
      <c r="C554" s="19"/>
      <c r="D554" s="19"/>
      <c r="E554" s="19"/>
      <c r="F554" s="19"/>
      <c r="G554" s="156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5.75" customHeight="1" x14ac:dyDescent="0.25">
      <c r="A555" s="19"/>
      <c r="B555" s="19"/>
      <c r="C555" s="19"/>
      <c r="D555" s="19"/>
      <c r="E555" s="19"/>
      <c r="F555" s="19"/>
      <c r="G555" s="156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5.75" customHeight="1" x14ac:dyDescent="0.25">
      <c r="A556" s="19"/>
      <c r="B556" s="19"/>
      <c r="C556" s="19"/>
      <c r="D556" s="19"/>
      <c r="E556" s="19"/>
      <c r="F556" s="19"/>
      <c r="G556" s="156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5.75" customHeight="1" x14ac:dyDescent="0.25">
      <c r="A557" s="19"/>
      <c r="B557" s="19"/>
      <c r="C557" s="19"/>
      <c r="D557" s="19"/>
      <c r="E557" s="19"/>
      <c r="F557" s="19"/>
      <c r="G557" s="156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5.75" customHeight="1" x14ac:dyDescent="0.25">
      <c r="A558" s="19"/>
      <c r="B558" s="19"/>
      <c r="C558" s="19"/>
      <c r="D558" s="19"/>
      <c r="E558" s="19"/>
      <c r="F558" s="19"/>
      <c r="G558" s="156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5.75" customHeight="1" x14ac:dyDescent="0.25">
      <c r="A559" s="19"/>
      <c r="B559" s="19"/>
      <c r="C559" s="19"/>
      <c r="D559" s="19"/>
      <c r="E559" s="19"/>
      <c r="F559" s="19"/>
      <c r="G559" s="156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5.75" customHeight="1" x14ac:dyDescent="0.25">
      <c r="A560" s="19"/>
      <c r="B560" s="19"/>
      <c r="C560" s="19"/>
      <c r="D560" s="19"/>
      <c r="E560" s="19"/>
      <c r="F560" s="19"/>
      <c r="G560" s="156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5.75" customHeight="1" x14ac:dyDescent="0.25">
      <c r="A561" s="19"/>
      <c r="B561" s="19"/>
      <c r="C561" s="19"/>
      <c r="D561" s="19"/>
      <c r="E561" s="19"/>
      <c r="F561" s="19"/>
      <c r="G561" s="156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5.75" customHeight="1" x14ac:dyDescent="0.25">
      <c r="A562" s="19"/>
      <c r="B562" s="19"/>
      <c r="C562" s="19"/>
      <c r="D562" s="19"/>
      <c r="E562" s="19"/>
      <c r="F562" s="19"/>
      <c r="G562" s="156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5.75" customHeight="1" x14ac:dyDescent="0.25">
      <c r="A563" s="19"/>
      <c r="B563" s="19"/>
      <c r="C563" s="19"/>
      <c r="D563" s="19"/>
      <c r="E563" s="19"/>
      <c r="F563" s="19"/>
      <c r="G563" s="156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5.75" customHeight="1" x14ac:dyDescent="0.25">
      <c r="A564" s="19"/>
      <c r="B564" s="19"/>
      <c r="C564" s="19"/>
      <c r="D564" s="19"/>
      <c r="E564" s="19"/>
      <c r="F564" s="19"/>
      <c r="G564" s="156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5.75" customHeight="1" x14ac:dyDescent="0.25">
      <c r="A565" s="19"/>
      <c r="B565" s="19"/>
      <c r="C565" s="19"/>
      <c r="D565" s="19"/>
      <c r="E565" s="19"/>
      <c r="F565" s="19"/>
      <c r="G565" s="156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5.75" customHeight="1" x14ac:dyDescent="0.25">
      <c r="A566" s="19"/>
      <c r="B566" s="19"/>
      <c r="C566" s="19"/>
      <c r="D566" s="19"/>
      <c r="E566" s="19"/>
      <c r="F566" s="19"/>
      <c r="G566" s="156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5.75" customHeight="1" x14ac:dyDescent="0.25">
      <c r="A567" s="19"/>
      <c r="B567" s="19"/>
      <c r="C567" s="19"/>
      <c r="D567" s="19"/>
      <c r="E567" s="19"/>
      <c r="F567" s="19"/>
      <c r="G567" s="156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5.75" customHeight="1" x14ac:dyDescent="0.25">
      <c r="A568" s="19"/>
      <c r="B568" s="19"/>
      <c r="C568" s="19"/>
      <c r="D568" s="19"/>
      <c r="E568" s="19"/>
      <c r="F568" s="19"/>
      <c r="G568" s="156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5.75" customHeight="1" x14ac:dyDescent="0.25">
      <c r="A569" s="19"/>
      <c r="B569" s="19"/>
      <c r="C569" s="19"/>
      <c r="D569" s="19"/>
      <c r="E569" s="19"/>
      <c r="F569" s="19"/>
      <c r="G569" s="156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5.75" customHeight="1" x14ac:dyDescent="0.25">
      <c r="A570" s="19"/>
      <c r="B570" s="19"/>
      <c r="C570" s="19"/>
      <c r="D570" s="19"/>
      <c r="E570" s="19"/>
      <c r="F570" s="19"/>
      <c r="G570" s="156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5.75" customHeight="1" x14ac:dyDescent="0.25">
      <c r="A571" s="19"/>
      <c r="B571" s="19"/>
      <c r="C571" s="19"/>
      <c r="D571" s="19"/>
      <c r="E571" s="19"/>
      <c r="F571" s="19"/>
      <c r="G571" s="156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5.75" customHeight="1" x14ac:dyDescent="0.25">
      <c r="A572" s="19"/>
      <c r="B572" s="19"/>
      <c r="C572" s="19"/>
      <c r="D572" s="19"/>
      <c r="E572" s="19"/>
      <c r="F572" s="19"/>
      <c r="G572" s="156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5.75" customHeight="1" x14ac:dyDescent="0.25">
      <c r="A573" s="19"/>
      <c r="B573" s="19"/>
      <c r="C573" s="19"/>
      <c r="D573" s="19"/>
      <c r="E573" s="19"/>
      <c r="F573" s="19"/>
      <c r="G573" s="156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5.75" customHeight="1" x14ac:dyDescent="0.25">
      <c r="A574" s="19"/>
      <c r="B574" s="19"/>
      <c r="C574" s="19"/>
      <c r="D574" s="19"/>
      <c r="E574" s="19"/>
      <c r="F574" s="19"/>
      <c r="G574" s="156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5.75" customHeight="1" x14ac:dyDescent="0.25">
      <c r="A575" s="19"/>
      <c r="B575" s="19"/>
      <c r="C575" s="19"/>
      <c r="D575" s="19"/>
      <c r="E575" s="19"/>
      <c r="F575" s="19"/>
      <c r="G575" s="156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5.75" customHeight="1" x14ac:dyDescent="0.25">
      <c r="A576" s="19"/>
      <c r="B576" s="19"/>
      <c r="C576" s="19"/>
      <c r="D576" s="19"/>
      <c r="E576" s="19"/>
      <c r="F576" s="19"/>
      <c r="G576" s="156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5.75" customHeight="1" x14ac:dyDescent="0.25">
      <c r="A577" s="19"/>
      <c r="B577" s="19"/>
      <c r="C577" s="19"/>
      <c r="D577" s="19"/>
      <c r="E577" s="19"/>
      <c r="F577" s="19"/>
      <c r="G577" s="156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5.75" customHeight="1" x14ac:dyDescent="0.25">
      <c r="A578" s="19"/>
      <c r="B578" s="19"/>
      <c r="C578" s="19"/>
      <c r="D578" s="19"/>
      <c r="E578" s="19"/>
      <c r="F578" s="19"/>
      <c r="G578" s="156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5.75" customHeight="1" x14ac:dyDescent="0.25">
      <c r="A579" s="19"/>
      <c r="B579" s="19"/>
      <c r="C579" s="19"/>
      <c r="D579" s="19"/>
      <c r="E579" s="19"/>
      <c r="F579" s="19"/>
      <c r="G579" s="156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5.75" customHeight="1" x14ac:dyDescent="0.25">
      <c r="A580" s="19"/>
      <c r="B580" s="19"/>
      <c r="C580" s="19"/>
      <c r="D580" s="19"/>
      <c r="E580" s="19"/>
      <c r="F580" s="19"/>
      <c r="G580" s="156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5.75" customHeight="1" x14ac:dyDescent="0.25">
      <c r="A581" s="19"/>
      <c r="B581" s="19"/>
      <c r="C581" s="19"/>
      <c r="D581" s="19"/>
      <c r="E581" s="19"/>
      <c r="F581" s="19"/>
      <c r="G581" s="156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5.75" customHeight="1" x14ac:dyDescent="0.25">
      <c r="A582" s="19"/>
      <c r="B582" s="19"/>
      <c r="C582" s="19"/>
      <c r="D582" s="19"/>
      <c r="E582" s="19"/>
      <c r="F582" s="19"/>
      <c r="G582" s="156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5.75" customHeight="1" x14ac:dyDescent="0.25">
      <c r="A583" s="19"/>
      <c r="B583" s="19"/>
      <c r="C583" s="19"/>
      <c r="D583" s="19"/>
      <c r="E583" s="19"/>
      <c r="F583" s="19"/>
      <c r="G583" s="156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5.75" customHeight="1" x14ac:dyDescent="0.25">
      <c r="A584" s="19"/>
      <c r="B584" s="19"/>
      <c r="C584" s="19"/>
      <c r="D584" s="19"/>
      <c r="E584" s="19"/>
      <c r="F584" s="19"/>
      <c r="G584" s="156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5.75" customHeight="1" x14ac:dyDescent="0.25">
      <c r="A585" s="19"/>
      <c r="B585" s="19"/>
      <c r="C585" s="19"/>
      <c r="D585" s="19"/>
      <c r="E585" s="19"/>
      <c r="F585" s="19"/>
      <c r="G585" s="156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5.75" customHeight="1" x14ac:dyDescent="0.25">
      <c r="A586" s="19"/>
      <c r="B586" s="19"/>
      <c r="C586" s="19"/>
      <c r="D586" s="19"/>
      <c r="E586" s="19"/>
      <c r="F586" s="19"/>
      <c r="G586" s="156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5.75" customHeight="1" x14ac:dyDescent="0.25">
      <c r="A587" s="19"/>
      <c r="B587" s="19"/>
      <c r="C587" s="19"/>
      <c r="D587" s="19"/>
      <c r="E587" s="19"/>
      <c r="F587" s="19"/>
      <c r="G587" s="156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5.75" customHeight="1" x14ac:dyDescent="0.25">
      <c r="A588" s="19"/>
      <c r="B588" s="19"/>
      <c r="C588" s="19"/>
      <c r="D588" s="19"/>
      <c r="E588" s="19"/>
      <c r="F588" s="19"/>
      <c r="G588" s="156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5.75" customHeight="1" x14ac:dyDescent="0.25">
      <c r="A589" s="19"/>
      <c r="B589" s="19"/>
      <c r="C589" s="19"/>
      <c r="D589" s="19"/>
      <c r="E589" s="19"/>
      <c r="F589" s="19"/>
      <c r="G589" s="156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5.75" customHeight="1" x14ac:dyDescent="0.25">
      <c r="A590" s="19"/>
      <c r="B590" s="19"/>
      <c r="C590" s="19"/>
      <c r="D590" s="19"/>
      <c r="E590" s="19"/>
      <c r="F590" s="19"/>
      <c r="G590" s="156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5.75" customHeight="1" x14ac:dyDescent="0.25">
      <c r="A591" s="19"/>
      <c r="B591" s="19"/>
      <c r="C591" s="19"/>
      <c r="D591" s="19"/>
      <c r="E591" s="19"/>
      <c r="F591" s="19"/>
      <c r="G591" s="156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5.75" customHeight="1" x14ac:dyDescent="0.25">
      <c r="A592" s="19"/>
      <c r="B592" s="19"/>
      <c r="C592" s="19"/>
      <c r="D592" s="19"/>
      <c r="E592" s="19"/>
      <c r="F592" s="19"/>
      <c r="G592" s="156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5.75" customHeight="1" x14ac:dyDescent="0.25">
      <c r="A593" s="19"/>
      <c r="B593" s="19"/>
      <c r="C593" s="19"/>
      <c r="D593" s="19"/>
      <c r="E593" s="19"/>
      <c r="F593" s="19"/>
      <c r="G593" s="156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5.75" customHeight="1" x14ac:dyDescent="0.25">
      <c r="A594" s="19"/>
      <c r="B594" s="19"/>
      <c r="C594" s="19"/>
      <c r="D594" s="19"/>
      <c r="E594" s="19"/>
      <c r="F594" s="19"/>
      <c r="G594" s="156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5.75" customHeight="1" x14ac:dyDescent="0.25">
      <c r="A595" s="19"/>
      <c r="B595" s="19"/>
      <c r="C595" s="19"/>
      <c r="D595" s="19"/>
      <c r="E595" s="19"/>
      <c r="F595" s="19"/>
      <c r="G595" s="156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5.75" customHeight="1" x14ac:dyDescent="0.25">
      <c r="A596" s="19"/>
      <c r="B596" s="19"/>
      <c r="C596" s="19"/>
      <c r="D596" s="19"/>
      <c r="E596" s="19"/>
      <c r="F596" s="19"/>
      <c r="G596" s="156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5.75" customHeight="1" x14ac:dyDescent="0.25">
      <c r="A597" s="19"/>
      <c r="B597" s="19"/>
      <c r="C597" s="19"/>
      <c r="D597" s="19"/>
      <c r="E597" s="19"/>
      <c r="F597" s="19"/>
      <c r="G597" s="156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5.75" customHeight="1" x14ac:dyDescent="0.25">
      <c r="A598" s="19"/>
      <c r="B598" s="19"/>
      <c r="C598" s="19"/>
      <c r="D598" s="19"/>
      <c r="E598" s="19"/>
      <c r="F598" s="19"/>
      <c r="G598" s="156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5.75" customHeight="1" x14ac:dyDescent="0.25">
      <c r="A599" s="19"/>
      <c r="B599" s="19"/>
      <c r="C599" s="19"/>
      <c r="D599" s="19"/>
      <c r="E599" s="19"/>
      <c r="F599" s="19"/>
      <c r="G599" s="156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5.75" customHeight="1" x14ac:dyDescent="0.25">
      <c r="A600" s="19"/>
      <c r="B600" s="19"/>
      <c r="C600" s="19"/>
      <c r="D600" s="19"/>
      <c r="E600" s="19"/>
      <c r="F600" s="19"/>
      <c r="G600" s="156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5.75" customHeight="1" x14ac:dyDescent="0.25">
      <c r="A601" s="19"/>
      <c r="B601" s="19"/>
      <c r="C601" s="19"/>
      <c r="D601" s="19"/>
      <c r="E601" s="19"/>
      <c r="F601" s="19"/>
      <c r="G601" s="156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5.75" customHeight="1" x14ac:dyDescent="0.25">
      <c r="A602" s="19"/>
      <c r="B602" s="19"/>
      <c r="C602" s="19"/>
      <c r="D602" s="19"/>
      <c r="E602" s="19"/>
      <c r="F602" s="19"/>
      <c r="G602" s="156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5.75" customHeight="1" x14ac:dyDescent="0.25">
      <c r="A603" s="19"/>
      <c r="B603" s="19"/>
      <c r="C603" s="19"/>
      <c r="D603" s="19"/>
      <c r="E603" s="19"/>
      <c r="F603" s="19"/>
      <c r="G603" s="156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5.75" customHeight="1" x14ac:dyDescent="0.25">
      <c r="A604" s="19"/>
      <c r="B604" s="19"/>
      <c r="C604" s="19"/>
      <c r="D604" s="19"/>
      <c r="E604" s="19"/>
      <c r="F604" s="19"/>
      <c r="G604" s="156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5.75" customHeight="1" x14ac:dyDescent="0.25">
      <c r="A605" s="19"/>
      <c r="B605" s="19"/>
      <c r="C605" s="19"/>
      <c r="D605" s="19"/>
      <c r="E605" s="19"/>
      <c r="F605" s="19"/>
      <c r="G605" s="156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5.75" customHeight="1" x14ac:dyDescent="0.25">
      <c r="A606" s="19"/>
      <c r="B606" s="19"/>
      <c r="C606" s="19"/>
      <c r="D606" s="19"/>
      <c r="E606" s="19"/>
      <c r="F606" s="19"/>
      <c r="G606" s="156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5.75" customHeight="1" x14ac:dyDescent="0.25">
      <c r="A607" s="19"/>
      <c r="B607" s="19"/>
      <c r="C607" s="19"/>
      <c r="D607" s="19"/>
      <c r="E607" s="19"/>
      <c r="F607" s="19"/>
      <c r="G607" s="156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5.75" customHeight="1" x14ac:dyDescent="0.25">
      <c r="A608" s="19"/>
      <c r="B608" s="19"/>
      <c r="C608" s="19"/>
      <c r="D608" s="19"/>
      <c r="E608" s="19"/>
      <c r="F608" s="19"/>
      <c r="G608" s="156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5.75" customHeight="1" x14ac:dyDescent="0.25">
      <c r="A609" s="19"/>
      <c r="B609" s="19"/>
      <c r="C609" s="19"/>
      <c r="D609" s="19"/>
      <c r="E609" s="19"/>
      <c r="F609" s="19"/>
      <c r="G609" s="156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5.75" customHeight="1" x14ac:dyDescent="0.25">
      <c r="A610" s="19"/>
      <c r="B610" s="19"/>
      <c r="C610" s="19"/>
      <c r="D610" s="19"/>
      <c r="E610" s="19"/>
      <c r="F610" s="19"/>
      <c r="G610" s="156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5.75" customHeight="1" x14ac:dyDescent="0.25">
      <c r="A611" s="19"/>
      <c r="B611" s="19"/>
      <c r="C611" s="19"/>
      <c r="D611" s="19"/>
      <c r="E611" s="19"/>
      <c r="F611" s="19"/>
      <c r="G611" s="156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5.75" customHeight="1" x14ac:dyDescent="0.25">
      <c r="A612" s="19"/>
      <c r="B612" s="19"/>
      <c r="C612" s="19"/>
      <c r="D612" s="19"/>
      <c r="E612" s="19"/>
      <c r="F612" s="19"/>
      <c r="G612" s="156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5.75" customHeight="1" x14ac:dyDescent="0.25">
      <c r="A613" s="19"/>
      <c r="B613" s="19"/>
      <c r="C613" s="19"/>
      <c r="D613" s="19"/>
      <c r="E613" s="19"/>
      <c r="F613" s="19"/>
      <c r="G613" s="156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5.75" customHeight="1" x14ac:dyDescent="0.25">
      <c r="A614" s="19"/>
      <c r="B614" s="19"/>
      <c r="C614" s="19"/>
      <c r="D614" s="19"/>
      <c r="E614" s="19"/>
      <c r="F614" s="19"/>
      <c r="G614" s="156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5.75" customHeight="1" x14ac:dyDescent="0.25">
      <c r="A615" s="19"/>
      <c r="B615" s="19"/>
      <c r="C615" s="19"/>
      <c r="D615" s="19"/>
      <c r="E615" s="19"/>
      <c r="F615" s="19"/>
      <c r="G615" s="156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5.75" customHeight="1" x14ac:dyDescent="0.25">
      <c r="A616" s="19"/>
      <c r="B616" s="19"/>
      <c r="C616" s="19"/>
      <c r="D616" s="19"/>
      <c r="E616" s="19"/>
      <c r="F616" s="19"/>
      <c r="G616" s="156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5.75" customHeight="1" x14ac:dyDescent="0.25">
      <c r="A617" s="19"/>
      <c r="B617" s="19"/>
      <c r="C617" s="19"/>
      <c r="D617" s="19"/>
      <c r="E617" s="19"/>
      <c r="F617" s="19"/>
      <c r="G617" s="156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5.75" customHeight="1" x14ac:dyDescent="0.25">
      <c r="A618" s="19"/>
      <c r="B618" s="19"/>
      <c r="C618" s="19"/>
      <c r="D618" s="19"/>
      <c r="E618" s="19"/>
      <c r="F618" s="19"/>
      <c r="G618" s="156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5.75" customHeight="1" x14ac:dyDescent="0.25">
      <c r="A619" s="19"/>
      <c r="B619" s="19"/>
      <c r="C619" s="19"/>
      <c r="D619" s="19"/>
      <c r="E619" s="19"/>
      <c r="F619" s="19"/>
      <c r="G619" s="156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5.75" customHeight="1" x14ac:dyDescent="0.25">
      <c r="A620" s="19"/>
      <c r="B620" s="19"/>
      <c r="C620" s="19"/>
      <c r="D620" s="19"/>
      <c r="E620" s="19"/>
      <c r="F620" s="19"/>
      <c r="G620" s="156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5.75" customHeight="1" x14ac:dyDescent="0.25">
      <c r="A621" s="19"/>
      <c r="B621" s="19"/>
      <c r="C621" s="19"/>
      <c r="D621" s="19"/>
      <c r="E621" s="19"/>
      <c r="F621" s="19"/>
      <c r="G621" s="156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5.75" customHeight="1" x14ac:dyDescent="0.25">
      <c r="A622" s="19"/>
      <c r="B622" s="19"/>
      <c r="C622" s="19"/>
      <c r="D622" s="19"/>
      <c r="E622" s="19"/>
      <c r="F622" s="19"/>
      <c r="G622" s="156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5.75" customHeight="1" x14ac:dyDescent="0.25">
      <c r="A623" s="19"/>
      <c r="B623" s="19"/>
      <c r="C623" s="19"/>
      <c r="D623" s="19"/>
      <c r="E623" s="19"/>
      <c r="F623" s="19"/>
      <c r="G623" s="156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5.75" customHeight="1" x14ac:dyDescent="0.25">
      <c r="A624" s="19"/>
      <c r="B624" s="19"/>
      <c r="C624" s="19"/>
      <c r="D624" s="19"/>
      <c r="E624" s="19"/>
      <c r="F624" s="19"/>
      <c r="G624" s="156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5.75" customHeight="1" x14ac:dyDescent="0.25">
      <c r="A625" s="19"/>
      <c r="B625" s="19"/>
      <c r="C625" s="19"/>
      <c r="D625" s="19"/>
      <c r="E625" s="19"/>
      <c r="F625" s="19"/>
      <c r="G625" s="156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5.75" customHeight="1" x14ac:dyDescent="0.25">
      <c r="A626" s="19"/>
      <c r="B626" s="19"/>
      <c r="C626" s="19"/>
      <c r="D626" s="19"/>
      <c r="E626" s="19"/>
      <c r="F626" s="19"/>
      <c r="G626" s="156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5.75" customHeight="1" x14ac:dyDescent="0.25">
      <c r="A627" s="19"/>
      <c r="B627" s="19"/>
      <c r="C627" s="19"/>
      <c r="D627" s="19"/>
      <c r="E627" s="19"/>
      <c r="F627" s="19"/>
      <c r="G627" s="156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5.75" customHeight="1" x14ac:dyDescent="0.25">
      <c r="A628" s="19"/>
      <c r="B628" s="19"/>
      <c r="C628" s="19"/>
      <c r="D628" s="19"/>
      <c r="E628" s="19"/>
      <c r="F628" s="19"/>
      <c r="G628" s="156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5.75" customHeight="1" x14ac:dyDescent="0.25">
      <c r="A629" s="19"/>
      <c r="B629" s="19"/>
      <c r="C629" s="19"/>
      <c r="D629" s="19"/>
      <c r="E629" s="19"/>
      <c r="F629" s="19"/>
      <c r="G629" s="156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5.75" customHeight="1" x14ac:dyDescent="0.25">
      <c r="A630" s="19"/>
      <c r="B630" s="19"/>
      <c r="C630" s="19"/>
      <c r="D630" s="19"/>
      <c r="E630" s="19"/>
      <c r="F630" s="19"/>
      <c r="G630" s="156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5.75" customHeight="1" x14ac:dyDescent="0.25">
      <c r="A631" s="19"/>
      <c r="B631" s="19"/>
      <c r="C631" s="19"/>
      <c r="D631" s="19"/>
      <c r="E631" s="19"/>
      <c r="F631" s="19"/>
      <c r="G631" s="156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5.75" customHeight="1" x14ac:dyDescent="0.25">
      <c r="A632" s="19"/>
      <c r="B632" s="19"/>
      <c r="C632" s="19"/>
      <c r="D632" s="19"/>
      <c r="E632" s="19"/>
      <c r="F632" s="19"/>
      <c r="G632" s="156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5.75" customHeight="1" x14ac:dyDescent="0.25">
      <c r="A633" s="19"/>
      <c r="B633" s="19"/>
      <c r="C633" s="19"/>
      <c r="D633" s="19"/>
      <c r="E633" s="19"/>
      <c r="F633" s="19"/>
      <c r="G633" s="156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5.75" customHeight="1" x14ac:dyDescent="0.25">
      <c r="A634" s="19"/>
      <c r="B634" s="19"/>
      <c r="C634" s="19"/>
      <c r="D634" s="19"/>
      <c r="E634" s="19"/>
      <c r="F634" s="19"/>
      <c r="G634" s="156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5.75" customHeight="1" x14ac:dyDescent="0.25">
      <c r="A635" s="19"/>
      <c r="B635" s="19"/>
      <c r="C635" s="19"/>
      <c r="D635" s="19"/>
      <c r="E635" s="19"/>
      <c r="F635" s="19"/>
      <c r="G635" s="156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5.75" customHeight="1" x14ac:dyDescent="0.25">
      <c r="A636" s="19"/>
      <c r="B636" s="19"/>
      <c r="C636" s="19"/>
      <c r="D636" s="19"/>
      <c r="E636" s="19"/>
      <c r="F636" s="19"/>
      <c r="G636" s="156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5.75" customHeight="1" x14ac:dyDescent="0.25">
      <c r="A637" s="19"/>
      <c r="B637" s="19"/>
      <c r="C637" s="19"/>
      <c r="D637" s="19"/>
      <c r="E637" s="19"/>
      <c r="F637" s="19"/>
      <c r="G637" s="156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5.75" customHeight="1" x14ac:dyDescent="0.25">
      <c r="A638" s="19"/>
      <c r="B638" s="19"/>
      <c r="C638" s="19"/>
      <c r="D638" s="19"/>
      <c r="E638" s="19"/>
      <c r="F638" s="19"/>
      <c r="G638" s="156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5.75" customHeight="1" x14ac:dyDescent="0.25">
      <c r="A639" s="19"/>
      <c r="B639" s="19"/>
      <c r="C639" s="19"/>
      <c r="D639" s="19"/>
      <c r="E639" s="19"/>
      <c r="F639" s="19"/>
      <c r="G639" s="156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5.75" customHeight="1" x14ac:dyDescent="0.25">
      <c r="A640" s="19"/>
      <c r="B640" s="19"/>
      <c r="C640" s="19"/>
      <c r="D640" s="19"/>
      <c r="E640" s="19"/>
      <c r="F640" s="19"/>
      <c r="G640" s="156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5.75" customHeight="1" x14ac:dyDescent="0.25">
      <c r="A641" s="19"/>
      <c r="B641" s="19"/>
      <c r="C641" s="19"/>
      <c r="D641" s="19"/>
      <c r="E641" s="19"/>
      <c r="F641" s="19"/>
      <c r="G641" s="156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5.75" customHeight="1" x14ac:dyDescent="0.25">
      <c r="A642" s="19"/>
      <c r="B642" s="19"/>
      <c r="C642" s="19"/>
      <c r="D642" s="19"/>
      <c r="E642" s="19"/>
      <c r="F642" s="19"/>
      <c r="G642" s="156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5.75" customHeight="1" x14ac:dyDescent="0.25">
      <c r="A643" s="19"/>
      <c r="B643" s="19"/>
      <c r="C643" s="19"/>
      <c r="D643" s="19"/>
      <c r="E643" s="19"/>
      <c r="F643" s="19"/>
      <c r="G643" s="156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5.75" customHeight="1" x14ac:dyDescent="0.25">
      <c r="A644" s="19"/>
      <c r="B644" s="19"/>
      <c r="C644" s="19"/>
      <c r="D644" s="19"/>
      <c r="E644" s="19"/>
      <c r="F644" s="19"/>
      <c r="G644" s="156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5.75" customHeight="1" x14ac:dyDescent="0.25">
      <c r="A645" s="19"/>
      <c r="B645" s="19"/>
      <c r="C645" s="19"/>
      <c r="D645" s="19"/>
      <c r="E645" s="19"/>
      <c r="F645" s="19"/>
      <c r="G645" s="156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5.75" customHeight="1" x14ac:dyDescent="0.25">
      <c r="A646" s="19"/>
      <c r="B646" s="19"/>
      <c r="C646" s="19"/>
      <c r="D646" s="19"/>
      <c r="E646" s="19"/>
      <c r="F646" s="19"/>
      <c r="G646" s="156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5.75" customHeight="1" x14ac:dyDescent="0.25">
      <c r="A647" s="19"/>
      <c r="B647" s="19"/>
      <c r="C647" s="19"/>
      <c r="D647" s="19"/>
      <c r="E647" s="19"/>
      <c r="F647" s="19"/>
      <c r="G647" s="156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5.75" customHeight="1" x14ac:dyDescent="0.25">
      <c r="A648" s="19"/>
      <c r="B648" s="19"/>
      <c r="C648" s="19"/>
      <c r="D648" s="19"/>
      <c r="E648" s="19"/>
      <c r="F648" s="19"/>
      <c r="G648" s="156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5.75" customHeight="1" x14ac:dyDescent="0.25">
      <c r="A649" s="19"/>
      <c r="B649" s="19"/>
      <c r="C649" s="19"/>
      <c r="D649" s="19"/>
      <c r="E649" s="19"/>
      <c r="F649" s="19"/>
      <c r="G649" s="156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5.75" customHeight="1" x14ac:dyDescent="0.25">
      <c r="A650" s="19"/>
      <c r="B650" s="19"/>
      <c r="C650" s="19"/>
      <c r="D650" s="19"/>
      <c r="E650" s="19"/>
      <c r="F650" s="19"/>
      <c r="G650" s="156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5.75" customHeight="1" x14ac:dyDescent="0.25">
      <c r="A651" s="19"/>
      <c r="B651" s="19"/>
      <c r="C651" s="19"/>
      <c r="D651" s="19"/>
      <c r="E651" s="19"/>
      <c r="F651" s="19"/>
      <c r="G651" s="156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5.75" customHeight="1" x14ac:dyDescent="0.25">
      <c r="A652" s="19"/>
      <c r="B652" s="19"/>
      <c r="C652" s="19"/>
      <c r="D652" s="19"/>
      <c r="E652" s="19"/>
      <c r="F652" s="19"/>
      <c r="G652" s="156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5.75" customHeight="1" x14ac:dyDescent="0.25">
      <c r="A653" s="19"/>
      <c r="B653" s="19"/>
      <c r="C653" s="19"/>
      <c r="D653" s="19"/>
      <c r="E653" s="19"/>
      <c r="F653" s="19"/>
      <c r="G653" s="156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5.75" customHeight="1" x14ac:dyDescent="0.25">
      <c r="A654" s="19"/>
      <c r="B654" s="19"/>
      <c r="C654" s="19"/>
      <c r="D654" s="19"/>
      <c r="E654" s="19"/>
      <c r="F654" s="19"/>
      <c r="G654" s="156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5.75" customHeight="1" x14ac:dyDescent="0.25">
      <c r="A655" s="19"/>
      <c r="B655" s="19"/>
      <c r="C655" s="19"/>
      <c r="D655" s="19"/>
      <c r="E655" s="19"/>
      <c r="F655" s="19"/>
      <c r="G655" s="156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5.75" customHeight="1" x14ac:dyDescent="0.25">
      <c r="A656" s="19"/>
      <c r="B656" s="19"/>
      <c r="C656" s="19"/>
      <c r="D656" s="19"/>
      <c r="E656" s="19"/>
      <c r="F656" s="19"/>
      <c r="G656" s="156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5.75" customHeight="1" x14ac:dyDescent="0.25">
      <c r="A657" s="19"/>
      <c r="B657" s="19"/>
      <c r="C657" s="19"/>
      <c r="D657" s="19"/>
      <c r="E657" s="19"/>
      <c r="F657" s="19"/>
      <c r="G657" s="156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5.75" customHeight="1" x14ac:dyDescent="0.25">
      <c r="A658" s="19"/>
      <c r="B658" s="19"/>
      <c r="C658" s="19"/>
      <c r="D658" s="19"/>
      <c r="E658" s="19"/>
      <c r="F658" s="19"/>
      <c r="G658" s="156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5.75" customHeight="1" x14ac:dyDescent="0.25">
      <c r="A659" s="19"/>
      <c r="B659" s="19"/>
      <c r="C659" s="19"/>
      <c r="D659" s="19"/>
      <c r="E659" s="19"/>
      <c r="F659" s="19"/>
      <c r="G659" s="156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5.75" customHeight="1" x14ac:dyDescent="0.25">
      <c r="A660" s="19"/>
      <c r="B660" s="19"/>
      <c r="C660" s="19"/>
      <c r="D660" s="19"/>
      <c r="E660" s="19"/>
      <c r="F660" s="19"/>
      <c r="G660" s="156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5.75" customHeight="1" x14ac:dyDescent="0.25">
      <c r="A661" s="19"/>
      <c r="B661" s="19"/>
      <c r="C661" s="19"/>
      <c r="D661" s="19"/>
      <c r="E661" s="19"/>
      <c r="F661" s="19"/>
      <c r="G661" s="156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5.75" customHeight="1" x14ac:dyDescent="0.25">
      <c r="A662" s="19"/>
      <c r="B662" s="19"/>
      <c r="C662" s="19"/>
      <c r="D662" s="19"/>
      <c r="E662" s="19"/>
      <c r="F662" s="19"/>
      <c r="G662" s="156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5.75" customHeight="1" x14ac:dyDescent="0.25">
      <c r="A663" s="19"/>
      <c r="B663" s="19"/>
      <c r="C663" s="19"/>
      <c r="D663" s="19"/>
      <c r="E663" s="19"/>
      <c r="F663" s="19"/>
      <c r="G663" s="156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5.75" customHeight="1" x14ac:dyDescent="0.25">
      <c r="A664" s="19"/>
      <c r="B664" s="19"/>
      <c r="C664" s="19"/>
      <c r="D664" s="19"/>
      <c r="E664" s="19"/>
      <c r="F664" s="19"/>
      <c r="G664" s="156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5.75" customHeight="1" x14ac:dyDescent="0.25">
      <c r="A665" s="19"/>
      <c r="B665" s="19"/>
      <c r="C665" s="19"/>
      <c r="D665" s="19"/>
      <c r="E665" s="19"/>
      <c r="F665" s="19"/>
      <c r="G665" s="156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5.75" customHeight="1" x14ac:dyDescent="0.25">
      <c r="A666" s="19"/>
      <c r="B666" s="19"/>
      <c r="C666" s="19"/>
      <c r="D666" s="19"/>
      <c r="E666" s="19"/>
      <c r="F666" s="19"/>
      <c r="G666" s="156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5.75" customHeight="1" x14ac:dyDescent="0.25">
      <c r="A667" s="19"/>
      <c r="B667" s="19"/>
      <c r="C667" s="19"/>
      <c r="D667" s="19"/>
      <c r="E667" s="19"/>
      <c r="F667" s="19"/>
      <c r="G667" s="156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5.75" customHeight="1" x14ac:dyDescent="0.25">
      <c r="A668" s="19"/>
      <c r="B668" s="19"/>
      <c r="C668" s="19"/>
      <c r="D668" s="19"/>
      <c r="E668" s="19"/>
      <c r="F668" s="19"/>
      <c r="G668" s="156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5.75" customHeight="1" x14ac:dyDescent="0.25">
      <c r="A669" s="19"/>
      <c r="B669" s="19"/>
      <c r="C669" s="19"/>
      <c r="D669" s="19"/>
      <c r="E669" s="19"/>
      <c r="F669" s="19"/>
      <c r="G669" s="156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5.75" customHeight="1" x14ac:dyDescent="0.25">
      <c r="A670" s="19"/>
      <c r="B670" s="19"/>
      <c r="C670" s="19"/>
      <c r="D670" s="19"/>
      <c r="E670" s="19"/>
      <c r="F670" s="19"/>
      <c r="G670" s="156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5.75" customHeight="1" x14ac:dyDescent="0.25">
      <c r="A671" s="19"/>
      <c r="B671" s="19"/>
      <c r="C671" s="19"/>
      <c r="D671" s="19"/>
      <c r="E671" s="19"/>
      <c r="F671" s="19"/>
      <c r="G671" s="156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5.75" customHeight="1" x14ac:dyDescent="0.25">
      <c r="A672" s="19"/>
      <c r="B672" s="19"/>
      <c r="C672" s="19"/>
      <c r="D672" s="19"/>
      <c r="E672" s="19"/>
      <c r="F672" s="19"/>
      <c r="G672" s="156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5.75" customHeight="1" x14ac:dyDescent="0.25">
      <c r="A673" s="19"/>
      <c r="B673" s="19"/>
      <c r="C673" s="19"/>
      <c r="D673" s="19"/>
      <c r="E673" s="19"/>
      <c r="F673" s="19"/>
      <c r="G673" s="156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5.75" customHeight="1" x14ac:dyDescent="0.25">
      <c r="A674" s="19"/>
      <c r="B674" s="19"/>
      <c r="C674" s="19"/>
      <c r="D674" s="19"/>
      <c r="E674" s="19"/>
      <c r="F674" s="19"/>
      <c r="G674" s="156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5.75" customHeight="1" x14ac:dyDescent="0.25">
      <c r="A675" s="19"/>
      <c r="B675" s="19"/>
      <c r="C675" s="19"/>
      <c r="D675" s="19"/>
      <c r="E675" s="19"/>
      <c r="F675" s="19"/>
      <c r="G675" s="156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5.75" customHeight="1" x14ac:dyDescent="0.25">
      <c r="A676" s="19"/>
      <c r="B676" s="19"/>
      <c r="C676" s="19"/>
      <c r="D676" s="19"/>
      <c r="E676" s="19"/>
      <c r="F676" s="19"/>
      <c r="G676" s="156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5.75" customHeight="1" x14ac:dyDescent="0.25">
      <c r="A677" s="19"/>
      <c r="B677" s="19"/>
      <c r="C677" s="19"/>
      <c r="D677" s="19"/>
      <c r="E677" s="19"/>
      <c r="F677" s="19"/>
      <c r="G677" s="156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5.75" customHeight="1" x14ac:dyDescent="0.25">
      <c r="A678" s="19"/>
      <c r="B678" s="19"/>
      <c r="C678" s="19"/>
      <c r="D678" s="19"/>
      <c r="E678" s="19"/>
      <c r="F678" s="19"/>
      <c r="G678" s="156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5.75" customHeight="1" x14ac:dyDescent="0.25">
      <c r="A679" s="19"/>
      <c r="B679" s="19"/>
      <c r="C679" s="19"/>
      <c r="D679" s="19"/>
      <c r="E679" s="19"/>
      <c r="F679" s="19"/>
      <c r="G679" s="156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5.75" customHeight="1" x14ac:dyDescent="0.25">
      <c r="A680" s="19"/>
      <c r="B680" s="19"/>
      <c r="C680" s="19"/>
      <c r="D680" s="19"/>
      <c r="E680" s="19"/>
      <c r="F680" s="19"/>
      <c r="G680" s="156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5.75" customHeight="1" x14ac:dyDescent="0.25">
      <c r="A681" s="19"/>
      <c r="B681" s="19"/>
      <c r="C681" s="19"/>
      <c r="D681" s="19"/>
      <c r="E681" s="19"/>
      <c r="F681" s="19"/>
      <c r="G681" s="156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5.75" customHeight="1" x14ac:dyDescent="0.25">
      <c r="A682" s="19"/>
      <c r="B682" s="19"/>
      <c r="C682" s="19"/>
      <c r="D682" s="19"/>
      <c r="E682" s="19"/>
      <c r="F682" s="19"/>
      <c r="G682" s="156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5.75" customHeight="1" x14ac:dyDescent="0.25">
      <c r="A683" s="19"/>
      <c r="B683" s="19"/>
      <c r="C683" s="19"/>
      <c r="D683" s="19"/>
      <c r="E683" s="19"/>
      <c r="F683" s="19"/>
      <c r="G683" s="156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5.75" customHeight="1" x14ac:dyDescent="0.25">
      <c r="A684" s="19"/>
      <c r="B684" s="19"/>
      <c r="C684" s="19"/>
      <c r="D684" s="19"/>
      <c r="E684" s="19"/>
      <c r="F684" s="19"/>
      <c r="G684" s="156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5.75" customHeight="1" x14ac:dyDescent="0.25">
      <c r="A685" s="19"/>
      <c r="B685" s="19"/>
      <c r="C685" s="19"/>
      <c r="D685" s="19"/>
      <c r="E685" s="19"/>
      <c r="F685" s="19"/>
      <c r="G685" s="156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5.75" customHeight="1" x14ac:dyDescent="0.25">
      <c r="A686" s="19"/>
      <c r="B686" s="19"/>
      <c r="C686" s="19"/>
      <c r="D686" s="19"/>
      <c r="E686" s="19"/>
      <c r="F686" s="19"/>
      <c r="G686" s="156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5.75" customHeight="1" x14ac:dyDescent="0.25">
      <c r="A687" s="19"/>
      <c r="B687" s="19"/>
      <c r="C687" s="19"/>
      <c r="D687" s="19"/>
      <c r="E687" s="19"/>
      <c r="F687" s="19"/>
      <c r="G687" s="156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5.75" customHeight="1" x14ac:dyDescent="0.25">
      <c r="A688" s="19"/>
      <c r="B688" s="19"/>
      <c r="C688" s="19"/>
      <c r="D688" s="19"/>
      <c r="E688" s="19"/>
      <c r="F688" s="19"/>
      <c r="G688" s="156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5.75" customHeight="1" x14ac:dyDescent="0.25">
      <c r="A689" s="19"/>
      <c r="B689" s="19"/>
      <c r="C689" s="19"/>
      <c r="D689" s="19"/>
      <c r="E689" s="19"/>
      <c r="F689" s="19"/>
      <c r="G689" s="156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5.75" customHeight="1" x14ac:dyDescent="0.25">
      <c r="A690" s="19"/>
      <c r="B690" s="19"/>
      <c r="C690" s="19"/>
      <c r="D690" s="19"/>
      <c r="E690" s="19"/>
      <c r="F690" s="19"/>
      <c r="G690" s="156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5.75" customHeight="1" x14ac:dyDescent="0.25">
      <c r="A691" s="19"/>
      <c r="B691" s="19"/>
      <c r="C691" s="19"/>
      <c r="D691" s="19"/>
      <c r="E691" s="19"/>
      <c r="F691" s="19"/>
      <c r="G691" s="156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5.75" customHeight="1" x14ac:dyDescent="0.25">
      <c r="A692" s="19"/>
      <c r="B692" s="19"/>
      <c r="C692" s="19"/>
      <c r="D692" s="19"/>
      <c r="E692" s="19"/>
      <c r="F692" s="19"/>
      <c r="G692" s="156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5.75" customHeight="1" x14ac:dyDescent="0.25">
      <c r="A693" s="19"/>
      <c r="B693" s="19"/>
      <c r="C693" s="19"/>
      <c r="D693" s="19"/>
      <c r="E693" s="19"/>
      <c r="F693" s="19"/>
      <c r="G693" s="156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5.75" customHeight="1" x14ac:dyDescent="0.25">
      <c r="A694" s="19"/>
      <c r="B694" s="19"/>
      <c r="C694" s="19"/>
      <c r="D694" s="19"/>
      <c r="E694" s="19"/>
      <c r="F694" s="19"/>
      <c r="G694" s="156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5.75" customHeight="1" x14ac:dyDescent="0.25">
      <c r="A695" s="19"/>
      <c r="B695" s="19"/>
      <c r="C695" s="19"/>
      <c r="D695" s="19"/>
      <c r="E695" s="19"/>
      <c r="F695" s="19"/>
      <c r="G695" s="156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5.75" customHeight="1" x14ac:dyDescent="0.25">
      <c r="A696" s="19"/>
      <c r="B696" s="19"/>
      <c r="C696" s="19"/>
      <c r="D696" s="19"/>
      <c r="E696" s="19"/>
      <c r="F696" s="19"/>
      <c r="G696" s="156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5.75" customHeight="1" x14ac:dyDescent="0.25">
      <c r="A697" s="19"/>
      <c r="B697" s="19"/>
      <c r="C697" s="19"/>
      <c r="D697" s="19"/>
      <c r="E697" s="19"/>
      <c r="F697" s="19"/>
      <c r="G697" s="156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5.75" customHeight="1" x14ac:dyDescent="0.25">
      <c r="A698" s="19"/>
      <c r="B698" s="19"/>
      <c r="C698" s="19"/>
      <c r="D698" s="19"/>
      <c r="E698" s="19"/>
      <c r="F698" s="19"/>
      <c r="G698" s="156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5.75" customHeight="1" x14ac:dyDescent="0.25">
      <c r="A699" s="19"/>
      <c r="B699" s="19"/>
      <c r="C699" s="19"/>
      <c r="D699" s="19"/>
      <c r="E699" s="19"/>
      <c r="F699" s="19"/>
      <c r="G699" s="156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5.75" customHeight="1" x14ac:dyDescent="0.25">
      <c r="A700" s="19"/>
      <c r="B700" s="19"/>
      <c r="C700" s="19"/>
      <c r="D700" s="19"/>
      <c r="E700" s="19"/>
      <c r="F700" s="19"/>
      <c r="G700" s="156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5.75" customHeight="1" x14ac:dyDescent="0.25">
      <c r="A701" s="19"/>
      <c r="B701" s="19"/>
      <c r="C701" s="19"/>
      <c r="D701" s="19"/>
      <c r="E701" s="19"/>
      <c r="F701" s="19"/>
      <c r="G701" s="156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5.75" customHeight="1" x14ac:dyDescent="0.25">
      <c r="A702" s="19"/>
      <c r="B702" s="19"/>
      <c r="C702" s="19"/>
      <c r="D702" s="19"/>
      <c r="E702" s="19"/>
      <c r="F702" s="19"/>
      <c r="G702" s="156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5.75" customHeight="1" x14ac:dyDescent="0.25">
      <c r="A703" s="19"/>
      <c r="B703" s="19"/>
      <c r="C703" s="19"/>
      <c r="D703" s="19"/>
      <c r="E703" s="19"/>
      <c r="F703" s="19"/>
      <c r="G703" s="156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5.75" customHeight="1" x14ac:dyDescent="0.25">
      <c r="A704" s="19"/>
      <c r="B704" s="19"/>
      <c r="C704" s="19"/>
      <c r="D704" s="19"/>
      <c r="E704" s="19"/>
      <c r="F704" s="19"/>
      <c r="G704" s="156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5.75" customHeight="1" x14ac:dyDescent="0.25">
      <c r="A705" s="19"/>
      <c r="B705" s="19"/>
      <c r="C705" s="19"/>
      <c r="D705" s="19"/>
      <c r="E705" s="19"/>
      <c r="F705" s="19"/>
      <c r="G705" s="156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5.75" customHeight="1" x14ac:dyDescent="0.25">
      <c r="A706" s="19"/>
      <c r="B706" s="19"/>
      <c r="C706" s="19"/>
      <c r="D706" s="19"/>
      <c r="E706" s="19"/>
      <c r="F706" s="19"/>
      <c r="G706" s="156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5.75" customHeight="1" x14ac:dyDescent="0.25">
      <c r="A707" s="19"/>
      <c r="B707" s="19"/>
      <c r="C707" s="19"/>
      <c r="D707" s="19"/>
      <c r="E707" s="19"/>
      <c r="F707" s="19"/>
      <c r="G707" s="156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5.75" customHeight="1" x14ac:dyDescent="0.25">
      <c r="A708" s="19"/>
      <c r="B708" s="19"/>
      <c r="C708" s="19"/>
      <c r="D708" s="19"/>
      <c r="E708" s="19"/>
      <c r="F708" s="19"/>
      <c r="G708" s="156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5.75" customHeight="1" x14ac:dyDescent="0.25">
      <c r="A709" s="19"/>
      <c r="B709" s="19"/>
      <c r="C709" s="19"/>
      <c r="D709" s="19"/>
      <c r="E709" s="19"/>
      <c r="F709" s="19"/>
      <c r="G709" s="156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5.75" customHeight="1" x14ac:dyDescent="0.25">
      <c r="A710" s="19"/>
      <c r="B710" s="19"/>
      <c r="C710" s="19"/>
      <c r="D710" s="19"/>
      <c r="E710" s="19"/>
      <c r="F710" s="19"/>
      <c r="G710" s="156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5.75" customHeight="1" x14ac:dyDescent="0.25">
      <c r="A711" s="19"/>
      <c r="B711" s="19"/>
      <c r="C711" s="19"/>
      <c r="D711" s="19"/>
      <c r="E711" s="19"/>
      <c r="F711" s="19"/>
      <c r="G711" s="156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5.75" customHeight="1" x14ac:dyDescent="0.25">
      <c r="A712" s="19"/>
      <c r="B712" s="19"/>
      <c r="C712" s="19"/>
      <c r="D712" s="19"/>
      <c r="E712" s="19"/>
      <c r="F712" s="19"/>
      <c r="G712" s="156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5.75" customHeight="1" x14ac:dyDescent="0.25">
      <c r="A713" s="19"/>
      <c r="B713" s="19"/>
      <c r="C713" s="19"/>
      <c r="D713" s="19"/>
      <c r="E713" s="19"/>
      <c r="F713" s="19"/>
      <c r="G713" s="156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5.75" customHeight="1" x14ac:dyDescent="0.25">
      <c r="A714" s="19"/>
      <c r="B714" s="19"/>
      <c r="C714" s="19"/>
      <c r="D714" s="19"/>
      <c r="E714" s="19"/>
      <c r="F714" s="19"/>
      <c r="G714" s="156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5.75" customHeight="1" x14ac:dyDescent="0.25">
      <c r="A715" s="19"/>
      <c r="B715" s="19"/>
      <c r="C715" s="19"/>
      <c r="D715" s="19"/>
      <c r="E715" s="19"/>
      <c r="F715" s="19"/>
      <c r="G715" s="156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5.75" customHeight="1" x14ac:dyDescent="0.25">
      <c r="A716" s="19"/>
      <c r="B716" s="19"/>
      <c r="C716" s="19"/>
      <c r="D716" s="19"/>
      <c r="E716" s="19"/>
      <c r="F716" s="19"/>
      <c r="G716" s="156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5.75" customHeight="1" x14ac:dyDescent="0.25">
      <c r="A717" s="19"/>
      <c r="B717" s="19"/>
      <c r="C717" s="19"/>
      <c r="D717" s="19"/>
      <c r="E717" s="19"/>
      <c r="F717" s="19"/>
      <c r="G717" s="156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5.75" customHeight="1" x14ac:dyDescent="0.25">
      <c r="A718" s="19"/>
      <c r="B718" s="19"/>
      <c r="C718" s="19"/>
      <c r="D718" s="19"/>
      <c r="E718" s="19"/>
      <c r="F718" s="19"/>
      <c r="G718" s="156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5.75" customHeight="1" x14ac:dyDescent="0.25">
      <c r="A719" s="19"/>
      <c r="B719" s="19"/>
      <c r="C719" s="19"/>
      <c r="D719" s="19"/>
      <c r="E719" s="19"/>
      <c r="F719" s="19"/>
      <c r="G719" s="156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5.75" customHeight="1" x14ac:dyDescent="0.25">
      <c r="A720" s="19"/>
      <c r="B720" s="19"/>
      <c r="C720" s="19"/>
      <c r="D720" s="19"/>
      <c r="E720" s="19"/>
      <c r="F720" s="19"/>
      <c r="G720" s="156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5.75" customHeight="1" x14ac:dyDescent="0.25">
      <c r="A721" s="19"/>
      <c r="B721" s="19"/>
      <c r="C721" s="19"/>
      <c r="D721" s="19"/>
      <c r="E721" s="19"/>
      <c r="F721" s="19"/>
      <c r="G721" s="156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5.75" customHeight="1" x14ac:dyDescent="0.25">
      <c r="A722" s="19"/>
      <c r="B722" s="19"/>
      <c r="C722" s="19"/>
      <c r="D722" s="19"/>
      <c r="E722" s="19"/>
      <c r="F722" s="19"/>
      <c r="G722" s="156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5.75" customHeight="1" x14ac:dyDescent="0.25">
      <c r="A723" s="19"/>
      <c r="B723" s="19"/>
      <c r="C723" s="19"/>
      <c r="D723" s="19"/>
      <c r="E723" s="19"/>
      <c r="F723" s="19"/>
      <c r="G723" s="156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5.75" customHeight="1" x14ac:dyDescent="0.25">
      <c r="A724" s="19"/>
      <c r="B724" s="19"/>
      <c r="C724" s="19"/>
      <c r="D724" s="19"/>
      <c r="E724" s="19"/>
      <c r="F724" s="19"/>
      <c r="G724" s="156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5.75" customHeight="1" x14ac:dyDescent="0.25">
      <c r="A725" s="19"/>
      <c r="B725" s="19"/>
      <c r="C725" s="19"/>
      <c r="D725" s="19"/>
      <c r="E725" s="19"/>
      <c r="F725" s="19"/>
      <c r="G725" s="156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5.75" customHeight="1" x14ac:dyDescent="0.25">
      <c r="A726" s="19"/>
      <c r="B726" s="19"/>
      <c r="C726" s="19"/>
      <c r="D726" s="19"/>
      <c r="E726" s="19"/>
      <c r="F726" s="19"/>
      <c r="G726" s="156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5.75" customHeight="1" x14ac:dyDescent="0.25">
      <c r="A727" s="19"/>
      <c r="B727" s="19"/>
      <c r="C727" s="19"/>
      <c r="D727" s="19"/>
      <c r="E727" s="19"/>
      <c r="F727" s="19"/>
      <c r="G727" s="156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5.75" customHeight="1" x14ac:dyDescent="0.25">
      <c r="A728" s="19"/>
      <c r="B728" s="19"/>
      <c r="C728" s="19"/>
      <c r="D728" s="19"/>
      <c r="E728" s="19"/>
      <c r="F728" s="19"/>
      <c r="G728" s="156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5.75" customHeight="1" x14ac:dyDescent="0.25">
      <c r="A729" s="19"/>
      <c r="B729" s="19"/>
      <c r="C729" s="19"/>
      <c r="D729" s="19"/>
      <c r="E729" s="19"/>
      <c r="F729" s="19"/>
      <c r="G729" s="156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5.75" customHeight="1" x14ac:dyDescent="0.25">
      <c r="A730" s="19"/>
      <c r="B730" s="19"/>
      <c r="C730" s="19"/>
      <c r="D730" s="19"/>
      <c r="E730" s="19"/>
      <c r="F730" s="19"/>
      <c r="G730" s="156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5.75" customHeight="1" x14ac:dyDescent="0.25">
      <c r="A731" s="19"/>
      <c r="B731" s="19"/>
      <c r="C731" s="19"/>
      <c r="D731" s="19"/>
      <c r="E731" s="19"/>
      <c r="F731" s="19"/>
      <c r="G731" s="156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5.75" customHeight="1" x14ac:dyDescent="0.25">
      <c r="A732" s="19"/>
      <c r="B732" s="19"/>
      <c r="C732" s="19"/>
      <c r="D732" s="19"/>
      <c r="E732" s="19"/>
      <c r="F732" s="19"/>
      <c r="G732" s="156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5.75" customHeight="1" x14ac:dyDescent="0.25">
      <c r="A733" s="19"/>
      <c r="B733" s="19"/>
      <c r="C733" s="19"/>
      <c r="D733" s="19"/>
      <c r="E733" s="19"/>
      <c r="F733" s="19"/>
      <c r="G733" s="156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5.75" customHeight="1" x14ac:dyDescent="0.25">
      <c r="A734" s="19"/>
      <c r="B734" s="19"/>
      <c r="C734" s="19"/>
      <c r="D734" s="19"/>
      <c r="E734" s="19"/>
      <c r="F734" s="19"/>
      <c r="G734" s="156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5.75" customHeight="1" x14ac:dyDescent="0.25">
      <c r="A735" s="19"/>
      <c r="B735" s="19"/>
      <c r="C735" s="19"/>
      <c r="D735" s="19"/>
      <c r="E735" s="19"/>
      <c r="F735" s="19"/>
      <c r="G735" s="156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5.75" customHeight="1" x14ac:dyDescent="0.25">
      <c r="A736" s="19"/>
      <c r="B736" s="19"/>
      <c r="C736" s="19"/>
      <c r="D736" s="19"/>
      <c r="E736" s="19"/>
      <c r="F736" s="19"/>
      <c r="G736" s="156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5.75" customHeight="1" x14ac:dyDescent="0.25">
      <c r="A737" s="19"/>
      <c r="B737" s="19"/>
      <c r="C737" s="19"/>
      <c r="D737" s="19"/>
      <c r="E737" s="19"/>
      <c r="F737" s="19"/>
      <c r="G737" s="156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5.75" customHeight="1" x14ac:dyDescent="0.25">
      <c r="A738" s="19"/>
      <c r="B738" s="19"/>
      <c r="C738" s="19"/>
      <c r="D738" s="19"/>
      <c r="E738" s="19"/>
      <c r="F738" s="19"/>
      <c r="G738" s="156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5.75" customHeight="1" x14ac:dyDescent="0.25">
      <c r="A739" s="19"/>
      <c r="B739" s="19"/>
      <c r="C739" s="19"/>
      <c r="D739" s="19"/>
      <c r="E739" s="19"/>
      <c r="F739" s="19"/>
      <c r="G739" s="156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5.75" customHeight="1" x14ac:dyDescent="0.25">
      <c r="A740" s="19"/>
      <c r="B740" s="19"/>
      <c r="C740" s="19"/>
      <c r="D740" s="19"/>
      <c r="E740" s="19"/>
      <c r="F740" s="19"/>
      <c r="G740" s="156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5.75" customHeight="1" x14ac:dyDescent="0.25">
      <c r="A741" s="19"/>
      <c r="B741" s="19"/>
      <c r="C741" s="19"/>
      <c r="D741" s="19"/>
      <c r="E741" s="19"/>
      <c r="F741" s="19"/>
      <c r="G741" s="156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5.75" customHeight="1" x14ac:dyDescent="0.25">
      <c r="A742" s="19"/>
      <c r="B742" s="19"/>
      <c r="C742" s="19"/>
      <c r="D742" s="19"/>
      <c r="E742" s="19"/>
      <c r="F742" s="19"/>
      <c r="G742" s="156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5.75" customHeight="1" x14ac:dyDescent="0.25">
      <c r="A743" s="19"/>
      <c r="B743" s="19"/>
      <c r="C743" s="19"/>
      <c r="D743" s="19"/>
      <c r="E743" s="19"/>
      <c r="F743" s="19"/>
      <c r="G743" s="156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5.75" customHeight="1" x14ac:dyDescent="0.25">
      <c r="A744" s="19"/>
      <c r="B744" s="19"/>
      <c r="C744" s="19"/>
      <c r="D744" s="19"/>
      <c r="E744" s="19"/>
      <c r="F744" s="19"/>
      <c r="G744" s="156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5.75" customHeight="1" x14ac:dyDescent="0.25">
      <c r="A745" s="19"/>
      <c r="B745" s="19"/>
      <c r="C745" s="19"/>
      <c r="D745" s="19"/>
      <c r="E745" s="19"/>
      <c r="F745" s="19"/>
      <c r="G745" s="156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5.75" customHeight="1" x14ac:dyDescent="0.25">
      <c r="A746" s="19"/>
      <c r="B746" s="19"/>
      <c r="C746" s="19"/>
      <c r="D746" s="19"/>
      <c r="E746" s="19"/>
      <c r="F746" s="19"/>
      <c r="G746" s="156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5.75" customHeight="1" x14ac:dyDescent="0.25">
      <c r="A747" s="19"/>
      <c r="B747" s="19"/>
      <c r="C747" s="19"/>
      <c r="D747" s="19"/>
      <c r="E747" s="19"/>
      <c r="F747" s="19"/>
      <c r="G747" s="156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5.75" customHeight="1" x14ac:dyDescent="0.25">
      <c r="A748" s="19"/>
      <c r="B748" s="19"/>
      <c r="C748" s="19"/>
      <c r="D748" s="19"/>
      <c r="E748" s="19"/>
      <c r="F748" s="19"/>
      <c r="G748" s="156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5.75" customHeight="1" x14ac:dyDescent="0.25">
      <c r="A749" s="19"/>
      <c r="B749" s="19"/>
      <c r="C749" s="19"/>
      <c r="D749" s="19"/>
      <c r="E749" s="19"/>
      <c r="F749" s="19"/>
      <c r="G749" s="156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5.75" customHeight="1" x14ac:dyDescent="0.25">
      <c r="A750" s="19"/>
      <c r="B750" s="19"/>
      <c r="C750" s="19"/>
      <c r="D750" s="19"/>
      <c r="E750" s="19"/>
      <c r="F750" s="19"/>
      <c r="G750" s="156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5.75" customHeight="1" x14ac:dyDescent="0.25">
      <c r="A751" s="19"/>
      <c r="B751" s="19"/>
      <c r="C751" s="19"/>
      <c r="D751" s="19"/>
      <c r="E751" s="19"/>
      <c r="F751" s="19"/>
      <c r="G751" s="156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5.75" customHeight="1" x14ac:dyDescent="0.25">
      <c r="A752" s="19"/>
      <c r="B752" s="19"/>
      <c r="C752" s="19"/>
      <c r="D752" s="19"/>
      <c r="E752" s="19"/>
      <c r="F752" s="19"/>
      <c r="G752" s="156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5.75" customHeight="1" x14ac:dyDescent="0.25">
      <c r="A753" s="19"/>
      <c r="B753" s="19"/>
      <c r="C753" s="19"/>
      <c r="D753" s="19"/>
      <c r="E753" s="19"/>
      <c r="F753" s="19"/>
      <c r="G753" s="156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5.75" customHeight="1" x14ac:dyDescent="0.25">
      <c r="A754" s="19"/>
      <c r="B754" s="19"/>
      <c r="C754" s="19"/>
      <c r="D754" s="19"/>
      <c r="E754" s="19"/>
      <c r="F754" s="19"/>
      <c r="G754" s="156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5.75" customHeight="1" x14ac:dyDescent="0.25">
      <c r="A755" s="19"/>
      <c r="B755" s="19"/>
      <c r="C755" s="19"/>
      <c r="D755" s="19"/>
      <c r="E755" s="19"/>
      <c r="F755" s="19"/>
      <c r="G755" s="156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5.75" customHeight="1" x14ac:dyDescent="0.25">
      <c r="A756" s="19"/>
      <c r="B756" s="19"/>
      <c r="C756" s="19"/>
      <c r="D756" s="19"/>
      <c r="E756" s="19"/>
      <c r="F756" s="19"/>
      <c r="G756" s="156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5.75" customHeight="1" x14ac:dyDescent="0.25">
      <c r="A757" s="19"/>
      <c r="B757" s="19"/>
      <c r="C757" s="19"/>
      <c r="D757" s="19"/>
      <c r="E757" s="19"/>
      <c r="F757" s="19"/>
      <c r="G757" s="156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5.75" customHeight="1" x14ac:dyDescent="0.25">
      <c r="A758" s="19"/>
      <c r="B758" s="19"/>
      <c r="C758" s="19"/>
      <c r="D758" s="19"/>
      <c r="E758" s="19"/>
      <c r="F758" s="19"/>
      <c r="G758" s="156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5.75" customHeight="1" x14ac:dyDescent="0.25">
      <c r="A759" s="19"/>
      <c r="B759" s="19"/>
      <c r="C759" s="19"/>
      <c r="D759" s="19"/>
      <c r="E759" s="19"/>
      <c r="F759" s="19"/>
      <c r="G759" s="156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5.75" customHeight="1" x14ac:dyDescent="0.25">
      <c r="A760" s="19"/>
      <c r="B760" s="19"/>
      <c r="C760" s="19"/>
      <c r="D760" s="19"/>
      <c r="E760" s="19"/>
      <c r="F760" s="19"/>
      <c r="G760" s="156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5.75" customHeight="1" x14ac:dyDescent="0.25">
      <c r="A761" s="19"/>
      <c r="B761" s="19"/>
      <c r="C761" s="19"/>
      <c r="D761" s="19"/>
      <c r="E761" s="19"/>
      <c r="F761" s="19"/>
      <c r="G761" s="156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5.75" customHeight="1" x14ac:dyDescent="0.25">
      <c r="A762" s="19"/>
      <c r="B762" s="19"/>
      <c r="C762" s="19"/>
      <c r="D762" s="19"/>
      <c r="E762" s="19"/>
      <c r="F762" s="19"/>
      <c r="G762" s="156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5.75" customHeight="1" x14ac:dyDescent="0.25">
      <c r="A763" s="19"/>
      <c r="B763" s="19"/>
      <c r="C763" s="19"/>
      <c r="D763" s="19"/>
      <c r="E763" s="19"/>
      <c r="F763" s="19"/>
      <c r="G763" s="156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5.75" customHeight="1" x14ac:dyDescent="0.25">
      <c r="A764" s="19"/>
      <c r="B764" s="19"/>
      <c r="C764" s="19"/>
      <c r="D764" s="19"/>
      <c r="E764" s="19"/>
      <c r="F764" s="19"/>
      <c r="G764" s="156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5.75" customHeight="1" x14ac:dyDescent="0.25">
      <c r="A765" s="19"/>
      <c r="B765" s="19"/>
      <c r="C765" s="19"/>
      <c r="D765" s="19"/>
      <c r="E765" s="19"/>
      <c r="F765" s="19"/>
      <c r="G765" s="156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5.75" customHeight="1" x14ac:dyDescent="0.25">
      <c r="A766" s="19"/>
      <c r="B766" s="19"/>
      <c r="C766" s="19"/>
      <c r="D766" s="19"/>
      <c r="E766" s="19"/>
      <c r="F766" s="19"/>
      <c r="G766" s="156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5.75" customHeight="1" x14ac:dyDescent="0.25">
      <c r="A767" s="19"/>
      <c r="B767" s="19"/>
      <c r="C767" s="19"/>
      <c r="D767" s="19"/>
      <c r="E767" s="19"/>
      <c r="F767" s="19"/>
      <c r="G767" s="156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5.75" customHeight="1" x14ac:dyDescent="0.25">
      <c r="A768" s="19"/>
      <c r="B768" s="19"/>
      <c r="C768" s="19"/>
      <c r="D768" s="19"/>
      <c r="E768" s="19"/>
      <c r="F768" s="19"/>
      <c r="G768" s="156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5.75" customHeight="1" x14ac:dyDescent="0.25">
      <c r="A769" s="19"/>
      <c r="B769" s="19"/>
      <c r="C769" s="19"/>
      <c r="D769" s="19"/>
      <c r="E769" s="19"/>
      <c r="F769" s="19"/>
      <c r="G769" s="156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5.75" customHeight="1" x14ac:dyDescent="0.25">
      <c r="A770" s="19"/>
      <c r="B770" s="19"/>
      <c r="C770" s="19"/>
      <c r="D770" s="19"/>
      <c r="E770" s="19"/>
      <c r="F770" s="19"/>
      <c r="G770" s="156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5.75" customHeight="1" x14ac:dyDescent="0.25">
      <c r="A771" s="19"/>
      <c r="B771" s="19"/>
      <c r="C771" s="19"/>
      <c r="D771" s="19"/>
      <c r="E771" s="19"/>
      <c r="F771" s="19"/>
      <c r="G771" s="156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5.75" customHeight="1" x14ac:dyDescent="0.25">
      <c r="A772" s="19"/>
      <c r="B772" s="19"/>
      <c r="C772" s="19"/>
      <c r="D772" s="19"/>
      <c r="E772" s="19"/>
      <c r="F772" s="19"/>
      <c r="G772" s="156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5.75" customHeight="1" x14ac:dyDescent="0.25">
      <c r="A773" s="19"/>
      <c r="B773" s="19"/>
      <c r="C773" s="19"/>
      <c r="D773" s="19"/>
      <c r="E773" s="19"/>
      <c r="F773" s="19"/>
      <c r="G773" s="156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5.75" customHeight="1" x14ac:dyDescent="0.25">
      <c r="A774" s="19"/>
      <c r="B774" s="19"/>
      <c r="C774" s="19"/>
      <c r="D774" s="19"/>
      <c r="E774" s="19"/>
      <c r="F774" s="19"/>
      <c r="G774" s="156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5.75" customHeight="1" x14ac:dyDescent="0.25">
      <c r="A775" s="19"/>
      <c r="B775" s="19"/>
      <c r="C775" s="19"/>
      <c r="D775" s="19"/>
      <c r="E775" s="19"/>
      <c r="F775" s="19"/>
      <c r="G775" s="156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5.75" customHeight="1" x14ac:dyDescent="0.25">
      <c r="A776" s="19"/>
      <c r="B776" s="19"/>
      <c r="C776" s="19"/>
      <c r="D776" s="19"/>
      <c r="E776" s="19"/>
      <c r="F776" s="19"/>
      <c r="G776" s="156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5.75" customHeight="1" x14ac:dyDescent="0.25">
      <c r="A777" s="19"/>
      <c r="B777" s="19"/>
      <c r="C777" s="19"/>
      <c r="D777" s="19"/>
      <c r="E777" s="19"/>
      <c r="F777" s="19"/>
      <c r="G777" s="156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5.75" customHeight="1" x14ac:dyDescent="0.25">
      <c r="A778" s="19"/>
      <c r="B778" s="19"/>
      <c r="C778" s="19"/>
      <c r="D778" s="19"/>
      <c r="E778" s="19"/>
      <c r="F778" s="19"/>
      <c r="G778" s="156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5.75" customHeight="1" x14ac:dyDescent="0.25">
      <c r="A779" s="19"/>
      <c r="B779" s="19"/>
      <c r="C779" s="19"/>
      <c r="D779" s="19"/>
      <c r="E779" s="19"/>
      <c r="F779" s="19"/>
      <c r="G779" s="156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5.75" customHeight="1" x14ac:dyDescent="0.25">
      <c r="A780" s="19"/>
      <c r="B780" s="19"/>
      <c r="C780" s="19"/>
      <c r="D780" s="19"/>
      <c r="E780" s="19"/>
      <c r="F780" s="19"/>
      <c r="G780" s="156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5.75" customHeight="1" x14ac:dyDescent="0.25">
      <c r="A781" s="19"/>
      <c r="B781" s="19"/>
      <c r="C781" s="19"/>
      <c r="D781" s="19"/>
      <c r="E781" s="19"/>
      <c r="F781" s="19"/>
      <c r="G781" s="156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5.75" customHeight="1" x14ac:dyDescent="0.25">
      <c r="A782" s="19"/>
      <c r="B782" s="19"/>
      <c r="C782" s="19"/>
      <c r="D782" s="19"/>
      <c r="E782" s="19"/>
      <c r="F782" s="19"/>
      <c r="G782" s="156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5.75" customHeight="1" x14ac:dyDescent="0.25">
      <c r="A783" s="19"/>
      <c r="B783" s="19"/>
      <c r="C783" s="19"/>
      <c r="D783" s="19"/>
      <c r="E783" s="19"/>
      <c r="F783" s="19"/>
      <c r="G783" s="156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5.75" customHeight="1" x14ac:dyDescent="0.25">
      <c r="A784" s="19"/>
      <c r="B784" s="19"/>
      <c r="C784" s="19"/>
      <c r="D784" s="19"/>
      <c r="E784" s="19"/>
      <c r="F784" s="19"/>
      <c r="G784" s="156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5.75" customHeight="1" x14ac:dyDescent="0.25">
      <c r="A785" s="19"/>
      <c r="B785" s="19"/>
      <c r="C785" s="19"/>
      <c r="D785" s="19"/>
      <c r="E785" s="19"/>
      <c r="F785" s="19"/>
      <c r="G785" s="156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5.75" customHeight="1" x14ac:dyDescent="0.25">
      <c r="A786" s="19"/>
      <c r="B786" s="19"/>
      <c r="C786" s="19"/>
      <c r="D786" s="19"/>
      <c r="E786" s="19"/>
      <c r="F786" s="19"/>
      <c r="G786" s="156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5.75" customHeight="1" x14ac:dyDescent="0.25">
      <c r="A787" s="19"/>
      <c r="B787" s="19"/>
      <c r="C787" s="19"/>
      <c r="D787" s="19"/>
      <c r="E787" s="19"/>
      <c r="F787" s="19"/>
      <c r="G787" s="156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5.75" customHeight="1" x14ac:dyDescent="0.25">
      <c r="A788" s="19"/>
      <c r="B788" s="19"/>
      <c r="C788" s="19"/>
      <c r="D788" s="19"/>
      <c r="E788" s="19"/>
      <c r="F788" s="19"/>
      <c r="G788" s="156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5.75" customHeight="1" x14ac:dyDescent="0.25">
      <c r="A789" s="19"/>
      <c r="B789" s="19"/>
      <c r="C789" s="19"/>
      <c r="D789" s="19"/>
      <c r="E789" s="19"/>
      <c r="F789" s="19"/>
      <c r="G789" s="156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5.75" customHeight="1" x14ac:dyDescent="0.25">
      <c r="A790" s="19"/>
      <c r="B790" s="19"/>
      <c r="C790" s="19"/>
      <c r="D790" s="19"/>
      <c r="E790" s="19"/>
      <c r="F790" s="19"/>
      <c r="G790" s="156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5.75" customHeight="1" x14ac:dyDescent="0.25">
      <c r="A791" s="19"/>
      <c r="B791" s="19"/>
      <c r="C791" s="19"/>
      <c r="D791" s="19"/>
      <c r="E791" s="19"/>
      <c r="F791" s="19"/>
      <c r="G791" s="156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5.75" customHeight="1" x14ac:dyDescent="0.25">
      <c r="A792" s="19"/>
      <c r="B792" s="19"/>
      <c r="C792" s="19"/>
      <c r="D792" s="19"/>
      <c r="E792" s="19"/>
      <c r="F792" s="19"/>
      <c r="G792" s="156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5.75" customHeight="1" x14ac:dyDescent="0.25">
      <c r="A793" s="19"/>
      <c r="B793" s="19"/>
      <c r="C793" s="19"/>
      <c r="D793" s="19"/>
      <c r="E793" s="19"/>
      <c r="F793" s="19"/>
      <c r="G793" s="156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5.75" customHeight="1" x14ac:dyDescent="0.25">
      <c r="A794" s="19"/>
      <c r="B794" s="19"/>
      <c r="C794" s="19"/>
      <c r="D794" s="19"/>
      <c r="E794" s="19"/>
      <c r="F794" s="19"/>
      <c r="G794" s="156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5.75" customHeight="1" x14ac:dyDescent="0.25">
      <c r="A795" s="19"/>
      <c r="B795" s="19"/>
      <c r="C795" s="19"/>
      <c r="D795" s="19"/>
      <c r="E795" s="19"/>
      <c r="F795" s="19"/>
      <c r="G795" s="156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5.75" customHeight="1" x14ac:dyDescent="0.25">
      <c r="A796" s="19"/>
      <c r="B796" s="19"/>
      <c r="C796" s="19"/>
      <c r="D796" s="19"/>
      <c r="E796" s="19"/>
      <c r="F796" s="19"/>
      <c r="G796" s="156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5.75" customHeight="1" x14ac:dyDescent="0.25">
      <c r="A797" s="19"/>
      <c r="B797" s="19"/>
      <c r="C797" s="19"/>
      <c r="D797" s="19"/>
      <c r="E797" s="19"/>
      <c r="F797" s="19"/>
      <c r="G797" s="156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5.75" customHeight="1" x14ac:dyDescent="0.25">
      <c r="A798" s="19"/>
      <c r="B798" s="19"/>
      <c r="C798" s="19"/>
      <c r="D798" s="19"/>
      <c r="E798" s="19"/>
      <c r="F798" s="19"/>
      <c r="G798" s="156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5.75" customHeight="1" x14ac:dyDescent="0.25">
      <c r="A799" s="19"/>
      <c r="B799" s="19"/>
      <c r="C799" s="19"/>
      <c r="D799" s="19"/>
      <c r="E799" s="19"/>
      <c r="F799" s="19"/>
      <c r="G799" s="156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5.75" customHeight="1" x14ac:dyDescent="0.25">
      <c r="A800" s="19"/>
      <c r="B800" s="19"/>
      <c r="C800" s="19"/>
      <c r="D800" s="19"/>
      <c r="E800" s="19"/>
      <c r="F800" s="19"/>
      <c r="G800" s="156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5.75" customHeight="1" x14ac:dyDescent="0.25">
      <c r="A801" s="19"/>
      <c r="B801" s="19"/>
      <c r="C801" s="19"/>
      <c r="D801" s="19"/>
      <c r="E801" s="19"/>
      <c r="F801" s="19"/>
      <c r="G801" s="156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5.75" customHeight="1" x14ac:dyDescent="0.25">
      <c r="A802" s="19"/>
      <c r="B802" s="19"/>
      <c r="C802" s="19"/>
      <c r="D802" s="19"/>
      <c r="E802" s="19"/>
      <c r="F802" s="19"/>
      <c r="G802" s="156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5.75" customHeight="1" x14ac:dyDescent="0.25">
      <c r="A803" s="19"/>
      <c r="B803" s="19"/>
      <c r="C803" s="19"/>
      <c r="D803" s="19"/>
      <c r="E803" s="19"/>
      <c r="F803" s="19"/>
      <c r="G803" s="156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5.75" customHeight="1" x14ac:dyDescent="0.25">
      <c r="A804" s="19"/>
      <c r="B804" s="19"/>
      <c r="C804" s="19"/>
      <c r="D804" s="19"/>
      <c r="E804" s="19"/>
      <c r="F804" s="19"/>
      <c r="G804" s="156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5.75" customHeight="1" x14ac:dyDescent="0.25">
      <c r="A805" s="19"/>
      <c r="B805" s="19"/>
      <c r="C805" s="19"/>
      <c r="D805" s="19"/>
      <c r="E805" s="19"/>
      <c r="F805" s="19"/>
      <c r="G805" s="156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5.75" customHeight="1" x14ac:dyDescent="0.25">
      <c r="A806" s="19"/>
      <c r="B806" s="19"/>
      <c r="C806" s="19"/>
      <c r="D806" s="19"/>
      <c r="E806" s="19"/>
      <c r="F806" s="19"/>
      <c r="G806" s="156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5.75" customHeight="1" x14ac:dyDescent="0.25">
      <c r="A807" s="19"/>
      <c r="B807" s="19"/>
      <c r="C807" s="19"/>
      <c r="D807" s="19"/>
      <c r="E807" s="19"/>
      <c r="F807" s="19"/>
      <c r="G807" s="156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5.75" customHeight="1" x14ac:dyDescent="0.25">
      <c r="A808" s="19"/>
      <c r="B808" s="19"/>
      <c r="C808" s="19"/>
      <c r="D808" s="19"/>
      <c r="E808" s="19"/>
      <c r="F808" s="19"/>
      <c r="G808" s="156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5.75" customHeight="1" x14ac:dyDescent="0.25">
      <c r="A809" s="19"/>
      <c r="B809" s="19"/>
      <c r="C809" s="19"/>
      <c r="D809" s="19"/>
      <c r="E809" s="19"/>
      <c r="F809" s="19"/>
      <c r="G809" s="156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5.75" customHeight="1" x14ac:dyDescent="0.25">
      <c r="A810" s="19"/>
      <c r="B810" s="19"/>
      <c r="C810" s="19"/>
      <c r="D810" s="19"/>
      <c r="E810" s="19"/>
      <c r="F810" s="19"/>
      <c r="G810" s="156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5.75" customHeight="1" x14ac:dyDescent="0.25">
      <c r="A811" s="19"/>
      <c r="B811" s="19"/>
      <c r="C811" s="19"/>
      <c r="D811" s="19"/>
      <c r="E811" s="19"/>
      <c r="F811" s="19"/>
      <c r="G811" s="156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5.75" customHeight="1" x14ac:dyDescent="0.25">
      <c r="A812" s="19"/>
      <c r="B812" s="19"/>
      <c r="C812" s="19"/>
      <c r="D812" s="19"/>
      <c r="E812" s="19"/>
      <c r="F812" s="19"/>
      <c r="G812" s="156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5.75" customHeight="1" x14ac:dyDescent="0.25">
      <c r="A813" s="19"/>
      <c r="B813" s="19"/>
      <c r="C813" s="19"/>
      <c r="D813" s="19"/>
      <c r="E813" s="19"/>
      <c r="F813" s="19"/>
      <c r="G813" s="156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5.75" customHeight="1" x14ac:dyDescent="0.25">
      <c r="A814" s="19"/>
      <c r="B814" s="19"/>
      <c r="C814" s="19"/>
      <c r="D814" s="19"/>
      <c r="E814" s="19"/>
      <c r="F814" s="19"/>
      <c r="G814" s="156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5.75" customHeight="1" x14ac:dyDescent="0.25">
      <c r="A815" s="19"/>
      <c r="B815" s="19"/>
      <c r="C815" s="19"/>
      <c r="D815" s="19"/>
      <c r="E815" s="19"/>
      <c r="F815" s="19"/>
      <c r="G815" s="156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5.75" customHeight="1" x14ac:dyDescent="0.25">
      <c r="A816" s="19"/>
      <c r="B816" s="19"/>
      <c r="C816" s="19"/>
      <c r="D816" s="19"/>
      <c r="E816" s="19"/>
      <c r="F816" s="19"/>
      <c r="G816" s="156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5.75" customHeight="1" x14ac:dyDescent="0.25">
      <c r="A817" s="19"/>
      <c r="B817" s="19"/>
      <c r="C817" s="19"/>
      <c r="D817" s="19"/>
      <c r="E817" s="19"/>
      <c r="F817" s="19"/>
      <c r="G817" s="156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5.75" customHeight="1" x14ac:dyDescent="0.25">
      <c r="A818" s="19"/>
      <c r="B818" s="19"/>
      <c r="C818" s="19"/>
      <c r="D818" s="19"/>
      <c r="E818" s="19"/>
      <c r="F818" s="19"/>
      <c r="G818" s="156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5.75" customHeight="1" x14ac:dyDescent="0.25">
      <c r="A819" s="19"/>
      <c r="B819" s="19"/>
      <c r="C819" s="19"/>
      <c r="D819" s="19"/>
      <c r="E819" s="19"/>
      <c r="F819" s="19"/>
      <c r="G819" s="156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5.75" customHeight="1" x14ac:dyDescent="0.25">
      <c r="A820" s="19"/>
      <c r="B820" s="19"/>
      <c r="C820" s="19"/>
      <c r="D820" s="19"/>
      <c r="E820" s="19"/>
      <c r="F820" s="19"/>
      <c r="G820" s="156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5.75" customHeight="1" x14ac:dyDescent="0.25">
      <c r="A821" s="19"/>
      <c r="B821" s="19"/>
      <c r="C821" s="19"/>
      <c r="D821" s="19"/>
      <c r="E821" s="19"/>
      <c r="F821" s="19"/>
      <c r="G821" s="156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5.75" customHeight="1" x14ac:dyDescent="0.25">
      <c r="A822" s="19"/>
      <c r="B822" s="19"/>
      <c r="C822" s="19"/>
      <c r="D822" s="19"/>
      <c r="E822" s="19"/>
      <c r="F822" s="19"/>
      <c r="G822" s="156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5.75" customHeight="1" x14ac:dyDescent="0.25">
      <c r="A823" s="19"/>
      <c r="B823" s="19"/>
      <c r="C823" s="19"/>
      <c r="D823" s="19"/>
      <c r="E823" s="19"/>
      <c r="F823" s="19"/>
      <c r="G823" s="156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5.75" customHeight="1" x14ac:dyDescent="0.25">
      <c r="A824" s="19"/>
      <c r="B824" s="19"/>
      <c r="C824" s="19"/>
      <c r="D824" s="19"/>
      <c r="E824" s="19"/>
      <c r="F824" s="19"/>
      <c r="G824" s="156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5.75" customHeight="1" x14ac:dyDescent="0.25">
      <c r="A825" s="19"/>
      <c r="B825" s="19"/>
      <c r="C825" s="19"/>
      <c r="D825" s="19"/>
      <c r="E825" s="19"/>
      <c r="F825" s="19"/>
      <c r="G825" s="156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5.75" customHeight="1" x14ac:dyDescent="0.25">
      <c r="A826" s="19"/>
      <c r="B826" s="19"/>
      <c r="C826" s="19"/>
      <c r="D826" s="19"/>
      <c r="E826" s="19"/>
      <c r="F826" s="19"/>
      <c r="G826" s="156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5.75" customHeight="1" x14ac:dyDescent="0.25">
      <c r="A827" s="19"/>
      <c r="B827" s="19"/>
      <c r="C827" s="19"/>
      <c r="D827" s="19"/>
      <c r="E827" s="19"/>
      <c r="F827" s="19"/>
      <c r="G827" s="156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5.75" customHeight="1" x14ac:dyDescent="0.25">
      <c r="A828" s="19"/>
      <c r="B828" s="19"/>
      <c r="C828" s="19"/>
      <c r="D828" s="19"/>
      <c r="E828" s="19"/>
      <c r="F828" s="19"/>
      <c r="G828" s="156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5.75" customHeight="1" x14ac:dyDescent="0.25">
      <c r="A829" s="19"/>
      <c r="B829" s="19"/>
      <c r="C829" s="19"/>
      <c r="D829" s="19"/>
      <c r="E829" s="19"/>
      <c r="F829" s="19"/>
      <c r="G829" s="156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5.75" customHeight="1" x14ac:dyDescent="0.25">
      <c r="A830" s="19"/>
      <c r="B830" s="19"/>
      <c r="C830" s="19"/>
      <c r="D830" s="19"/>
      <c r="E830" s="19"/>
      <c r="F830" s="19"/>
      <c r="G830" s="156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5.75" customHeight="1" x14ac:dyDescent="0.25">
      <c r="A831" s="19"/>
      <c r="B831" s="19"/>
      <c r="C831" s="19"/>
      <c r="D831" s="19"/>
      <c r="E831" s="19"/>
      <c r="F831" s="19"/>
      <c r="G831" s="156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5.75" customHeight="1" x14ac:dyDescent="0.25">
      <c r="A832" s="19"/>
      <c r="B832" s="19"/>
      <c r="C832" s="19"/>
      <c r="D832" s="19"/>
      <c r="E832" s="19"/>
      <c r="F832" s="19"/>
      <c r="G832" s="156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5.75" customHeight="1" x14ac:dyDescent="0.25">
      <c r="A833" s="19"/>
      <c r="B833" s="19"/>
      <c r="C833" s="19"/>
      <c r="D833" s="19"/>
      <c r="E833" s="19"/>
      <c r="F833" s="19"/>
      <c r="G833" s="156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5.75" customHeight="1" x14ac:dyDescent="0.25">
      <c r="A834" s="19"/>
      <c r="B834" s="19"/>
      <c r="C834" s="19"/>
      <c r="D834" s="19"/>
      <c r="E834" s="19"/>
      <c r="F834" s="19"/>
      <c r="G834" s="156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5.75" customHeight="1" x14ac:dyDescent="0.25">
      <c r="A835" s="19"/>
      <c r="B835" s="19"/>
      <c r="C835" s="19"/>
      <c r="D835" s="19"/>
      <c r="E835" s="19"/>
      <c r="F835" s="19"/>
      <c r="G835" s="156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5.75" customHeight="1" x14ac:dyDescent="0.25">
      <c r="A836" s="19"/>
      <c r="B836" s="19"/>
      <c r="C836" s="19"/>
      <c r="D836" s="19"/>
      <c r="E836" s="19"/>
      <c r="F836" s="19"/>
      <c r="G836" s="156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5.75" customHeight="1" x14ac:dyDescent="0.25">
      <c r="A837" s="19"/>
      <c r="B837" s="19"/>
      <c r="C837" s="19"/>
      <c r="D837" s="19"/>
      <c r="E837" s="19"/>
      <c r="F837" s="19"/>
      <c r="G837" s="156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5.75" customHeight="1" x14ac:dyDescent="0.25">
      <c r="A838" s="19"/>
      <c r="B838" s="19"/>
      <c r="C838" s="19"/>
      <c r="D838" s="19"/>
      <c r="E838" s="19"/>
      <c r="F838" s="19"/>
      <c r="G838" s="156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5.75" customHeight="1" x14ac:dyDescent="0.25">
      <c r="A839" s="19"/>
      <c r="B839" s="19"/>
      <c r="C839" s="19"/>
      <c r="D839" s="19"/>
      <c r="E839" s="19"/>
      <c r="F839" s="19"/>
      <c r="G839" s="156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5.75" customHeight="1" x14ac:dyDescent="0.25">
      <c r="A840" s="19"/>
      <c r="B840" s="19"/>
      <c r="C840" s="19"/>
      <c r="D840" s="19"/>
      <c r="E840" s="19"/>
      <c r="F840" s="19"/>
      <c r="G840" s="156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5.75" customHeight="1" x14ac:dyDescent="0.25">
      <c r="A841" s="19"/>
      <c r="B841" s="19"/>
      <c r="C841" s="19"/>
      <c r="D841" s="19"/>
      <c r="E841" s="19"/>
      <c r="F841" s="19"/>
      <c r="G841" s="156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5.75" customHeight="1" x14ac:dyDescent="0.25">
      <c r="A842" s="19"/>
      <c r="B842" s="19"/>
      <c r="C842" s="19"/>
      <c r="D842" s="19"/>
      <c r="E842" s="19"/>
      <c r="F842" s="19"/>
      <c r="G842" s="156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5.75" customHeight="1" x14ac:dyDescent="0.25">
      <c r="A843" s="19"/>
      <c r="B843" s="19"/>
      <c r="C843" s="19"/>
      <c r="D843" s="19"/>
      <c r="E843" s="19"/>
      <c r="F843" s="19"/>
      <c r="G843" s="156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5.75" customHeight="1" x14ac:dyDescent="0.25">
      <c r="A844" s="19"/>
      <c r="B844" s="19"/>
      <c r="C844" s="19"/>
      <c r="D844" s="19"/>
      <c r="E844" s="19"/>
      <c r="F844" s="19"/>
      <c r="G844" s="156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5.75" customHeight="1" x14ac:dyDescent="0.25">
      <c r="A845" s="19"/>
      <c r="B845" s="19"/>
      <c r="C845" s="19"/>
      <c r="D845" s="19"/>
      <c r="E845" s="19"/>
      <c r="F845" s="19"/>
      <c r="G845" s="156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5.75" customHeight="1" x14ac:dyDescent="0.25">
      <c r="A846" s="19"/>
      <c r="B846" s="19"/>
      <c r="C846" s="19"/>
      <c r="D846" s="19"/>
      <c r="E846" s="19"/>
      <c r="F846" s="19"/>
      <c r="G846" s="156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5.75" customHeight="1" x14ac:dyDescent="0.25">
      <c r="A847" s="19"/>
      <c r="B847" s="19"/>
      <c r="C847" s="19"/>
      <c r="D847" s="19"/>
      <c r="E847" s="19"/>
      <c r="F847" s="19"/>
      <c r="G847" s="156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5.75" customHeight="1" x14ac:dyDescent="0.25">
      <c r="A848" s="19"/>
      <c r="B848" s="19"/>
      <c r="C848" s="19"/>
      <c r="D848" s="19"/>
      <c r="E848" s="19"/>
      <c r="F848" s="19"/>
      <c r="G848" s="156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5.75" customHeight="1" x14ac:dyDescent="0.25">
      <c r="A849" s="19"/>
      <c r="B849" s="19"/>
      <c r="C849" s="19"/>
      <c r="D849" s="19"/>
      <c r="E849" s="19"/>
      <c r="F849" s="19"/>
      <c r="G849" s="156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5.75" customHeight="1" x14ac:dyDescent="0.25">
      <c r="A850" s="19"/>
      <c r="B850" s="19"/>
      <c r="C850" s="19"/>
      <c r="D850" s="19"/>
      <c r="E850" s="19"/>
      <c r="F850" s="19"/>
      <c r="G850" s="156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5.75" customHeight="1" x14ac:dyDescent="0.25">
      <c r="A851" s="19"/>
      <c r="B851" s="19"/>
      <c r="C851" s="19"/>
      <c r="D851" s="19"/>
      <c r="E851" s="19"/>
      <c r="F851" s="19"/>
      <c r="G851" s="156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5.75" customHeight="1" x14ac:dyDescent="0.25">
      <c r="A852" s="19"/>
      <c r="B852" s="19"/>
      <c r="C852" s="19"/>
      <c r="D852" s="19"/>
      <c r="E852" s="19"/>
      <c r="F852" s="19"/>
      <c r="G852" s="156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5.75" customHeight="1" x14ac:dyDescent="0.25">
      <c r="A853" s="19"/>
      <c r="B853" s="19"/>
      <c r="C853" s="19"/>
      <c r="D853" s="19"/>
      <c r="E853" s="19"/>
      <c r="F853" s="19"/>
      <c r="G853" s="156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5.75" customHeight="1" x14ac:dyDescent="0.25">
      <c r="A854" s="19"/>
      <c r="B854" s="19"/>
      <c r="C854" s="19"/>
      <c r="D854" s="19"/>
      <c r="E854" s="19"/>
      <c r="F854" s="19"/>
      <c r="G854" s="156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5.75" customHeight="1" x14ac:dyDescent="0.25">
      <c r="A855" s="19"/>
      <c r="B855" s="19"/>
      <c r="C855" s="19"/>
      <c r="D855" s="19"/>
      <c r="E855" s="19"/>
      <c r="F855" s="19"/>
      <c r="G855" s="156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5.75" customHeight="1" x14ac:dyDescent="0.25">
      <c r="A856" s="19"/>
      <c r="B856" s="19"/>
      <c r="C856" s="19"/>
      <c r="D856" s="19"/>
      <c r="E856" s="19"/>
      <c r="F856" s="19"/>
      <c r="G856" s="156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5.75" customHeight="1" x14ac:dyDescent="0.25">
      <c r="A857" s="19"/>
      <c r="B857" s="19"/>
      <c r="C857" s="19"/>
      <c r="D857" s="19"/>
      <c r="E857" s="19"/>
      <c r="F857" s="19"/>
      <c r="G857" s="156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5.75" customHeight="1" x14ac:dyDescent="0.25">
      <c r="A858" s="19"/>
      <c r="B858" s="19"/>
      <c r="C858" s="19"/>
      <c r="D858" s="19"/>
      <c r="E858" s="19"/>
      <c r="F858" s="19"/>
      <c r="G858" s="156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5.75" customHeight="1" x14ac:dyDescent="0.25">
      <c r="A859" s="19"/>
      <c r="B859" s="19"/>
      <c r="C859" s="19"/>
      <c r="D859" s="19"/>
      <c r="E859" s="19"/>
      <c r="F859" s="19"/>
      <c r="G859" s="156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5.75" customHeight="1" x14ac:dyDescent="0.25">
      <c r="A860" s="19"/>
      <c r="B860" s="19"/>
      <c r="C860" s="19"/>
      <c r="D860" s="19"/>
      <c r="E860" s="19"/>
      <c r="F860" s="19"/>
      <c r="G860" s="156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5.75" customHeight="1" x14ac:dyDescent="0.25">
      <c r="A861" s="19"/>
      <c r="B861" s="19"/>
      <c r="C861" s="19"/>
      <c r="D861" s="19"/>
      <c r="E861" s="19"/>
      <c r="F861" s="19"/>
      <c r="G861" s="156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5.75" customHeight="1" x14ac:dyDescent="0.25">
      <c r="A862" s="19"/>
      <c r="B862" s="19"/>
      <c r="C862" s="19"/>
      <c r="D862" s="19"/>
      <c r="E862" s="19"/>
      <c r="F862" s="19"/>
      <c r="G862" s="156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5.75" customHeight="1" x14ac:dyDescent="0.25">
      <c r="A863" s="19"/>
      <c r="B863" s="19"/>
      <c r="C863" s="19"/>
      <c r="D863" s="19"/>
      <c r="E863" s="19"/>
      <c r="F863" s="19"/>
      <c r="G863" s="156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5.75" customHeight="1" x14ac:dyDescent="0.25">
      <c r="A864" s="19"/>
      <c r="B864" s="19"/>
      <c r="C864" s="19"/>
      <c r="D864" s="19"/>
      <c r="E864" s="19"/>
      <c r="F864" s="19"/>
      <c r="G864" s="156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5.75" customHeight="1" x14ac:dyDescent="0.25">
      <c r="A865" s="19"/>
      <c r="B865" s="19"/>
      <c r="C865" s="19"/>
      <c r="D865" s="19"/>
      <c r="E865" s="19"/>
      <c r="F865" s="19"/>
      <c r="G865" s="156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5.75" customHeight="1" x14ac:dyDescent="0.25">
      <c r="A866" s="19"/>
      <c r="B866" s="19"/>
      <c r="C866" s="19"/>
      <c r="D866" s="19"/>
      <c r="E866" s="19"/>
      <c r="F866" s="19"/>
      <c r="G866" s="156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5.75" customHeight="1" x14ac:dyDescent="0.25">
      <c r="A867" s="19"/>
      <c r="B867" s="19"/>
      <c r="C867" s="19"/>
      <c r="D867" s="19"/>
      <c r="E867" s="19"/>
      <c r="F867" s="19"/>
      <c r="G867" s="156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5.75" customHeight="1" x14ac:dyDescent="0.25">
      <c r="A868" s="19"/>
      <c r="B868" s="19"/>
      <c r="C868" s="19"/>
      <c r="D868" s="19"/>
      <c r="E868" s="19"/>
      <c r="F868" s="19"/>
      <c r="G868" s="156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5.75" customHeight="1" x14ac:dyDescent="0.25">
      <c r="A869" s="19"/>
      <c r="B869" s="19"/>
      <c r="C869" s="19"/>
      <c r="D869" s="19"/>
      <c r="E869" s="19"/>
      <c r="F869" s="19"/>
      <c r="G869" s="156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5.75" customHeight="1" x14ac:dyDescent="0.25">
      <c r="A870" s="19"/>
      <c r="B870" s="19"/>
      <c r="C870" s="19"/>
      <c r="D870" s="19"/>
      <c r="E870" s="19"/>
      <c r="F870" s="19"/>
      <c r="G870" s="156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5.75" customHeight="1" x14ac:dyDescent="0.25">
      <c r="A871" s="19"/>
      <c r="B871" s="19"/>
      <c r="C871" s="19"/>
      <c r="D871" s="19"/>
      <c r="E871" s="19"/>
      <c r="F871" s="19"/>
      <c r="G871" s="156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5.75" customHeight="1" x14ac:dyDescent="0.25">
      <c r="A872" s="19"/>
      <c r="B872" s="19"/>
      <c r="C872" s="19"/>
      <c r="D872" s="19"/>
      <c r="E872" s="19"/>
      <c r="F872" s="19"/>
      <c r="G872" s="156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5.75" customHeight="1" x14ac:dyDescent="0.25">
      <c r="A873" s="19"/>
      <c r="B873" s="19"/>
      <c r="C873" s="19"/>
      <c r="D873" s="19"/>
      <c r="E873" s="19"/>
      <c r="F873" s="19"/>
      <c r="G873" s="156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5.75" customHeight="1" x14ac:dyDescent="0.25">
      <c r="A874" s="19"/>
      <c r="B874" s="19"/>
      <c r="C874" s="19"/>
      <c r="D874" s="19"/>
      <c r="E874" s="19"/>
      <c r="F874" s="19"/>
      <c r="G874" s="156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5.75" customHeight="1" x14ac:dyDescent="0.25">
      <c r="A875" s="19"/>
      <c r="B875" s="19"/>
      <c r="C875" s="19"/>
      <c r="D875" s="19"/>
      <c r="E875" s="19"/>
      <c r="F875" s="19"/>
      <c r="G875" s="156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5.75" customHeight="1" x14ac:dyDescent="0.25">
      <c r="A876" s="19"/>
      <c r="B876" s="19"/>
      <c r="C876" s="19"/>
      <c r="D876" s="19"/>
      <c r="E876" s="19"/>
      <c r="F876" s="19"/>
      <c r="G876" s="156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5.75" customHeight="1" x14ac:dyDescent="0.25">
      <c r="A877" s="19"/>
      <c r="B877" s="19"/>
      <c r="C877" s="19"/>
      <c r="D877" s="19"/>
      <c r="E877" s="19"/>
      <c r="F877" s="19"/>
      <c r="G877" s="156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5.75" customHeight="1" x14ac:dyDescent="0.25">
      <c r="A878" s="19"/>
      <c r="B878" s="19"/>
      <c r="C878" s="19"/>
      <c r="D878" s="19"/>
      <c r="E878" s="19"/>
      <c r="F878" s="19"/>
      <c r="G878" s="156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5.75" customHeight="1" x14ac:dyDescent="0.25">
      <c r="A879" s="19"/>
      <c r="B879" s="19"/>
      <c r="C879" s="19"/>
      <c r="D879" s="19"/>
      <c r="E879" s="19"/>
      <c r="F879" s="19"/>
      <c r="G879" s="156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5.75" customHeight="1" x14ac:dyDescent="0.25">
      <c r="A880" s="19"/>
      <c r="B880" s="19"/>
      <c r="C880" s="19"/>
      <c r="D880" s="19"/>
      <c r="E880" s="19"/>
      <c r="F880" s="19"/>
      <c r="G880" s="156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5.75" customHeight="1" x14ac:dyDescent="0.25">
      <c r="A881" s="19"/>
      <c r="B881" s="19"/>
      <c r="C881" s="19"/>
      <c r="D881" s="19"/>
      <c r="E881" s="19"/>
      <c r="F881" s="19"/>
      <c r="G881" s="156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5.75" customHeight="1" x14ac:dyDescent="0.25">
      <c r="A882" s="19"/>
      <c r="B882" s="19"/>
      <c r="C882" s="19"/>
      <c r="D882" s="19"/>
      <c r="E882" s="19"/>
      <c r="F882" s="19"/>
      <c r="G882" s="156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5.75" customHeight="1" x14ac:dyDescent="0.25">
      <c r="A883" s="19"/>
      <c r="B883" s="19"/>
      <c r="C883" s="19"/>
      <c r="D883" s="19"/>
      <c r="E883" s="19"/>
      <c r="F883" s="19"/>
      <c r="G883" s="156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5.75" customHeight="1" x14ac:dyDescent="0.25">
      <c r="A884" s="19"/>
      <c r="B884" s="19"/>
      <c r="C884" s="19"/>
      <c r="D884" s="19"/>
      <c r="E884" s="19"/>
      <c r="F884" s="19"/>
      <c r="G884" s="156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5.75" customHeight="1" x14ac:dyDescent="0.25">
      <c r="A885" s="19"/>
      <c r="B885" s="19"/>
      <c r="C885" s="19"/>
      <c r="D885" s="19"/>
      <c r="E885" s="19"/>
      <c r="F885" s="19"/>
      <c r="G885" s="156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5.75" customHeight="1" x14ac:dyDescent="0.25">
      <c r="A886" s="19"/>
      <c r="B886" s="19"/>
      <c r="C886" s="19"/>
      <c r="D886" s="19"/>
      <c r="E886" s="19"/>
      <c r="F886" s="19"/>
      <c r="G886" s="156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5.75" customHeight="1" x14ac:dyDescent="0.25">
      <c r="A887" s="19"/>
      <c r="B887" s="19"/>
      <c r="C887" s="19"/>
      <c r="D887" s="19"/>
      <c r="E887" s="19"/>
      <c r="F887" s="19"/>
      <c r="G887" s="156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5.75" customHeight="1" x14ac:dyDescent="0.25">
      <c r="A888" s="19"/>
      <c r="B888" s="19"/>
      <c r="C888" s="19"/>
      <c r="D888" s="19"/>
      <c r="E888" s="19"/>
      <c r="F888" s="19"/>
      <c r="G888" s="156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5.75" customHeight="1" x14ac:dyDescent="0.25">
      <c r="A889" s="19"/>
      <c r="B889" s="19"/>
      <c r="C889" s="19"/>
      <c r="D889" s="19"/>
      <c r="E889" s="19"/>
      <c r="F889" s="19"/>
      <c r="G889" s="156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5.75" customHeight="1" x14ac:dyDescent="0.25">
      <c r="A890" s="19"/>
      <c r="B890" s="19"/>
      <c r="C890" s="19"/>
      <c r="D890" s="19"/>
      <c r="E890" s="19"/>
      <c r="F890" s="19"/>
      <c r="G890" s="156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5.75" customHeight="1" x14ac:dyDescent="0.25">
      <c r="A891" s="19"/>
      <c r="B891" s="19"/>
      <c r="C891" s="19"/>
      <c r="D891" s="19"/>
      <c r="E891" s="19"/>
      <c r="F891" s="19"/>
      <c r="G891" s="156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5.75" customHeight="1" x14ac:dyDescent="0.25">
      <c r="A892" s="19"/>
      <c r="B892" s="19"/>
      <c r="C892" s="19"/>
      <c r="D892" s="19"/>
      <c r="E892" s="19"/>
      <c r="F892" s="19"/>
      <c r="G892" s="156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5.75" customHeight="1" x14ac:dyDescent="0.25">
      <c r="A893" s="19"/>
      <c r="B893" s="19"/>
      <c r="C893" s="19"/>
      <c r="D893" s="19"/>
      <c r="E893" s="19"/>
      <c r="F893" s="19"/>
      <c r="G893" s="156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5.75" customHeight="1" x14ac:dyDescent="0.25">
      <c r="A894" s="19"/>
      <c r="B894" s="19"/>
      <c r="C894" s="19"/>
      <c r="D894" s="19"/>
      <c r="E894" s="19"/>
      <c r="F894" s="19"/>
      <c r="G894" s="156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5.75" customHeight="1" x14ac:dyDescent="0.25">
      <c r="A895" s="19"/>
      <c r="B895" s="19"/>
      <c r="C895" s="19"/>
      <c r="D895" s="19"/>
      <c r="E895" s="19"/>
      <c r="F895" s="19"/>
      <c r="G895" s="156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5.75" customHeight="1" x14ac:dyDescent="0.25">
      <c r="A896" s="19"/>
      <c r="B896" s="19"/>
      <c r="C896" s="19"/>
      <c r="D896" s="19"/>
      <c r="E896" s="19"/>
      <c r="F896" s="19"/>
      <c r="G896" s="156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5.75" customHeight="1" x14ac:dyDescent="0.25">
      <c r="A897" s="19"/>
      <c r="B897" s="19"/>
      <c r="C897" s="19"/>
      <c r="D897" s="19"/>
      <c r="E897" s="19"/>
      <c r="F897" s="19"/>
      <c r="G897" s="156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5.75" customHeight="1" x14ac:dyDescent="0.25">
      <c r="A898" s="19"/>
      <c r="B898" s="19"/>
      <c r="C898" s="19"/>
      <c r="D898" s="19"/>
      <c r="E898" s="19"/>
      <c r="F898" s="19"/>
      <c r="G898" s="156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5.75" customHeight="1" x14ac:dyDescent="0.25">
      <c r="A899" s="19"/>
      <c r="B899" s="19"/>
      <c r="C899" s="19"/>
      <c r="D899" s="19"/>
      <c r="E899" s="19"/>
      <c r="F899" s="19"/>
      <c r="G899" s="156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5.75" customHeight="1" x14ac:dyDescent="0.25">
      <c r="A900" s="19"/>
      <c r="B900" s="19"/>
      <c r="C900" s="19"/>
      <c r="D900" s="19"/>
      <c r="E900" s="19"/>
      <c r="F900" s="19"/>
      <c r="G900" s="156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5.75" customHeight="1" x14ac:dyDescent="0.25">
      <c r="A901" s="19"/>
      <c r="B901" s="19"/>
      <c r="C901" s="19"/>
      <c r="D901" s="19"/>
      <c r="E901" s="19"/>
      <c r="F901" s="19"/>
      <c r="G901" s="156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5.75" customHeight="1" x14ac:dyDescent="0.25">
      <c r="A902" s="19"/>
      <c r="B902" s="19"/>
      <c r="C902" s="19"/>
      <c r="D902" s="19"/>
      <c r="E902" s="19"/>
      <c r="F902" s="19"/>
      <c r="G902" s="156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5.75" customHeight="1" x14ac:dyDescent="0.25">
      <c r="A903" s="19"/>
      <c r="B903" s="19"/>
      <c r="C903" s="19"/>
      <c r="D903" s="19"/>
      <c r="E903" s="19"/>
      <c r="F903" s="19"/>
      <c r="G903" s="156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5.75" customHeight="1" x14ac:dyDescent="0.25">
      <c r="A904" s="19"/>
      <c r="B904" s="19"/>
      <c r="C904" s="19"/>
      <c r="D904" s="19"/>
      <c r="E904" s="19"/>
      <c r="F904" s="19"/>
      <c r="G904" s="156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5.75" customHeight="1" x14ac:dyDescent="0.25">
      <c r="A905" s="19"/>
      <c r="B905" s="19"/>
      <c r="C905" s="19"/>
      <c r="D905" s="19"/>
      <c r="E905" s="19"/>
      <c r="F905" s="19"/>
      <c r="G905" s="156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5.75" customHeight="1" x14ac:dyDescent="0.25">
      <c r="A906" s="19"/>
      <c r="B906" s="19"/>
      <c r="C906" s="19"/>
      <c r="D906" s="19"/>
      <c r="E906" s="19"/>
      <c r="F906" s="19"/>
      <c r="G906" s="156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5.75" customHeight="1" x14ac:dyDescent="0.25">
      <c r="A907" s="19"/>
      <c r="B907" s="19"/>
      <c r="C907" s="19"/>
      <c r="D907" s="19"/>
      <c r="E907" s="19"/>
      <c r="F907" s="19"/>
      <c r="G907" s="156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5.75" customHeight="1" x14ac:dyDescent="0.25">
      <c r="A908" s="19"/>
      <c r="B908" s="19"/>
      <c r="C908" s="19"/>
      <c r="D908" s="19"/>
      <c r="E908" s="19"/>
      <c r="F908" s="19"/>
      <c r="G908" s="156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5.75" customHeight="1" x14ac:dyDescent="0.25">
      <c r="A909" s="19"/>
      <c r="B909" s="19"/>
      <c r="C909" s="19"/>
      <c r="D909" s="19"/>
      <c r="E909" s="19"/>
      <c r="F909" s="19"/>
      <c r="G909" s="156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5.75" customHeight="1" x14ac:dyDescent="0.25">
      <c r="A910" s="19"/>
      <c r="B910" s="19"/>
      <c r="C910" s="19"/>
      <c r="D910" s="19"/>
      <c r="E910" s="19"/>
      <c r="F910" s="19"/>
      <c r="G910" s="156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5.75" customHeight="1" x14ac:dyDescent="0.25">
      <c r="A911" s="19"/>
      <c r="B911" s="19"/>
      <c r="C911" s="19"/>
      <c r="D911" s="19"/>
      <c r="E911" s="19"/>
      <c r="F911" s="19"/>
      <c r="G911" s="156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5.75" customHeight="1" x14ac:dyDescent="0.25">
      <c r="A912" s="19"/>
      <c r="B912" s="19"/>
      <c r="C912" s="19"/>
      <c r="D912" s="19"/>
      <c r="E912" s="19"/>
      <c r="F912" s="19"/>
      <c r="G912" s="156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5.75" customHeight="1" x14ac:dyDescent="0.25">
      <c r="A913" s="19"/>
      <c r="B913" s="19"/>
      <c r="C913" s="19"/>
      <c r="D913" s="19"/>
      <c r="E913" s="19"/>
      <c r="F913" s="19"/>
      <c r="G913" s="156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5.75" customHeight="1" x14ac:dyDescent="0.25">
      <c r="A914" s="19"/>
      <c r="B914" s="19"/>
      <c r="C914" s="19"/>
      <c r="D914" s="19"/>
      <c r="E914" s="19"/>
      <c r="F914" s="19"/>
      <c r="G914" s="156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5.75" customHeight="1" x14ac:dyDescent="0.25">
      <c r="A915" s="19"/>
      <c r="B915" s="19"/>
      <c r="C915" s="19"/>
      <c r="D915" s="19"/>
      <c r="E915" s="19"/>
      <c r="F915" s="19"/>
      <c r="G915" s="156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5.75" customHeight="1" x14ac:dyDescent="0.25">
      <c r="A916" s="19"/>
      <c r="B916" s="19"/>
      <c r="C916" s="19"/>
      <c r="D916" s="19"/>
      <c r="E916" s="19"/>
      <c r="F916" s="19"/>
      <c r="G916" s="156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5.75" customHeight="1" x14ac:dyDescent="0.25">
      <c r="A917" s="19"/>
      <c r="B917" s="19"/>
      <c r="C917" s="19"/>
      <c r="D917" s="19"/>
      <c r="E917" s="19"/>
      <c r="F917" s="19"/>
      <c r="G917" s="156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5.75" customHeight="1" x14ac:dyDescent="0.25">
      <c r="A918" s="19"/>
      <c r="B918" s="19"/>
      <c r="C918" s="19"/>
      <c r="D918" s="19"/>
      <c r="E918" s="19"/>
      <c r="F918" s="19"/>
      <c r="G918" s="156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5.75" customHeight="1" x14ac:dyDescent="0.25">
      <c r="A919" s="19"/>
      <c r="B919" s="19"/>
      <c r="C919" s="19"/>
      <c r="D919" s="19"/>
      <c r="E919" s="19"/>
      <c r="F919" s="19"/>
      <c r="G919" s="156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5.75" customHeight="1" x14ac:dyDescent="0.25">
      <c r="A920" s="19"/>
      <c r="B920" s="19"/>
      <c r="C920" s="19"/>
      <c r="D920" s="19"/>
      <c r="E920" s="19"/>
      <c r="F920" s="19"/>
      <c r="G920" s="156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5.75" customHeight="1" x14ac:dyDescent="0.25">
      <c r="A921" s="19"/>
      <c r="B921" s="19"/>
      <c r="C921" s="19"/>
      <c r="D921" s="19"/>
      <c r="E921" s="19"/>
      <c r="F921" s="19"/>
      <c r="G921" s="156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5.75" customHeight="1" x14ac:dyDescent="0.25">
      <c r="A922" s="19"/>
      <c r="B922" s="19"/>
      <c r="C922" s="19"/>
      <c r="D922" s="19"/>
      <c r="E922" s="19"/>
      <c r="F922" s="19"/>
      <c r="G922" s="156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5.75" customHeight="1" x14ac:dyDescent="0.25">
      <c r="A923" s="19"/>
      <c r="B923" s="19"/>
      <c r="C923" s="19"/>
      <c r="D923" s="19"/>
      <c r="E923" s="19"/>
      <c r="F923" s="19"/>
      <c r="G923" s="156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5.75" customHeight="1" x14ac:dyDescent="0.25">
      <c r="A924" s="19"/>
      <c r="B924" s="19"/>
      <c r="C924" s="19"/>
      <c r="D924" s="19"/>
      <c r="E924" s="19"/>
      <c r="F924" s="19"/>
      <c r="G924" s="156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5.75" customHeight="1" x14ac:dyDescent="0.25">
      <c r="A925" s="19"/>
      <c r="B925" s="19"/>
      <c r="C925" s="19"/>
      <c r="D925" s="19"/>
      <c r="E925" s="19"/>
      <c r="F925" s="19"/>
      <c r="G925" s="156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5.75" customHeight="1" x14ac:dyDescent="0.25">
      <c r="A926" s="19"/>
      <c r="B926" s="19"/>
      <c r="C926" s="19"/>
      <c r="D926" s="19"/>
      <c r="E926" s="19"/>
      <c r="F926" s="19"/>
      <c r="G926" s="156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5.75" customHeight="1" x14ac:dyDescent="0.25">
      <c r="A927" s="19"/>
      <c r="B927" s="19"/>
      <c r="C927" s="19"/>
      <c r="D927" s="19"/>
      <c r="E927" s="19"/>
      <c r="F927" s="19"/>
      <c r="G927" s="156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5.75" customHeight="1" x14ac:dyDescent="0.25">
      <c r="A928" s="19"/>
      <c r="B928" s="19"/>
      <c r="C928" s="19"/>
      <c r="D928" s="19"/>
      <c r="E928" s="19"/>
      <c r="F928" s="19"/>
      <c r="G928" s="156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5.75" customHeight="1" x14ac:dyDescent="0.25">
      <c r="A929" s="19"/>
      <c r="B929" s="19"/>
      <c r="C929" s="19"/>
      <c r="D929" s="19"/>
      <c r="E929" s="19"/>
      <c r="F929" s="19"/>
      <c r="G929" s="156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5.75" customHeight="1" x14ac:dyDescent="0.25">
      <c r="A930" s="19"/>
      <c r="B930" s="19"/>
      <c r="C930" s="19"/>
      <c r="D930" s="19"/>
      <c r="E930" s="19"/>
      <c r="F930" s="19"/>
      <c r="G930" s="156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5.75" customHeight="1" x14ac:dyDescent="0.25">
      <c r="A931" s="19"/>
      <c r="B931" s="19"/>
      <c r="C931" s="19"/>
      <c r="D931" s="19"/>
      <c r="E931" s="19"/>
      <c r="F931" s="19"/>
      <c r="G931" s="156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5.75" customHeight="1" x14ac:dyDescent="0.25">
      <c r="A932" s="19"/>
      <c r="B932" s="19"/>
      <c r="C932" s="19"/>
      <c r="D932" s="19"/>
      <c r="E932" s="19"/>
      <c r="F932" s="19"/>
      <c r="G932" s="156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5.75" customHeight="1" x14ac:dyDescent="0.25">
      <c r="A933" s="19"/>
      <c r="B933" s="19"/>
      <c r="C933" s="19"/>
      <c r="D933" s="19"/>
      <c r="E933" s="19"/>
      <c r="F933" s="19"/>
      <c r="G933" s="156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5.75" customHeight="1" x14ac:dyDescent="0.25">
      <c r="A934" s="19"/>
      <c r="B934" s="19"/>
      <c r="C934" s="19"/>
      <c r="D934" s="19"/>
      <c r="E934" s="19"/>
      <c r="F934" s="19"/>
      <c r="G934" s="156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5.75" customHeight="1" x14ac:dyDescent="0.25">
      <c r="A935" s="19"/>
      <c r="B935" s="19"/>
      <c r="C935" s="19"/>
      <c r="D935" s="19"/>
      <c r="E935" s="19"/>
      <c r="F935" s="19"/>
      <c r="G935" s="156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5.75" customHeight="1" x14ac:dyDescent="0.25">
      <c r="A936" s="19"/>
      <c r="B936" s="19"/>
      <c r="C936" s="19"/>
      <c r="D936" s="19"/>
      <c r="E936" s="19"/>
      <c r="F936" s="19"/>
      <c r="G936" s="156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5.75" customHeight="1" x14ac:dyDescent="0.25">
      <c r="A937" s="19"/>
      <c r="B937" s="19"/>
      <c r="C937" s="19"/>
      <c r="D937" s="19"/>
      <c r="E937" s="19"/>
      <c r="F937" s="19"/>
      <c r="G937" s="156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5.75" customHeight="1" x14ac:dyDescent="0.25">
      <c r="A938" s="19"/>
      <c r="B938" s="19"/>
      <c r="C938" s="19"/>
      <c r="D938" s="19"/>
      <c r="E938" s="19"/>
      <c r="F938" s="19"/>
      <c r="G938" s="156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5.75" customHeight="1" x14ac:dyDescent="0.25">
      <c r="A939" s="19"/>
      <c r="B939" s="19"/>
      <c r="C939" s="19"/>
      <c r="D939" s="19"/>
      <c r="E939" s="19"/>
      <c r="F939" s="19"/>
      <c r="G939" s="156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5.75" customHeight="1" x14ac:dyDescent="0.25">
      <c r="A940" s="19"/>
      <c r="B940" s="19"/>
      <c r="C940" s="19"/>
      <c r="D940" s="19"/>
      <c r="E940" s="19"/>
      <c r="F940" s="19"/>
      <c r="G940" s="156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5.75" customHeight="1" x14ac:dyDescent="0.25">
      <c r="A941" s="19"/>
      <c r="B941" s="19"/>
      <c r="C941" s="19"/>
      <c r="D941" s="19"/>
      <c r="E941" s="19"/>
      <c r="F941" s="19"/>
      <c r="G941" s="156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5.75" customHeight="1" x14ac:dyDescent="0.25">
      <c r="A942" s="19"/>
      <c r="B942" s="19"/>
      <c r="C942" s="19"/>
      <c r="D942" s="19"/>
      <c r="E942" s="19"/>
      <c r="F942" s="19"/>
      <c r="G942" s="156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5.75" customHeight="1" x14ac:dyDescent="0.25">
      <c r="A943" s="19"/>
      <c r="B943" s="19"/>
      <c r="C943" s="19"/>
      <c r="D943" s="19"/>
      <c r="E943" s="19"/>
      <c r="F943" s="19"/>
      <c r="G943" s="156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5.75" customHeight="1" x14ac:dyDescent="0.25">
      <c r="A944" s="19"/>
      <c r="B944" s="19"/>
      <c r="C944" s="19"/>
      <c r="D944" s="19"/>
      <c r="E944" s="19"/>
      <c r="F944" s="19"/>
      <c r="G944" s="156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5.75" customHeight="1" x14ac:dyDescent="0.25">
      <c r="A945" s="19"/>
      <c r="B945" s="19"/>
      <c r="C945" s="19"/>
      <c r="D945" s="19"/>
      <c r="E945" s="19"/>
      <c r="F945" s="19"/>
      <c r="G945" s="156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5.75" customHeight="1" x14ac:dyDescent="0.25">
      <c r="A946" s="19"/>
      <c r="B946" s="19"/>
      <c r="C946" s="19"/>
      <c r="D946" s="19"/>
      <c r="E946" s="19"/>
      <c r="F946" s="19"/>
      <c r="G946" s="156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5.75" customHeight="1" x14ac:dyDescent="0.25">
      <c r="A947" s="19"/>
      <c r="B947" s="19"/>
      <c r="C947" s="19"/>
      <c r="D947" s="19"/>
      <c r="E947" s="19"/>
      <c r="F947" s="19"/>
      <c r="G947" s="156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5.75" customHeight="1" x14ac:dyDescent="0.25">
      <c r="A948" s="19"/>
      <c r="B948" s="19"/>
      <c r="C948" s="19"/>
      <c r="D948" s="19"/>
      <c r="E948" s="19"/>
      <c r="F948" s="19"/>
      <c r="G948" s="156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5.75" customHeight="1" x14ac:dyDescent="0.25">
      <c r="A949" s="19"/>
      <c r="B949" s="19"/>
      <c r="C949" s="19"/>
      <c r="D949" s="19"/>
      <c r="E949" s="19"/>
      <c r="F949" s="19"/>
      <c r="G949" s="156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5.75" customHeight="1" x14ac:dyDescent="0.25">
      <c r="A950" s="19"/>
      <c r="B950" s="19"/>
      <c r="C950" s="19"/>
      <c r="D950" s="19"/>
      <c r="E950" s="19"/>
      <c r="F950" s="19"/>
      <c r="G950" s="156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5.75" customHeight="1" x14ac:dyDescent="0.25">
      <c r="A951" s="19"/>
      <c r="B951" s="19"/>
      <c r="C951" s="19"/>
      <c r="D951" s="19"/>
      <c r="E951" s="19"/>
      <c r="F951" s="19"/>
      <c r="G951" s="156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5.75" customHeight="1" x14ac:dyDescent="0.25">
      <c r="A952" s="19"/>
      <c r="B952" s="19"/>
      <c r="C952" s="19"/>
      <c r="D952" s="19"/>
      <c r="E952" s="19"/>
      <c r="F952" s="19"/>
      <c r="G952" s="156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5.75" customHeight="1" x14ac:dyDescent="0.25">
      <c r="A953" s="19"/>
      <c r="B953" s="19"/>
      <c r="C953" s="19"/>
      <c r="D953" s="19"/>
      <c r="E953" s="19"/>
      <c r="F953" s="19"/>
      <c r="G953" s="156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5.75" customHeight="1" x14ac:dyDescent="0.25">
      <c r="A954" s="19"/>
      <c r="B954" s="19"/>
      <c r="C954" s="19"/>
      <c r="D954" s="19"/>
      <c r="E954" s="19"/>
      <c r="F954" s="19"/>
      <c r="G954" s="156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5.75" customHeight="1" x14ac:dyDescent="0.25">
      <c r="A955" s="19"/>
      <c r="B955" s="19"/>
      <c r="C955" s="19"/>
      <c r="D955" s="19"/>
      <c r="E955" s="19"/>
      <c r="F955" s="19"/>
      <c r="G955" s="156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5.75" customHeight="1" x14ac:dyDescent="0.25">
      <c r="A956" s="19"/>
      <c r="B956" s="19"/>
      <c r="C956" s="19"/>
      <c r="D956" s="19"/>
      <c r="E956" s="19"/>
      <c r="F956" s="19"/>
      <c r="G956" s="156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5.75" customHeight="1" x14ac:dyDescent="0.25">
      <c r="A957" s="19"/>
      <c r="B957" s="19"/>
      <c r="C957" s="19"/>
      <c r="D957" s="19"/>
      <c r="E957" s="19"/>
      <c r="F957" s="19"/>
      <c r="G957" s="156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5.75" customHeight="1" x14ac:dyDescent="0.25">
      <c r="A958" s="19"/>
      <c r="B958" s="19"/>
      <c r="C958" s="19"/>
      <c r="D958" s="19"/>
      <c r="E958" s="19"/>
      <c r="F958" s="19"/>
      <c r="G958" s="156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5.75" customHeight="1" x14ac:dyDescent="0.25">
      <c r="A959" s="19"/>
      <c r="B959" s="19"/>
      <c r="C959" s="19"/>
      <c r="D959" s="19"/>
      <c r="E959" s="19"/>
      <c r="F959" s="19"/>
      <c r="G959" s="156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5.75" customHeight="1" x14ac:dyDescent="0.25">
      <c r="A960" s="19"/>
      <c r="B960" s="19"/>
      <c r="C960" s="19"/>
      <c r="D960" s="19"/>
      <c r="E960" s="19"/>
      <c r="F960" s="19"/>
      <c r="G960" s="156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5.75" customHeight="1" x14ac:dyDescent="0.25">
      <c r="A961" s="19"/>
      <c r="B961" s="19"/>
      <c r="C961" s="19"/>
      <c r="D961" s="19"/>
      <c r="E961" s="19"/>
      <c r="F961" s="19"/>
      <c r="G961" s="156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5.75" customHeight="1" x14ac:dyDescent="0.25">
      <c r="A962" s="19"/>
      <c r="B962" s="19"/>
      <c r="C962" s="19"/>
      <c r="D962" s="19"/>
      <c r="E962" s="19"/>
      <c r="F962" s="19"/>
      <c r="G962" s="156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5.75" customHeight="1" x14ac:dyDescent="0.25">
      <c r="A963" s="19"/>
      <c r="B963" s="19"/>
      <c r="C963" s="19"/>
      <c r="D963" s="19"/>
      <c r="E963" s="19"/>
      <c r="F963" s="19"/>
      <c r="G963" s="156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5.75" customHeight="1" x14ac:dyDescent="0.25">
      <c r="A964" s="19"/>
      <c r="B964" s="19"/>
      <c r="C964" s="19"/>
      <c r="D964" s="19"/>
      <c r="E964" s="19"/>
      <c r="F964" s="19"/>
      <c r="G964" s="156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5.75" customHeight="1" x14ac:dyDescent="0.25">
      <c r="A965" s="19"/>
      <c r="B965" s="19"/>
      <c r="C965" s="19"/>
      <c r="D965" s="19"/>
      <c r="E965" s="19"/>
      <c r="F965" s="19"/>
      <c r="G965" s="156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5.75" customHeight="1" x14ac:dyDescent="0.25">
      <c r="A966" s="19"/>
      <c r="B966" s="19"/>
      <c r="C966" s="19"/>
      <c r="D966" s="19"/>
      <c r="E966" s="19"/>
      <c r="F966" s="19"/>
      <c r="G966" s="156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5.75" customHeight="1" x14ac:dyDescent="0.25">
      <c r="A967" s="19"/>
      <c r="B967" s="19"/>
      <c r="C967" s="19"/>
      <c r="D967" s="19"/>
      <c r="E967" s="19"/>
      <c r="F967" s="19"/>
      <c r="G967" s="156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5.75" customHeight="1" x14ac:dyDescent="0.25">
      <c r="A968" s="19"/>
      <c r="B968" s="19"/>
      <c r="C968" s="19"/>
      <c r="D968" s="19"/>
      <c r="E968" s="19"/>
      <c r="F968" s="19"/>
      <c r="G968" s="156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5.75" customHeight="1" x14ac:dyDescent="0.25">
      <c r="A969" s="19"/>
      <c r="B969" s="19"/>
      <c r="C969" s="19"/>
      <c r="D969" s="19"/>
      <c r="E969" s="19"/>
      <c r="F969" s="19"/>
      <c r="G969" s="156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5.75" customHeight="1" x14ac:dyDescent="0.25">
      <c r="A970" s="19"/>
      <c r="B970" s="19"/>
      <c r="C970" s="19"/>
      <c r="D970" s="19"/>
      <c r="E970" s="19"/>
      <c r="F970" s="19"/>
      <c r="G970" s="156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15.75" customHeight="1" x14ac:dyDescent="0.25">
      <c r="A971" s="19"/>
      <c r="B971" s="19"/>
      <c r="C971" s="19"/>
      <c r="D971" s="19"/>
      <c r="E971" s="19"/>
      <c r="F971" s="19"/>
      <c r="G971" s="156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15.75" customHeight="1" x14ac:dyDescent="0.25">
      <c r="A972" s="19"/>
      <c r="B972" s="19"/>
      <c r="C972" s="19"/>
      <c r="D972" s="19"/>
      <c r="E972" s="19"/>
      <c r="F972" s="19"/>
      <c r="G972" s="156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5.75" customHeight="1" x14ac:dyDescent="0.25">
      <c r="A973" s="19"/>
      <c r="B973" s="19"/>
      <c r="C973" s="19"/>
      <c r="D973" s="19"/>
      <c r="E973" s="19"/>
      <c r="F973" s="19"/>
      <c r="G973" s="156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15.75" customHeight="1" x14ac:dyDescent="0.25">
      <c r="A974" s="19"/>
      <c r="B974" s="19"/>
      <c r="C974" s="19"/>
      <c r="D974" s="19"/>
      <c r="E974" s="19"/>
      <c r="F974" s="19"/>
      <c r="G974" s="156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5.75" customHeight="1" x14ac:dyDescent="0.25">
      <c r="A975" s="19"/>
      <c r="B975" s="19"/>
      <c r="C975" s="19"/>
      <c r="D975" s="19"/>
      <c r="E975" s="19"/>
      <c r="F975" s="19"/>
      <c r="G975" s="156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15.75" customHeight="1" x14ac:dyDescent="0.25">
      <c r="A976" s="19"/>
      <c r="B976" s="19"/>
      <c r="C976" s="19"/>
      <c r="D976" s="19"/>
      <c r="E976" s="19"/>
      <c r="F976" s="19"/>
      <c r="G976" s="156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5.75" customHeight="1" x14ac:dyDescent="0.25">
      <c r="A977" s="19"/>
      <c r="B977" s="19"/>
      <c r="C977" s="19"/>
      <c r="D977" s="19"/>
      <c r="E977" s="19"/>
      <c r="F977" s="19"/>
      <c r="G977" s="156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5.75" customHeight="1" x14ac:dyDescent="0.25">
      <c r="A978" s="19"/>
      <c r="B978" s="19"/>
      <c r="C978" s="19"/>
      <c r="D978" s="19"/>
      <c r="E978" s="19"/>
      <c r="F978" s="19"/>
      <c r="G978" s="156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5.75" customHeight="1" x14ac:dyDescent="0.25">
      <c r="A979" s="19"/>
      <c r="B979" s="19"/>
      <c r="C979" s="19"/>
      <c r="D979" s="19"/>
      <c r="E979" s="19"/>
      <c r="F979" s="19"/>
      <c r="G979" s="156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5.75" customHeight="1" x14ac:dyDescent="0.25">
      <c r="A980" s="19"/>
      <c r="B980" s="19"/>
      <c r="C980" s="19"/>
      <c r="D980" s="19"/>
      <c r="E980" s="19"/>
      <c r="F980" s="19"/>
      <c r="G980" s="156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5.75" customHeight="1" x14ac:dyDescent="0.25">
      <c r="A981" s="19"/>
      <c r="B981" s="19"/>
      <c r="C981" s="19"/>
      <c r="D981" s="19"/>
      <c r="E981" s="19"/>
      <c r="F981" s="19"/>
      <c r="G981" s="156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5.75" customHeight="1" x14ac:dyDescent="0.25">
      <c r="A982" s="19"/>
      <c r="B982" s="19"/>
      <c r="C982" s="19"/>
      <c r="D982" s="19"/>
      <c r="E982" s="19"/>
      <c r="F982" s="19"/>
      <c r="G982" s="156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5.75" customHeight="1" x14ac:dyDescent="0.25">
      <c r="A983" s="19"/>
      <c r="B983" s="19"/>
      <c r="C983" s="19"/>
      <c r="D983" s="19"/>
      <c r="E983" s="19"/>
      <c r="F983" s="19"/>
      <c r="G983" s="156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5.75" customHeight="1" x14ac:dyDescent="0.25">
      <c r="A984" s="19"/>
      <c r="B984" s="19"/>
      <c r="C984" s="19"/>
      <c r="D984" s="19"/>
      <c r="E984" s="19"/>
      <c r="F984" s="19"/>
      <c r="G984" s="156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5.75" customHeight="1" x14ac:dyDescent="0.25">
      <c r="A985" s="19"/>
      <c r="B985" s="19"/>
      <c r="C985" s="19"/>
      <c r="D985" s="19"/>
      <c r="E985" s="19"/>
      <c r="F985" s="19"/>
      <c r="G985" s="156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5.75" customHeight="1" x14ac:dyDescent="0.25">
      <c r="A986" s="19"/>
      <c r="B986" s="19"/>
      <c r="C986" s="19"/>
      <c r="D986" s="19"/>
      <c r="E986" s="19"/>
      <c r="F986" s="19"/>
      <c r="G986" s="156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5.75" customHeight="1" x14ac:dyDescent="0.25">
      <c r="A987" s="19"/>
      <c r="B987" s="19"/>
      <c r="C987" s="19"/>
      <c r="D987" s="19"/>
      <c r="E987" s="19"/>
      <c r="F987" s="19"/>
      <c r="G987" s="156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5.75" customHeight="1" x14ac:dyDescent="0.25">
      <c r="A988" s="19"/>
      <c r="B988" s="19"/>
      <c r="C988" s="19"/>
      <c r="D988" s="19"/>
      <c r="E988" s="19"/>
      <c r="F988" s="19"/>
      <c r="G988" s="156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5.75" customHeight="1" x14ac:dyDescent="0.25">
      <c r="A989" s="19"/>
      <c r="B989" s="19"/>
      <c r="C989" s="19"/>
      <c r="D989" s="19"/>
      <c r="E989" s="19"/>
      <c r="F989" s="19"/>
      <c r="G989" s="156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5.75" customHeight="1" x14ac:dyDescent="0.25">
      <c r="A990" s="19"/>
      <c r="B990" s="19"/>
      <c r="C990" s="19"/>
      <c r="D990" s="19"/>
      <c r="E990" s="19"/>
      <c r="F990" s="19"/>
      <c r="G990" s="156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ht="15.75" customHeight="1" x14ac:dyDescent="0.25">
      <c r="A991" s="19"/>
      <c r="B991" s="19"/>
      <c r="C991" s="19"/>
      <c r="D991" s="19"/>
      <c r="E991" s="19"/>
      <c r="F991" s="19"/>
      <c r="G991" s="156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5.75" customHeight="1" x14ac:dyDescent="0.25">
      <c r="A992" s="19"/>
      <c r="B992" s="19"/>
      <c r="C992" s="19"/>
      <c r="D992" s="19"/>
      <c r="E992" s="19"/>
      <c r="F992" s="19"/>
      <c r="G992" s="156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ht="15.75" customHeight="1" x14ac:dyDescent="0.25">
      <c r="A993" s="19"/>
      <c r="B993" s="19"/>
      <c r="C993" s="19"/>
      <c r="D993" s="19"/>
      <c r="E993" s="19"/>
      <c r="F993" s="19"/>
      <c r="G993" s="156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ht="15.75" customHeight="1" x14ac:dyDescent="0.25">
      <c r="A994" s="19"/>
      <c r="B994" s="19"/>
      <c r="C994" s="19"/>
      <c r="D994" s="19"/>
      <c r="E994" s="19"/>
      <c r="F994" s="19"/>
      <c r="G994" s="156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ht="15.75" customHeight="1" x14ac:dyDescent="0.25">
      <c r="A995" s="19"/>
      <c r="B995" s="19"/>
      <c r="C995" s="19"/>
      <c r="D995" s="19"/>
      <c r="E995" s="19"/>
      <c r="F995" s="19"/>
      <c r="G995" s="156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ht="15.75" customHeight="1" x14ac:dyDescent="0.25">
      <c r="A996" s="19"/>
      <c r="B996" s="19"/>
      <c r="C996" s="19"/>
      <c r="D996" s="19"/>
      <c r="E996" s="19"/>
      <c r="F996" s="19"/>
      <c r="G996" s="156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ht="15.75" customHeight="1" x14ac:dyDescent="0.25">
      <c r="A997" s="19"/>
      <c r="B997" s="19"/>
      <c r="C997" s="19"/>
      <c r="D997" s="19"/>
      <c r="E997" s="19"/>
      <c r="F997" s="19"/>
      <c r="G997" s="156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ht="15.75" customHeight="1" x14ac:dyDescent="0.25">
      <c r="A998" s="19"/>
      <c r="B998" s="19"/>
      <c r="C998" s="19"/>
      <c r="D998" s="19"/>
      <c r="E998" s="19"/>
      <c r="F998" s="19"/>
      <c r="G998" s="156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 ht="15.75" customHeight="1" x14ac:dyDescent="0.25">
      <c r="A999" s="19"/>
      <c r="B999" s="19"/>
      <c r="C999" s="19"/>
      <c r="D999" s="19"/>
      <c r="E999" s="19"/>
      <c r="F999" s="19"/>
      <c r="G999" s="156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 ht="15.75" customHeight="1" x14ac:dyDescent="0.25">
      <c r="A1000" s="19"/>
      <c r="B1000" s="19"/>
      <c r="C1000" s="19"/>
      <c r="D1000" s="19"/>
      <c r="E1000" s="19"/>
      <c r="F1000" s="19"/>
      <c r="G1000" s="156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spans="1:26" ht="15.75" customHeight="1" x14ac:dyDescent="0.25">
      <c r="A1001" s="19"/>
      <c r="B1001" s="19"/>
      <c r="C1001" s="19"/>
      <c r="D1001" s="19"/>
      <c r="E1001" s="19"/>
      <c r="F1001" s="19"/>
      <c r="G1001" s="156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spans="1:26" ht="15.75" customHeight="1" x14ac:dyDescent="0.25">
      <c r="A1002" s="19"/>
      <c r="B1002" s="19"/>
      <c r="C1002" s="19"/>
      <c r="D1002" s="19"/>
      <c r="E1002" s="19"/>
      <c r="F1002" s="19"/>
      <c r="G1002" s="156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 spans="1:26" ht="15.75" customHeight="1" x14ac:dyDescent="0.25">
      <c r="A1003" s="19"/>
      <c r="B1003" s="19"/>
      <c r="C1003" s="19"/>
      <c r="D1003" s="19"/>
      <c r="E1003" s="19"/>
      <c r="F1003" s="19"/>
      <c r="G1003" s="156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</row>
    <row r="1004" spans="1:26" ht="15.75" customHeight="1" x14ac:dyDescent="0.25">
      <c r="A1004" s="19"/>
      <c r="B1004" s="19"/>
      <c r="C1004" s="19"/>
      <c r="D1004" s="19"/>
      <c r="E1004" s="19"/>
      <c r="F1004" s="19"/>
      <c r="G1004" s="156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</row>
    <row r="1005" spans="1:26" ht="15.75" customHeight="1" x14ac:dyDescent="0.25">
      <c r="A1005" s="19"/>
      <c r="B1005" s="19"/>
      <c r="C1005" s="19"/>
      <c r="D1005" s="19"/>
      <c r="E1005" s="19"/>
      <c r="F1005" s="19"/>
      <c r="G1005" s="156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</row>
    <row r="1006" spans="1:26" ht="15.75" customHeight="1" x14ac:dyDescent="0.25">
      <c r="A1006" s="19"/>
      <c r="B1006" s="19"/>
      <c r="C1006" s="19"/>
      <c r="D1006" s="19"/>
      <c r="E1006" s="19"/>
      <c r="F1006" s="19"/>
      <c r="G1006" s="156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</row>
    <row r="1007" spans="1:26" ht="15" customHeight="1" x14ac:dyDescent="0.25">
      <c r="C1007" s="19"/>
    </row>
  </sheetData>
  <sortState xmlns:xlrd2="http://schemas.microsoft.com/office/spreadsheetml/2017/richdata2" ref="C429:C458">
    <sortCondition ref="C429:C458"/>
  </sortState>
  <mergeCells count="16">
    <mergeCell ref="N10:N13"/>
    <mergeCell ref="O10:O13"/>
    <mergeCell ref="N14:N16"/>
    <mergeCell ref="O14:O16"/>
    <mergeCell ref="I3:I4"/>
    <mergeCell ref="J3:J4"/>
    <mergeCell ref="N3:N4"/>
    <mergeCell ref="O3:O4"/>
    <mergeCell ref="J5:J9"/>
    <mergeCell ref="N5:N9"/>
    <mergeCell ref="O5:O9"/>
    <mergeCell ref="I5:I9"/>
    <mergeCell ref="I10:I13"/>
    <mergeCell ref="J10:J13"/>
    <mergeCell ref="I14:I16"/>
    <mergeCell ref="J14:J16"/>
  </mergeCells>
  <phoneticPr fontId="20" type="noConversion"/>
  <pageMargins left="0.7" right="0.7" top="0.75" bottom="0.75" header="0" footer="0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O999"/>
  <sheetViews>
    <sheetView workbookViewId="0">
      <selection activeCell="E131" sqref="E131"/>
    </sheetView>
  </sheetViews>
  <sheetFormatPr defaultColWidth="14.42578125" defaultRowHeight="15" customHeight="1" x14ac:dyDescent="0.25"/>
  <cols>
    <col min="1" max="1" width="6" style="64" customWidth="1"/>
    <col min="2" max="2" width="13.7109375" style="64" customWidth="1"/>
    <col min="3" max="3" width="8.85546875" style="64" bestFit="1" customWidth="1"/>
    <col min="4" max="4" width="45.42578125" style="64" bestFit="1" customWidth="1"/>
    <col min="5" max="5" width="11.5703125" style="64" customWidth="1"/>
    <col min="6" max="6" width="9.140625" style="64" bestFit="1" customWidth="1"/>
    <col min="7" max="7" width="28.42578125" style="64" customWidth="1"/>
    <col min="8" max="8" width="15.5703125" style="64" customWidth="1"/>
    <col min="9" max="9" width="25.140625" style="64" customWidth="1"/>
    <col min="10" max="10" width="8" style="64" bestFit="1" customWidth="1"/>
    <col min="11" max="12" width="17.5703125" style="64" customWidth="1"/>
    <col min="13" max="13" width="42.140625" style="64" customWidth="1"/>
    <col min="14" max="14" width="40" style="64" bestFit="1" customWidth="1"/>
    <col min="15" max="15" width="13.85546875" style="64" bestFit="1" customWidth="1"/>
    <col min="16" max="28" width="8.7109375" style="64" customWidth="1"/>
    <col min="29" max="16384" width="14.42578125" style="64"/>
  </cols>
  <sheetData>
    <row r="1" spans="1:15" ht="15.75" x14ac:dyDescent="0.25">
      <c r="A1" s="76" t="s">
        <v>52</v>
      </c>
      <c r="B1" s="76" t="s">
        <v>544</v>
      </c>
      <c r="C1" s="76" t="s">
        <v>526</v>
      </c>
      <c r="D1" s="76" t="s">
        <v>527</v>
      </c>
      <c r="E1" s="76" t="s">
        <v>523</v>
      </c>
      <c r="F1" s="77" t="s">
        <v>529</v>
      </c>
      <c r="G1" s="77" t="s">
        <v>545</v>
      </c>
      <c r="H1" s="77" t="s">
        <v>546</v>
      </c>
      <c r="I1" s="77" t="s">
        <v>547</v>
      </c>
      <c r="J1" s="77" t="s">
        <v>548</v>
      </c>
      <c r="K1" s="77" t="s">
        <v>549</v>
      </c>
      <c r="L1" s="77" t="s">
        <v>550</v>
      </c>
      <c r="M1" s="78" t="s">
        <v>551</v>
      </c>
      <c r="N1" s="79" t="s">
        <v>4490</v>
      </c>
      <c r="O1" s="79" t="s">
        <v>4491</v>
      </c>
    </row>
    <row r="2" spans="1:15" x14ac:dyDescent="0.25">
      <c r="A2" s="80" t="s">
        <v>552</v>
      </c>
      <c r="B2" s="11" t="s">
        <v>553</v>
      </c>
      <c r="C2" s="11" t="s">
        <v>4959</v>
      </c>
      <c r="D2" s="11" t="s">
        <v>445</v>
      </c>
      <c r="E2" s="65" t="str">
        <f>VLOOKUP(D2,Total!$C$2:$D$518,2,0)</f>
        <v>11 RPL 1</v>
      </c>
      <c r="F2" s="65" t="str">
        <f>VLOOKUP(C2,Total!$B$2:$F$514,5,0)</f>
        <v>AKTIF</v>
      </c>
      <c r="G2" s="67" t="str">
        <f>VLOOKUP($B2,master!$B$3:$S$600,16,0)</f>
        <v>087839616444</v>
      </c>
      <c r="H2" s="67" t="str">
        <f>VLOOKUP($B2,master!$B$3:$S$600,17,0)</f>
        <v>0</v>
      </c>
      <c r="I2" s="67" t="str">
        <f>VLOOKUP($B2,master!$B$3:$S$600,8,0)</f>
        <v>SEROPAN III</v>
      </c>
      <c r="J2" s="67" t="str">
        <f>VLOOKUP($B2,master!$B$3:$S$600,9,0)</f>
        <v>8</v>
      </c>
      <c r="K2" s="67" t="str">
        <f>VLOOKUP($B2,master!$B$3:$S$600,11,0)</f>
        <v>MUNTUK</v>
      </c>
      <c r="L2" s="67" t="str">
        <f>VLOOKUP($B2,master!$B$3:$S$600,12,0)</f>
        <v>DLINGO</v>
      </c>
      <c r="M2" s="81" t="str">
        <f>VLOOKUP($B2,master!$B$3:$S$600,6,0)</f>
        <v>HARNA</v>
      </c>
      <c r="N2" s="82" t="str">
        <f>VLOOKUP($B2,master!$B$3:$S$600,15,0)</f>
        <v>SMP MUHAMMADIYAH 2 DLINGO</v>
      </c>
      <c r="O2" s="82" t="str">
        <f>VLOOKUP($B2,master!$B$3:$S$600,4,0)</f>
        <v>6-12-2008</v>
      </c>
    </row>
    <row r="3" spans="1:15" x14ac:dyDescent="0.25">
      <c r="A3" s="80" t="s">
        <v>554</v>
      </c>
      <c r="B3" s="11" t="s">
        <v>555</v>
      </c>
      <c r="C3" s="11" t="s">
        <v>4960</v>
      </c>
      <c r="D3" s="11" t="s">
        <v>446</v>
      </c>
      <c r="E3" s="65" t="str">
        <f>VLOOKUP(D3,Total!$C$2:$D$518,2,0)</f>
        <v>11 RPL 1</v>
      </c>
      <c r="F3" s="65" t="str">
        <f>VLOOKUP(C3,Total!$B$2:$F$514,5,0)</f>
        <v>AKTIF</v>
      </c>
      <c r="G3" s="67" t="str">
        <f>VLOOKUP($B3,master!$B$3:$S$600,16,0)</f>
        <v>082135340660</v>
      </c>
      <c r="H3" s="67" t="str">
        <f>VLOOKUP($B3,master!$B$3:$S$600,17,0)</f>
        <v>085229529454</v>
      </c>
      <c r="I3" s="67" t="str">
        <f>VLOOKUP($B3,master!$B$3:$S$600,8,0)</f>
        <v>DAGEN, GUMUK</v>
      </c>
      <c r="J3" s="67" t="str">
        <f>VLOOKUP($B3,master!$B$3:$S$600,9,0)</f>
        <v>04</v>
      </c>
      <c r="K3" s="67" t="str">
        <f>VLOOKUP($B3,master!$B$3:$S$600,11,0)</f>
        <v>RINGINHARJO</v>
      </c>
      <c r="L3" s="67" t="str">
        <f>VLOOKUP($B3,master!$B$3:$S$600,12,0)</f>
        <v>BANTUL</v>
      </c>
      <c r="M3" s="67" t="str">
        <f>VLOOKUP($B3,master!$B$3:$S$600,6,0)</f>
        <v>ALFI ANTORO</v>
      </c>
      <c r="N3" s="82" t="str">
        <f>VLOOKUP($B3,master!$B$3:$S$600,15,0)</f>
        <v>SMP N 1BANTUL</v>
      </c>
      <c r="O3" s="82" t="str">
        <f>VLOOKUP($B3,master!$B$3:$S$600,4,0)</f>
        <v>26-02-2008</v>
      </c>
    </row>
    <row r="4" spans="1:15" x14ac:dyDescent="0.25">
      <c r="A4" s="80" t="s">
        <v>556</v>
      </c>
      <c r="B4" s="34" t="s">
        <v>557</v>
      </c>
      <c r="C4" s="11" t="s">
        <v>4961</v>
      </c>
      <c r="D4" s="34" t="s">
        <v>447</v>
      </c>
      <c r="E4" s="65" t="str">
        <f>VLOOKUP(D4,Total!$C$2:$D$518,2,0)</f>
        <v>11 RPL 1</v>
      </c>
      <c r="F4" s="65" t="str">
        <f>VLOOKUP(C4,Total!$B$2:$F$514,5,0)</f>
        <v>AKTIF</v>
      </c>
      <c r="G4" s="67" t="str">
        <f>VLOOKUP($B4,master!$B$3:$S$600,16,0)</f>
        <v>081393912565</v>
      </c>
      <c r="H4" s="67" t="str">
        <f>VLOOKUP($B4,master!$B$3:$S$600,17,0)</f>
        <v>081393912565</v>
      </c>
      <c r="I4" s="67" t="str">
        <f>VLOOKUP($B4,master!$B$3:$S$600,8,0)</f>
        <v>DUKUH</v>
      </c>
      <c r="J4" s="67" t="str">
        <f>VLOOKUP($B4,master!$B$3:$S$600,9,0)</f>
        <v>2</v>
      </c>
      <c r="K4" s="67" t="str">
        <f>VLOOKUP($B4,master!$B$3:$S$600,11,0)</f>
        <v>GUWOSARI</v>
      </c>
      <c r="L4" s="67" t="str">
        <f>VLOOKUP($B4,master!$B$3:$S$600,12,0)</f>
        <v>PAJANGAN</v>
      </c>
      <c r="M4" s="67" t="str">
        <f>VLOOKUP($B4,master!$B$3:$S$600,6,0)</f>
        <v>ATIN KOMALASARI</v>
      </c>
      <c r="N4" s="82" t="str">
        <f>VLOOKUP($B4,master!$B$3:$S$600,15,0)</f>
        <v>SMP N 3 PANDAK</v>
      </c>
      <c r="O4" s="82" t="str">
        <f>VLOOKUP($B4,master!$B$3:$S$600,4,0)</f>
        <v>27-03-2009</v>
      </c>
    </row>
    <row r="5" spans="1:15" x14ac:dyDescent="0.25">
      <c r="A5" s="80" t="s">
        <v>558</v>
      </c>
      <c r="B5" s="11" t="s">
        <v>559</v>
      </c>
      <c r="C5" s="11" t="s">
        <v>4962</v>
      </c>
      <c r="D5" s="11" t="s">
        <v>448</v>
      </c>
      <c r="E5" s="65" t="str">
        <f>VLOOKUP(D5,Total!$C$2:$D$518,2,0)</f>
        <v>11 RPL 1</v>
      </c>
      <c r="F5" s="65" t="str">
        <f>VLOOKUP(C5,Total!$B$2:$F$514,5,0)</f>
        <v>AKTIF</v>
      </c>
      <c r="G5" s="67" t="str">
        <f>VLOOKUP($B5,master!$B$3:$S$600,16,0)</f>
        <v>082136838721</v>
      </c>
      <c r="H5" s="67" t="str">
        <f>VLOOKUP($B5,master!$B$3:$S$600,17,0)</f>
        <v>081393192003</v>
      </c>
      <c r="I5" s="67" t="str">
        <f>VLOOKUP($B5,master!$B$3:$S$600,8,0)</f>
        <v>PANGKAH</v>
      </c>
      <c r="J5" s="67" t="str">
        <f>VLOOKUP($B5,master!$B$3:$S$600,9,0)</f>
        <v>1</v>
      </c>
      <c r="K5" s="67" t="str">
        <f>VLOOKUP($B5,master!$B$3:$S$600,11,0)</f>
        <v>SUMBERAGUNG</v>
      </c>
      <c r="L5" s="67" t="str">
        <f>VLOOKUP($B5,master!$B$3:$S$600,12,0)</f>
        <v>JETIS</v>
      </c>
      <c r="M5" s="67" t="str">
        <f>VLOOKUP($B5,master!$B$3:$S$600,6,0)</f>
        <v>YULIA WULANDARI</v>
      </c>
      <c r="N5" s="82" t="str">
        <f>VLOOKUP($B5,master!$B$3:$S$600,15,0)</f>
        <v>SMP N 3 JETIS</v>
      </c>
      <c r="O5" s="82" t="str">
        <f>VLOOKUP($B5,master!$B$3:$S$600,4,0)</f>
        <v>27-10-2007</v>
      </c>
    </row>
    <row r="6" spans="1:15" x14ac:dyDescent="0.25">
      <c r="A6" s="80" t="s">
        <v>560</v>
      </c>
      <c r="B6" s="11" t="s">
        <v>561</v>
      </c>
      <c r="C6" s="11" t="s">
        <v>4963</v>
      </c>
      <c r="D6" s="11" t="s">
        <v>449</v>
      </c>
      <c r="E6" s="65" t="str">
        <f>VLOOKUP(D6,Total!$C$2:$D$518,2,0)</f>
        <v>11 RPL 1</v>
      </c>
      <c r="F6" s="65" t="str">
        <f>VLOOKUP(C6,Total!$B$2:$F$514,5,0)</f>
        <v>AKTIF</v>
      </c>
      <c r="G6" s="67" t="str">
        <f>VLOOKUP($B6,master!$B$3:$S$600,16,0)</f>
        <v>08812469482</v>
      </c>
      <c r="H6" s="67" t="str">
        <f>VLOOKUP($B6,master!$B$3:$S$600,17,0)</f>
        <v>0</v>
      </c>
      <c r="I6" s="67" t="str">
        <f>VLOOKUP($B6,master!$B$3:$S$600,8,0)</f>
        <v>JOPAITAN</v>
      </c>
      <c r="J6" s="67" t="str">
        <f>VLOOKUP($B6,master!$B$3:$S$600,9,0)</f>
        <v>2</v>
      </c>
      <c r="K6" s="67" t="str">
        <f>VLOOKUP($B6,master!$B$3:$S$600,11,0)</f>
        <v>SERUT</v>
      </c>
      <c r="L6" s="67" t="str">
        <f>VLOOKUP($B6,master!$B$3:$S$600,12,0)</f>
        <v>PALBAPANG</v>
      </c>
      <c r="M6" s="67" t="str">
        <f>VLOOKUP($B6,master!$B$3:$S$600,6,0)</f>
        <v>ENDANG WINARTI</v>
      </c>
      <c r="N6" s="82" t="str">
        <f>VLOOKUP($B6,master!$B$3:$S$600,15,0)</f>
        <v>SMP MUHAMMADIYAH 2 BAMBANGLIPURO</v>
      </c>
      <c r="O6" s="82" t="str">
        <f>VLOOKUP($B6,master!$B$3:$S$600,4,0)</f>
        <v>19-02-2009</v>
      </c>
    </row>
    <row r="7" spans="1:15" x14ac:dyDescent="0.25">
      <c r="A7" s="80" t="s">
        <v>562</v>
      </c>
      <c r="B7" s="34" t="s">
        <v>563</v>
      </c>
      <c r="C7" s="11" t="s">
        <v>4964</v>
      </c>
      <c r="D7" s="34" t="s">
        <v>450</v>
      </c>
      <c r="E7" s="65" t="str">
        <f>VLOOKUP(D7,Total!$C$2:$D$518,2,0)</f>
        <v>11 RPL 1</v>
      </c>
      <c r="F7" s="65" t="str">
        <f>VLOOKUP(C7,Total!$B$2:$F$514,5,0)</f>
        <v>AKTIF</v>
      </c>
      <c r="G7" s="67" t="str">
        <f>VLOOKUP($B7,master!$B$3:$S$600,16,0)</f>
        <v>087738471187</v>
      </c>
      <c r="H7" s="67" t="str">
        <f>VLOOKUP($B7,master!$B$3:$S$600,17,0)</f>
        <v>085952895831</v>
      </c>
      <c r="I7" s="67" t="str">
        <f>VLOOKUP($B7,master!$B$3:$S$600,8,0)</f>
        <v>Sulang Lor</v>
      </c>
      <c r="J7" s="67" t="str">
        <f>VLOOKUP($B7,master!$B$3:$S$600,9,0)</f>
        <v>54</v>
      </c>
      <c r="K7" s="67" t="str">
        <f>VLOOKUP($B7,master!$B$3:$S$600,11,0)</f>
        <v>PATALAN</v>
      </c>
      <c r="L7" s="67" t="str">
        <f>VLOOKUP($B7,master!$B$3:$S$600,12,0)</f>
        <v>JETIS</v>
      </c>
      <c r="M7" s="67" t="str">
        <f>VLOOKUP($B7,master!$B$3:$S$600,6,0)</f>
        <v>Saifuddin</v>
      </c>
      <c r="N7" s="82" t="str">
        <f>VLOOKUP($B7,master!$B$3:$S$600,15,0)</f>
        <v>SMP N 3 JETIS</v>
      </c>
      <c r="O7" s="82" t="str">
        <f>VLOOKUP($B7,master!$B$3:$S$600,4,0)</f>
        <v>23-03-2009</v>
      </c>
    </row>
    <row r="8" spans="1:15" x14ac:dyDescent="0.25">
      <c r="A8" s="80" t="s">
        <v>564</v>
      </c>
      <c r="B8" s="11" t="s">
        <v>565</v>
      </c>
      <c r="C8" s="11" t="s">
        <v>4965</v>
      </c>
      <c r="D8" s="11" t="s">
        <v>451</v>
      </c>
      <c r="E8" s="65" t="str">
        <f>VLOOKUP(D8,Total!$C$2:$D$518,2,0)</f>
        <v>11 RPL 1</v>
      </c>
      <c r="F8" s="65" t="str">
        <f>VLOOKUP(C8,Total!$B$2:$F$514,5,0)</f>
        <v>AKTIF</v>
      </c>
      <c r="G8" s="67" t="str">
        <f>VLOOKUP($B8,master!$B$3:$S$600,16,0)</f>
        <v>0882008169635</v>
      </c>
      <c r="H8" s="67" t="str">
        <f>VLOOKUP($B8,master!$B$3:$S$600,17,0)</f>
        <v>0882008169635</v>
      </c>
      <c r="I8" s="67" t="str">
        <f>VLOOKUP($B8,master!$B$3:$S$600,8,0)</f>
        <v>GUNTURAN</v>
      </c>
      <c r="J8" s="67" t="str">
        <f>VLOOKUP($B8,master!$B$3:$S$600,9,0)</f>
        <v>07</v>
      </c>
      <c r="K8" s="67" t="str">
        <f>VLOOKUP($B8,master!$B$3:$S$600,11,0)</f>
        <v>TRIHARJO</v>
      </c>
      <c r="L8" s="67" t="str">
        <f>VLOOKUP($B8,master!$B$3:$S$600,12,0)</f>
        <v>PANDAK</v>
      </c>
      <c r="M8" s="67" t="str">
        <f>VLOOKUP($B8,master!$B$3:$S$600,6,0)</f>
        <v>Sarjito</v>
      </c>
      <c r="N8" s="82" t="str">
        <f>VLOOKUP($B8,master!$B$3:$S$600,15,0)</f>
        <v>SMP N 2 PANDAK</v>
      </c>
      <c r="O8" s="82" t="str">
        <f>VLOOKUP($B8,master!$B$3:$S$600,4,0)</f>
        <v>22-02-2009</v>
      </c>
    </row>
    <row r="9" spans="1:15" x14ac:dyDescent="0.25">
      <c r="A9" s="80" t="s">
        <v>566</v>
      </c>
      <c r="B9" s="107" t="s">
        <v>5085</v>
      </c>
      <c r="C9" s="11" t="s">
        <v>5099</v>
      </c>
      <c r="D9" s="107" t="s">
        <v>5086</v>
      </c>
      <c r="E9" s="117" t="str">
        <f>VLOOKUP(D9,Total!$C$2:$D$518,2,0)</f>
        <v>11 RPL 1</v>
      </c>
      <c r="F9" s="65" t="str">
        <f>VLOOKUP(C9,Total!$B$2:$F$514,5,0)</f>
        <v>KELUAR</v>
      </c>
      <c r="G9" s="67" t="str">
        <f>VLOOKUP($B9,master!$B$3:$S$600,16,0)</f>
        <v>085867413730</v>
      </c>
      <c r="H9" s="67" t="str">
        <f>VLOOKUP($B9,master!$B$3:$S$600,17,0)</f>
        <v>082221364609</v>
      </c>
      <c r="I9" s="67" t="str">
        <f>VLOOKUP($B9,master!$B$3:$S$600,8,0)</f>
        <v>SIRAT</v>
      </c>
      <c r="J9" s="67" t="str">
        <f>VLOOKUP($B9,master!$B$3:$S$600,9,0)</f>
        <v>4</v>
      </c>
      <c r="K9" s="67" t="str">
        <f>VLOOKUP($B9,master!$B$3:$S$600,11,0)</f>
        <v>SIDOMULYO</v>
      </c>
      <c r="L9" s="67" t="str">
        <f>VLOOKUP($B9,master!$B$3:$S$600,12,0)</f>
        <v>BAMBANGLIPURO</v>
      </c>
      <c r="M9" s="67" t="str">
        <f>VLOOKUP($B9,master!$B$3:$S$600,6,0)</f>
        <v>SUPRIHATIN</v>
      </c>
      <c r="N9" s="82" t="str">
        <f>VLOOKUP($B9,master!$B$3:$S$600,15,0)</f>
        <v>SMP N 1 BAMBANGLIPURO</v>
      </c>
      <c r="O9" s="82" t="str">
        <f>VLOOKUP($B9,master!$B$3:$S$600,4,0)</f>
        <v>7-11-2007</v>
      </c>
    </row>
    <row r="10" spans="1:15" x14ac:dyDescent="0.25">
      <c r="A10" s="80" t="s">
        <v>568</v>
      </c>
      <c r="B10" s="34" t="s">
        <v>567</v>
      </c>
      <c r="C10" s="11" t="s">
        <v>4966</v>
      </c>
      <c r="D10" s="34" t="s">
        <v>452</v>
      </c>
      <c r="E10" s="65" t="str">
        <f>VLOOKUP(D10,Total!$C$2:$D$518,2,0)</f>
        <v>11 RPL 1</v>
      </c>
      <c r="F10" s="65" t="str">
        <f>VLOOKUP(C10,Total!$B$2:$F$514,5,0)</f>
        <v>AKTIF</v>
      </c>
      <c r="G10" s="67" t="str">
        <f>VLOOKUP($B10,master!$B$3:$S$600,16,0)</f>
        <v>081228148917</v>
      </c>
      <c r="H10" s="67" t="str">
        <f>VLOOKUP($B10,master!$B$3:$S$600,17,0)</f>
        <v>085602727695</v>
      </c>
      <c r="I10" s="67" t="str">
        <f>VLOOKUP($B10,master!$B$3:$S$600,8,0)</f>
        <v>BAYURAN</v>
      </c>
      <c r="J10" s="67" t="str">
        <f>VLOOKUP($B10,master!$B$3:$S$600,9,0)</f>
        <v>4</v>
      </c>
      <c r="K10" s="67" t="str">
        <f>VLOOKUP($B10,master!$B$3:$S$600,11,0)</f>
        <v>SUMBERAGUNG</v>
      </c>
      <c r="L10" s="67" t="str">
        <f>VLOOKUP($B10,master!$B$3:$S$600,12,0)</f>
        <v>JETIS</v>
      </c>
      <c r="M10" s="67" t="str">
        <f>VLOOKUP($B10,master!$B$3:$S$600,6,0)</f>
        <v>MURGIYANTI</v>
      </c>
      <c r="N10" s="82" t="str">
        <f>VLOOKUP($B10,master!$B$3:$S$600,15,0)</f>
        <v>SMP N 3 JETIS</v>
      </c>
      <c r="O10" s="82" t="str">
        <f>VLOOKUP($B10,master!$B$3:$S$600,4,0)</f>
        <v>15-06-2008</v>
      </c>
    </row>
    <row r="11" spans="1:15" x14ac:dyDescent="0.25">
      <c r="A11" s="80" t="s">
        <v>570</v>
      </c>
      <c r="B11" s="34" t="s">
        <v>569</v>
      </c>
      <c r="C11" s="11" t="s">
        <v>4967</v>
      </c>
      <c r="D11" s="34" t="s">
        <v>453</v>
      </c>
      <c r="E11" s="65" t="str">
        <f>VLOOKUP(D11,Total!$C$2:$D$518,2,0)</f>
        <v>11 RPL 1</v>
      </c>
      <c r="F11" s="65" t="str">
        <f>VLOOKUP(C11,Total!$B$2:$F$514,5,0)</f>
        <v>AKTIF</v>
      </c>
      <c r="G11" s="67" t="str">
        <f>VLOOKUP($B11,master!$B$3:$S$600,16,0)</f>
        <v>0895421188596</v>
      </c>
      <c r="H11" s="67" t="str">
        <f>VLOOKUP($B11,master!$B$3:$S$600,17,0)</f>
        <v>089506473141</v>
      </c>
      <c r="I11" s="67" t="str">
        <f>VLOOKUP($B11,master!$B$3:$S$600,8,0)</f>
        <v>TRAYEMAN</v>
      </c>
      <c r="J11" s="67" t="str">
        <f>VLOOKUP($B11,master!$B$3:$S$600,9,0)</f>
        <v>01</v>
      </c>
      <c r="K11" s="67" t="str">
        <f>VLOOKUP($B11,master!$B$3:$S$600,11,0)</f>
        <v>PLERET</v>
      </c>
      <c r="L11" s="67" t="str">
        <f>VLOOKUP($B11,master!$B$3:$S$600,12,0)</f>
        <v>PLERET</v>
      </c>
      <c r="M11" s="67" t="str">
        <f>VLOOKUP($B11,master!$B$3:$S$600,6,0)</f>
        <v>siti nariyah</v>
      </c>
      <c r="N11" s="82" t="str">
        <f>VLOOKUP($B11,master!$B$3:$S$600,15,0)</f>
        <v>SMP N 2 PLERET</v>
      </c>
      <c r="O11" s="82" t="str">
        <f>VLOOKUP($B11,master!$B$3:$S$600,4,0)</f>
        <v>16-06-2008</v>
      </c>
    </row>
    <row r="12" spans="1:15" x14ac:dyDescent="0.25">
      <c r="A12" s="80" t="s">
        <v>572</v>
      </c>
      <c r="B12" s="11" t="s">
        <v>571</v>
      </c>
      <c r="C12" s="11" t="s">
        <v>4968</v>
      </c>
      <c r="D12" s="11" t="s">
        <v>454</v>
      </c>
      <c r="E12" s="65" t="str">
        <f>VLOOKUP(D12,Total!$C$2:$D$518,2,0)</f>
        <v>11 RPL 1</v>
      </c>
      <c r="F12" s="65" t="str">
        <f>VLOOKUP(C12,Total!$B$2:$F$514,5,0)</f>
        <v>AKTIF</v>
      </c>
      <c r="G12" s="67" t="str">
        <f>VLOOKUP($B12,master!$B$3:$S$600,16,0)</f>
        <v>0882005916840</v>
      </c>
      <c r="H12" s="67" t="str">
        <f>VLOOKUP($B12,master!$B$3:$S$600,17,0)</f>
        <v>0895343008284</v>
      </c>
      <c r="I12" s="67" t="str">
        <f>VLOOKUP($B12,master!$B$3:$S$600,8,0)</f>
        <v>SENGGOTAN DK. DONGKE</v>
      </c>
      <c r="J12" s="67" t="str">
        <f>VLOOKUP($B12,master!$B$3:$S$600,9,0)</f>
        <v>009</v>
      </c>
      <c r="K12" s="67" t="str">
        <f>VLOOKUP($B12,master!$B$3:$S$600,11,0)</f>
        <v>TIRTONIRMOLO</v>
      </c>
      <c r="L12" s="67" t="str">
        <f>VLOOKUP($B12,master!$B$3:$S$600,12,0)</f>
        <v>KASIHAN</v>
      </c>
      <c r="M12" s="67" t="str">
        <f>VLOOKUP($B12,master!$B$3:$S$600,6,0)</f>
        <v>SUHARNO</v>
      </c>
      <c r="N12" s="82" t="str">
        <f>VLOOKUP($B12,master!$B$3:$S$600,15,0)</f>
        <v>SMP MUHAMMADIYAH KASIHAN</v>
      </c>
      <c r="O12" s="82" t="str">
        <f>VLOOKUP($B12,master!$B$3:$S$600,4,0)</f>
        <v>8-08-2008</v>
      </c>
    </row>
    <row r="13" spans="1:15" x14ac:dyDescent="0.25">
      <c r="A13" s="80" t="s">
        <v>574</v>
      </c>
      <c r="B13" s="11" t="s">
        <v>573</v>
      </c>
      <c r="C13" s="11" t="s">
        <v>4969</v>
      </c>
      <c r="D13" s="11" t="s">
        <v>455</v>
      </c>
      <c r="E13" s="65" t="str">
        <f>VLOOKUP(D13,Total!$C$2:$D$518,2,0)</f>
        <v>11 RPL 1</v>
      </c>
      <c r="F13" s="65" t="str">
        <f>VLOOKUP(C13,Total!$B$2:$F$514,5,0)</f>
        <v>AKTIF</v>
      </c>
      <c r="G13" s="67" t="str">
        <f>VLOOKUP($B13,master!$B$3:$S$600,16,0)</f>
        <v>085158898920</v>
      </c>
      <c r="H13" s="67" t="str">
        <f>VLOOKUP($B13,master!$B$3:$S$600,17,0)</f>
        <v>081228682344</v>
      </c>
      <c r="I13" s="67" t="str">
        <f>VLOOKUP($B13,master!$B$3:$S$600,8,0)</f>
        <v>BEMBEM</v>
      </c>
      <c r="J13" s="67" t="str">
        <f>VLOOKUP($B13,master!$B$3:$S$600,9,0)</f>
        <v>8</v>
      </c>
      <c r="K13" s="67" t="str">
        <f>VLOOKUP($B13,master!$B$3:$S$600,11,0)</f>
        <v>TRIMULYO</v>
      </c>
      <c r="L13" s="67" t="str">
        <f>VLOOKUP($B13,master!$B$3:$S$600,12,0)</f>
        <v>JETIS</v>
      </c>
      <c r="M13" s="67" t="str">
        <f>VLOOKUP($B13,master!$B$3:$S$600,6,0)</f>
        <v>RUSDA FAUZAN</v>
      </c>
      <c r="N13" s="82" t="str">
        <f>VLOOKUP($B13,master!$B$3:$S$600,15,0)</f>
        <v>SMP N 1 JETIS</v>
      </c>
      <c r="O13" s="82" t="str">
        <f>VLOOKUP($B13,master!$B$3:$S$600,4,0)</f>
        <v>27-09-2008</v>
      </c>
    </row>
    <row r="14" spans="1:15" x14ac:dyDescent="0.25">
      <c r="A14" s="80" t="s">
        <v>576</v>
      </c>
      <c r="B14" s="34" t="s">
        <v>575</v>
      </c>
      <c r="C14" s="11" t="s">
        <v>4970</v>
      </c>
      <c r="D14" s="34" t="s">
        <v>456</v>
      </c>
      <c r="E14" s="65" t="str">
        <f>VLOOKUP(D14,Total!$C$2:$D$518,2,0)</f>
        <v>11 RPL 1</v>
      </c>
      <c r="F14" s="65" t="str">
        <f>VLOOKUP(C14,Total!$B$2:$F$514,5,0)</f>
        <v>AKTIF</v>
      </c>
      <c r="G14" s="67" t="str">
        <f>VLOOKUP($B14,master!$B$3:$S$600,16,0)</f>
        <v>083113132506</v>
      </c>
      <c r="H14" s="67" t="str">
        <f>VLOOKUP($B14,master!$B$3:$S$600,17,0)</f>
        <v>083187460212</v>
      </c>
      <c r="I14" s="67" t="str">
        <f>VLOOKUP($B14,master!$B$3:$S$600,8,0)</f>
        <v>PADOKAN KIDUL</v>
      </c>
      <c r="J14" s="67" t="str">
        <f>VLOOKUP($B14,master!$B$3:$S$600,9,0)</f>
        <v>008</v>
      </c>
      <c r="K14" s="67" t="str">
        <f>VLOOKUP($B14,master!$B$3:$S$600,11,0)</f>
        <v>TIRTONORMOLO</v>
      </c>
      <c r="L14" s="67" t="str">
        <f>VLOOKUP($B14,master!$B$3:$S$600,12,0)</f>
        <v>KASIHAN</v>
      </c>
      <c r="M14" s="67" t="str">
        <f>VLOOKUP($B14,master!$B$3:$S$600,6,0)</f>
        <v>SRI NURYANI</v>
      </c>
      <c r="N14" s="82" t="str">
        <f>VLOOKUP($B14,master!$B$3:$S$600,15,0)</f>
        <v>SMP MUHAMMADIYAH SEWON</v>
      </c>
      <c r="O14" s="82" t="str">
        <f>VLOOKUP($B14,master!$B$3:$S$600,4,0)</f>
        <v>9-07-2008</v>
      </c>
    </row>
    <row r="15" spans="1:15" x14ac:dyDescent="0.25">
      <c r="A15" s="80" t="s">
        <v>578</v>
      </c>
      <c r="B15" s="89" t="s">
        <v>4530</v>
      </c>
      <c r="C15" s="11" t="s">
        <v>4971</v>
      </c>
      <c r="D15" s="89" t="s">
        <v>4531</v>
      </c>
      <c r="E15" s="65" t="str">
        <f>VLOOKUP(D15,Total!$C$2:$D$518,2,0)</f>
        <v>11 RPL 1</v>
      </c>
      <c r="F15" s="65" t="str">
        <f>VLOOKUP(C15,Total!$B$2:$F$514,5,0)</f>
        <v>AKTIF</v>
      </c>
      <c r="G15" s="67" t="str">
        <f>VLOOKUP($B15,master!$B$3:$S$600,16,0)</f>
        <v>08895299150</v>
      </c>
      <c r="H15" s="67" t="str">
        <f>VLOOKUP($B15,master!$B$3:$S$600,17,0)</f>
        <v>088216597550</v>
      </c>
      <c r="I15" s="67" t="str">
        <f>VLOOKUP($B15,master!$B$3:$S$600,8,0)</f>
        <v>KALIPUCANG</v>
      </c>
      <c r="J15" s="67" t="str">
        <f>VLOOKUP($B15,master!$B$3:$S$600,9,0)</f>
        <v>4</v>
      </c>
      <c r="K15" s="67" t="str">
        <f>VLOOKUP($B15,master!$B$3:$S$600,11,0)</f>
        <v>BANGUNJIWO</v>
      </c>
      <c r="L15" s="67" t="str">
        <f>VLOOKUP($B15,master!$B$3:$S$600,12,0)</f>
        <v>KASIHAN</v>
      </c>
      <c r="M15" s="67" t="str">
        <f>VLOOKUP($B15,master!$B$3:$S$600,6,0)</f>
        <v>WARIMAN</v>
      </c>
      <c r="N15" s="82" t="str">
        <f>VLOOKUP($B15,master!$B$3:$S$600,15,0)</f>
        <v>SMP MUHAMMADIYAH KASIHAN</v>
      </c>
      <c r="O15" s="82" t="str">
        <f>VLOOKUP($B15,master!$B$3:$S$600,4,0)</f>
        <v>26-06-2008</v>
      </c>
    </row>
    <row r="16" spans="1:15" x14ac:dyDescent="0.25">
      <c r="A16" s="80" t="s">
        <v>580</v>
      </c>
      <c r="B16" s="11" t="s">
        <v>577</v>
      </c>
      <c r="C16" s="11" t="s">
        <v>4972</v>
      </c>
      <c r="D16" s="11" t="s">
        <v>457</v>
      </c>
      <c r="E16" s="65" t="str">
        <f>VLOOKUP(D16,Total!$C$2:$D$518,2,0)</f>
        <v>11 RPL 1</v>
      </c>
      <c r="F16" s="65" t="str">
        <f>VLOOKUP(C16,Total!$B$2:$F$514,5,0)</f>
        <v>AKTIF</v>
      </c>
      <c r="G16" s="67" t="str">
        <f>VLOOKUP($B16,master!$B$3:$S$600,16,0)</f>
        <v>085728048102</v>
      </c>
      <c r="H16" s="67" t="str">
        <f>VLOOKUP($B16,master!$B$3:$S$600,17,0)</f>
        <v>089620874274</v>
      </c>
      <c r="I16" s="67" t="str">
        <f>VLOOKUP($B16,master!$B$3:$S$600,8,0)</f>
        <v>KAJEN</v>
      </c>
      <c r="J16" s="67" t="str">
        <f>VLOOKUP($B16,master!$B$3:$S$600,9,0)</f>
        <v>1</v>
      </c>
      <c r="K16" s="67" t="str">
        <f>VLOOKUP($B16,master!$B$3:$S$600,11,0)</f>
        <v>BANGUNJIWO</v>
      </c>
      <c r="L16" s="67" t="str">
        <f>VLOOKUP($B16,master!$B$3:$S$600,12,0)</f>
        <v>KASIHAN</v>
      </c>
      <c r="M16" s="67" t="str">
        <f>VLOOKUP($B16,master!$B$3:$S$600,6,0)</f>
        <v>SURAJI</v>
      </c>
      <c r="N16" s="82" t="str">
        <f>VLOOKUP($B16,master!$B$3:$S$600,15,0)</f>
        <v>SMP MUHAMMADIYAH SEWON</v>
      </c>
      <c r="O16" s="82" t="str">
        <f>VLOOKUP($B16,master!$B$3:$S$600,4,0)</f>
        <v>19-01-2009</v>
      </c>
    </row>
    <row r="17" spans="1:15" x14ac:dyDescent="0.25">
      <c r="A17" s="80" t="s">
        <v>582</v>
      </c>
      <c r="B17" s="34" t="s">
        <v>579</v>
      </c>
      <c r="C17" s="11" t="s">
        <v>4973</v>
      </c>
      <c r="D17" s="34" t="s">
        <v>458</v>
      </c>
      <c r="E17" s="65" t="str">
        <f>VLOOKUP(D17,Total!$C$2:$D$518,2,0)</f>
        <v>11 RPL 1</v>
      </c>
      <c r="F17" s="65" t="str">
        <f>VLOOKUP(C17,Total!$B$2:$F$514,5,0)</f>
        <v>AKTIF</v>
      </c>
      <c r="G17" s="67" t="str">
        <f>VLOOKUP($B17,master!$B$3:$S$600,16,0)</f>
        <v>0895710077711</v>
      </c>
      <c r="H17" s="67" t="str">
        <f>VLOOKUP($B17,master!$B$3:$S$600,17,0)</f>
        <v>08170428657</v>
      </c>
      <c r="I17" s="67" t="str">
        <f>VLOOKUP($B17,master!$B$3:$S$600,8,0)</f>
        <v>KEPUH WETAN</v>
      </c>
      <c r="J17" s="67" t="str">
        <f>VLOOKUP($B17,master!$B$3:$S$600,9,0)</f>
        <v>1</v>
      </c>
      <c r="K17" s="67" t="str">
        <f>VLOOKUP($B17,master!$B$3:$S$600,11,0)</f>
        <v>WIROKERTEN</v>
      </c>
      <c r="L17" s="67" t="str">
        <f>VLOOKUP($B17,master!$B$3:$S$600,12,0)</f>
        <v>BANGUNTAPAN</v>
      </c>
      <c r="M17" s="67" t="str">
        <f>VLOOKUP($B17,master!$B$3:$S$600,6,0)</f>
        <v>KATIMAN</v>
      </c>
      <c r="N17" s="82" t="str">
        <f>VLOOKUP($B17,master!$B$3:$S$600,15,0)</f>
        <v>SMP 1 VETERAN BANTUL</v>
      </c>
      <c r="O17" s="82" t="str">
        <f>VLOOKUP($B17,master!$B$3:$S$600,4,0)</f>
        <v>13-10-2008</v>
      </c>
    </row>
    <row r="18" spans="1:15" x14ac:dyDescent="0.25">
      <c r="A18" s="80" t="s">
        <v>584</v>
      </c>
      <c r="B18" s="34" t="s">
        <v>581</v>
      </c>
      <c r="C18" s="11" t="s">
        <v>4974</v>
      </c>
      <c r="D18" s="34" t="s">
        <v>459</v>
      </c>
      <c r="E18" s="65" t="str">
        <f>VLOOKUP(D18,Total!$C$2:$D$518,2,0)</f>
        <v>11 RPL 1</v>
      </c>
      <c r="F18" s="65" t="str">
        <f>VLOOKUP(C18,Total!$B$2:$F$514,5,0)</f>
        <v>AKTIF</v>
      </c>
      <c r="G18" s="67" t="str">
        <f>VLOOKUP($B18,master!$B$3:$S$600,16,0)</f>
        <v>-</v>
      </c>
      <c r="H18" s="67" t="str">
        <f>VLOOKUP($B18,master!$B$3:$S$600,17,0)</f>
        <v>081575913831</v>
      </c>
      <c r="I18" s="67" t="str">
        <f>VLOOKUP($B18,master!$B$3:$S$600,8,0)</f>
        <v>BLALI</v>
      </c>
      <c r="J18" s="67" t="str">
        <f>VLOOKUP($B18,master!$B$3:$S$600,9,0)</f>
        <v>2</v>
      </c>
      <c r="K18" s="67" t="str">
        <f>VLOOKUP($B18,master!$B$3:$S$600,11,0)</f>
        <v>SELOHARJO</v>
      </c>
      <c r="L18" s="67" t="str">
        <f>VLOOKUP($B18,master!$B$3:$S$600,12,0)</f>
        <v>PUNDONG</v>
      </c>
      <c r="M18" s="67" t="str">
        <f>VLOOKUP($B18,master!$B$3:$S$600,6,0)</f>
        <v>DAWAM</v>
      </c>
      <c r="N18" s="82" t="str">
        <f>VLOOKUP($B18,master!$B$3:$S$600,15,0)</f>
        <v>SMP MUHAMMADIYAH 1 PUNDONG</v>
      </c>
      <c r="O18" s="82" t="str">
        <f>VLOOKUP($B18,master!$B$3:$S$600,4,0)</f>
        <v>23-08-2009</v>
      </c>
    </row>
    <row r="19" spans="1:15" x14ac:dyDescent="0.25">
      <c r="A19" s="80" t="s">
        <v>586</v>
      </c>
      <c r="B19" s="11" t="s">
        <v>583</v>
      </c>
      <c r="C19" s="11" t="s">
        <v>4975</v>
      </c>
      <c r="D19" s="11" t="s">
        <v>460</v>
      </c>
      <c r="E19" s="65" t="str">
        <f>VLOOKUP(D19,Total!$C$2:$D$518,2,0)</f>
        <v>11 RPL 1</v>
      </c>
      <c r="F19" s="65" t="str">
        <f>VLOOKUP(C19,Total!$B$2:$F$514,5,0)</f>
        <v>AKTIF</v>
      </c>
      <c r="G19" s="67" t="str">
        <f>VLOOKUP($B19,master!$B$3:$S$600,16,0)</f>
        <v>081327571950</v>
      </c>
      <c r="H19" s="67" t="str">
        <f>VLOOKUP($B19,master!$B$3:$S$600,17,0)</f>
        <v>089519417947</v>
      </c>
      <c r="I19" s="67" t="str">
        <f>VLOOKUP($B19,master!$B$3:$S$600,8,0)</f>
        <v>TEGAL BELAN</v>
      </c>
      <c r="J19" s="67" t="str">
        <f>VLOOKUP($B19,master!$B$3:$S$600,9,0)</f>
        <v>01</v>
      </c>
      <c r="K19" s="67" t="str">
        <f>VLOOKUP($B19,master!$B$3:$S$600,11,0)</f>
        <v>SIDOMULYO</v>
      </c>
      <c r="L19" s="67" t="str">
        <f>VLOOKUP($B19,master!$B$3:$S$600,12,0)</f>
        <v>BAMBANGLIPURO</v>
      </c>
      <c r="M19" s="67" t="str">
        <f>VLOOKUP($B19,master!$B$3:$S$600,6,0)</f>
        <v>IKA HANDAYANI W</v>
      </c>
      <c r="N19" s="82" t="str">
        <f>VLOOKUP($B19,master!$B$3:$S$600,15,0)</f>
        <v>SMP N 2 BAMBANGLIPURO</v>
      </c>
      <c r="O19" s="82" t="str">
        <f>VLOOKUP($B19,master!$B$3:$S$600,4,0)</f>
        <v>16-03-2009</v>
      </c>
    </row>
    <row r="20" spans="1:15" x14ac:dyDescent="0.25">
      <c r="A20" s="80" t="s">
        <v>588</v>
      </c>
      <c r="B20" s="11" t="s">
        <v>585</v>
      </c>
      <c r="C20" s="11" t="s">
        <v>4976</v>
      </c>
      <c r="D20" s="11" t="s">
        <v>461</v>
      </c>
      <c r="E20" s="65" t="str">
        <f>VLOOKUP(D20,Total!$C$2:$D$518,2,0)</f>
        <v>11 RPL 1</v>
      </c>
      <c r="F20" s="65" t="str">
        <f>VLOOKUP(C20,Total!$B$2:$F$514,5,0)</f>
        <v>AKTIF</v>
      </c>
      <c r="G20" s="67" t="str">
        <f>VLOOKUP($B20,master!$B$3:$S$600,16,0)</f>
        <v>0</v>
      </c>
      <c r="H20" s="67" t="str">
        <f>VLOOKUP($B20,master!$B$3:$S$600,17,0)</f>
        <v>0</v>
      </c>
      <c r="I20" s="67" t="str">
        <f>VLOOKUP($B20,master!$B$3:$S$600,8,0)</f>
        <v>MASAHAN</v>
      </c>
      <c r="J20" s="67" t="str">
        <f>VLOOKUP($B20,master!$B$3:$S$600,9,0)</f>
        <v>3</v>
      </c>
      <c r="K20" s="67" t="str">
        <f>VLOOKUP($B20,master!$B$3:$S$600,11,0)</f>
        <v>TRIRENGGO</v>
      </c>
      <c r="L20" s="67" t="str">
        <f>VLOOKUP($B20,master!$B$3:$S$600,12,0)</f>
        <v>BANTUL</v>
      </c>
      <c r="M20" s="67" t="str">
        <f>VLOOKUP($B20,master!$B$3:$S$600,6,0)</f>
        <v>BARINI</v>
      </c>
      <c r="N20" s="82" t="str">
        <f>VLOOKUP($B20,master!$B$3:$S$600,15,0)</f>
        <v>SMP MUHAMMADIYAH BANTUL</v>
      </c>
      <c r="O20" s="82" t="str">
        <f>VLOOKUP($B20,master!$B$3:$S$600,4,0)</f>
        <v>28-10-2008</v>
      </c>
    </row>
    <row r="21" spans="1:15" ht="15.75" customHeight="1" x14ac:dyDescent="0.25">
      <c r="A21" s="80" t="s">
        <v>590</v>
      </c>
      <c r="B21" s="11" t="s">
        <v>587</v>
      </c>
      <c r="C21" s="11" t="s">
        <v>4977</v>
      </c>
      <c r="D21" s="11" t="s">
        <v>462</v>
      </c>
      <c r="E21" s="65" t="str">
        <f>VLOOKUP(D21,Total!$C$2:$D$518,2,0)</f>
        <v>11 RPL 1</v>
      </c>
      <c r="F21" s="65" t="str">
        <f>VLOOKUP(C21,Total!$B$2:$F$514,5,0)</f>
        <v>AKTIF</v>
      </c>
      <c r="G21" s="67" t="str">
        <f>VLOOKUP($B21,master!$B$3:$S$600,16,0)</f>
        <v>085225806069</v>
      </c>
      <c r="H21" s="67" t="str">
        <f>VLOOKUP($B21,master!$B$3:$S$600,17,0)</f>
        <v>0895424319494</v>
      </c>
      <c r="I21" s="67" t="str">
        <f>VLOOKUP($B21,master!$B$3:$S$600,8,0)</f>
        <v>KENTOLAN LOR</v>
      </c>
      <c r="J21" s="67" t="str">
        <f>VLOOKUP($B21,master!$B$3:$S$600,9,0)</f>
        <v>06</v>
      </c>
      <c r="K21" s="67" t="str">
        <f>VLOOKUP($B21,master!$B$3:$S$600,11,0)</f>
        <v>GUWOSARI</v>
      </c>
      <c r="L21" s="67" t="str">
        <f>VLOOKUP($B21,master!$B$3:$S$600,12,0)</f>
        <v>PAJANGAN</v>
      </c>
      <c r="M21" s="67" t="str">
        <f>VLOOKUP($B21,master!$B$3:$S$600,6,0)</f>
        <v>MUHAMMAD UMAR SAHID</v>
      </c>
      <c r="N21" s="82" t="str">
        <f>VLOOKUP($B21,master!$B$3:$S$600,15,0)</f>
        <v>SMP N 3 PAJANGAN</v>
      </c>
      <c r="O21" s="82" t="str">
        <f>VLOOKUP($B21,master!$B$3:$S$600,4,0)</f>
        <v>1-07-2009</v>
      </c>
    </row>
    <row r="22" spans="1:15" ht="15.75" customHeight="1" x14ac:dyDescent="0.25">
      <c r="A22" s="80" t="s">
        <v>592</v>
      </c>
      <c r="B22" s="11" t="s">
        <v>589</v>
      </c>
      <c r="C22" s="11" t="s">
        <v>4978</v>
      </c>
      <c r="D22" s="11" t="s">
        <v>463</v>
      </c>
      <c r="E22" s="65" t="str">
        <f>VLOOKUP(D22,Total!$C$2:$D$518,2,0)</f>
        <v>11 RPL 1</v>
      </c>
      <c r="F22" s="65" t="str">
        <f>VLOOKUP(C22,Total!$B$2:$F$514,5,0)</f>
        <v>AKTIF</v>
      </c>
      <c r="G22" s="67" t="str">
        <f>VLOOKUP($B22,master!$B$3:$S$600,16,0)</f>
        <v>088233755256</v>
      </c>
      <c r="H22" s="67" t="str">
        <f>VLOOKUP($B22,master!$B$3:$S$600,17,0)</f>
        <v>0882006802719</v>
      </c>
      <c r="I22" s="67" t="str">
        <f>VLOOKUP($B22,master!$B$3:$S$600,8,0)</f>
        <v>BEKELAN</v>
      </c>
      <c r="J22" s="67" t="str">
        <f>VLOOKUP($B22,master!$B$3:$S$600,9,0)</f>
        <v>02</v>
      </c>
      <c r="K22" s="67" t="str">
        <f>VLOOKUP($B22,master!$B$3:$S$600,11,0)</f>
        <v>TIRTONIRMOLO</v>
      </c>
      <c r="L22" s="67" t="str">
        <f>VLOOKUP($B22,master!$B$3:$S$600,12,0)</f>
        <v>KASIHAN</v>
      </c>
      <c r="M22" s="67" t="str">
        <f>VLOOKUP($B22,master!$B$3:$S$600,6,0)</f>
        <v>MARYANA</v>
      </c>
      <c r="N22" s="82" t="str">
        <f>VLOOKUP($B22,master!$B$3:$S$600,15,0)</f>
        <v>SMP MATARAM KASIHAN</v>
      </c>
      <c r="O22" s="82" t="str">
        <f>VLOOKUP($B22,master!$B$3:$S$600,4,0)</f>
        <v>13-11-2008</v>
      </c>
    </row>
    <row r="23" spans="1:15" ht="15.75" customHeight="1" x14ac:dyDescent="0.25">
      <c r="A23" s="80" t="s">
        <v>594</v>
      </c>
      <c r="B23" s="34" t="s">
        <v>591</v>
      </c>
      <c r="C23" s="11" t="s">
        <v>4979</v>
      </c>
      <c r="D23" s="34" t="s">
        <v>464</v>
      </c>
      <c r="E23" s="65" t="str">
        <f>VLOOKUP(D23,Total!$C$2:$D$518,2,0)</f>
        <v>11 RPL 1</v>
      </c>
      <c r="F23" s="65" t="str">
        <f>VLOOKUP(C23,Total!$B$2:$F$514,5,0)</f>
        <v>AKTIF</v>
      </c>
      <c r="G23" s="67" t="str">
        <f>VLOOKUP($B23,master!$B$3:$S$600,16,0)</f>
        <v>085692105621</v>
      </c>
      <c r="H23" s="67" t="str">
        <f>VLOOKUP($B23,master!$B$3:$S$600,17,0)</f>
        <v>089527973611</v>
      </c>
      <c r="I23" s="67" t="str">
        <f>VLOOKUP($B23,master!$B$3:$S$600,8,0)</f>
        <v>JLAMPRANG LOR</v>
      </c>
      <c r="J23" s="67" t="str">
        <f>VLOOKUP($B23,master!$B$3:$S$600,9,0)</f>
        <v>04</v>
      </c>
      <c r="K23" s="67" t="str">
        <f>VLOOKUP($B23,master!$B$3:$S$600,11,0)</f>
        <v>JAMBIDAN</v>
      </c>
      <c r="L23" s="67" t="str">
        <f>VLOOKUP($B23,master!$B$3:$S$600,12,0)</f>
        <v>BANGUNTAPAN</v>
      </c>
      <c r="M23" s="67" t="str">
        <f>VLOOKUP($B23,master!$B$3:$S$600,6,0)</f>
        <v>Ida Royani</v>
      </c>
      <c r="N23" s="82" t="str">
        <f>VLOOKUP($B23,master!$B$3:$S$600,15,0)</f>
        <v>SMP MUHAMMADIYAH PLERET</v>
      </c>
      <c r="O23" s="82" t="str">
        <f>VLOOKUP($B23,master!$B$3:$S$600,4,0)</f>
        <v>19-04-2008</v>
      </c>
    </row>
    <row r="24" spans="1:15" ht="15.75" customHeight="1" x14ac:dyDescent="0.25">
      <c r="A24" s="80" t="s">
        <v>596</v>
      </c>
      <c r="B24" s="34" t="s">
        <v>593</v>
      </c>
      <c r="C24" s="11" t="s">
        <v>4980</v>
      </c>
      <c r="D24" s="34" t="s">
        <v>465</v>
      </c>
      <c r="E24" s="65" t="str">
        <f>VLOOKUP(D24,Total!$C$2:$D$518,2,0)</f>
        <v>11 RPL 1</v>
      </c>
      <c r="F24" s="65" t="str">
        <f>VLOOKUP(C24,Total!$B$2:$F$514,5,0)</f>
        <v>KELUAR</v>
      </c>
      <c r="G24" s="67" t="str">
        <f>VLOOKUP($B24,master!$B$3:$S$600,16,0)</f>
        <v>083144926555</v>
      </c>
      <c r="H24" s="67" t="str">
        <f>VLOOKUP($B24,master!$B$3:$S$600,17,0)</f>
        <v>083852556256</v>
      </c>
      <c r="I24" s="67" t="str">
        <f>VLOOKUP($B24,master!$B$3:$S$600,8,0)</f>
        <v>DUKUH</v>
      </c>
      <c r="J24" s="67" t="str">
        <f>VLOOKUP($B24,master!$B$3:$S$600,9,0)</f>
        <v>002</v>
      </c>
      <c r="K24" s="67" t="str">
        <f>VLOOKUP($B24,master!$B$3:$S$600,11,0)</f>
        <v>SELOHARJO</v>
      </c>
      <c r="L24" s="67" t="str">
        <f>VLOOKUP($B24,master!$B$3:$S$600,12,0)</f>
        <v>PUNDONG</v>
      </c>
      <c r="M24" s="67" t="str">
        <f>VLOOKUP($B24,master!$B$3:$S$600,6,0)</f>
        <v>SUYATNO</v>
      </c>
      <c r="N24" s="82" t="str">
        <f>VLOOKUP($B24,master!$B$3:$S$600,15,0)</f>
        <v>SMP N 2 PUNDONG</v>
      </c>
      <c r="O24" s="82" t="str">
        <f>VLOOKUP($B24,master!$B$3:$S$600,4,0)</f>
        <v>9-08-2008</v>
      </c>
    </row>
    <row r="25" spans="1:15" ht="15.75" customHeight="1" x14ac:dyDescent="0.25">
      <c r="A25" s="80" t="s">
        <v>598</v>
      </c>
      <c r="B25" s="34" t="s">
        <v>595</v>
      </c>
      <c r="C25" s="11" t="s">
        <v>4981</v>
      </c>
      <c r="D25" s="34" t="s">
        <v>466</v>
      </c>
      <c r="E25" s="65" t="str">
        <f>VLOOKUP(D25,Total!$C$2:$D$518,2,0)</f>
        <v>11 RPL 1</v>
      </c>
      <c r="F25" s="65" t="str">
        <f>VLOOKUP(C25,Total!$B$2:$F$514,5,0)</f>
        <v>AKTIF</v>
      </c>
      <c r="G25" s="67" t="str">
        <f>VLOOKUP($B25,master!$B$3:$S$600,16,0)</f>
        <v>085876209045</v>
      </c>
      <c r="H25" s="67" t="str">
        <f>VLOOKUP($B25,master!$B$3:$S$600,17,0)</f>
        <v>085727437926</v>
      </c>
      <c r="I25" s="67" t="str">
        <f>VLOOKUP($B25,master!$B$3:$S$600,8,0)</f>
        <v>NGENTAK</v>
      </c>
      <c r="J25" s="67" t="str">
        <f>VLOOKUP($B25,master!$B$3:$S$600,9,0)</f>
        <v>001</v>
      </c>
      <c r="K25" s="67" t="str">
        <f>VLOOKUP($B25,master!$B$3:$S$600,11,0)</f>
        <v>SELOHARJO</v>
      </c>
      <c r="L25" s="67" t="str">
        <f>VLOOKUP($B25,master!$B$3:$S$600,12,0)</f>
        <v>PUNDONG</v>
      </c>
      <c r="M25" s="67" t="str">
        <f>VLOOKUP($B25,master!$B$3:$S$600,6,0)</f>
        <v>NAWARTI</v>
      </c>
      <c r="N25" s="82" t="str">
        <f>VLOOKUP($B25,master!$B$3:$S$600,15,0)</f>
        <v>SMP MUHAMMADIYAH 1 PUNDONG</v>
      </c>
      <c r="O25" s="82" t="str">
        <f>VLOOKUP($B25,master!$B$3:$S$600,4,0)</f>
        <v>14-05-2009</v>
      </c>
    </row>
    <row r="26" spans="1:15" ht="15.75" customHeight="1" x14ac:dyDescent="0.25">
      <c r="A26" s="80" t="s">
        <v>600</v>
      </c>
      <c r="B26" s="11" t="s">
        <v>597</v>
      </c>
      <c r="C26" s="11" t="s">
        <v>4982</v>
      </c>
      <c r="D26" s="11" t="s">
        <v>467</v>
      </c>
      <c r="E26" s="65" t="str">
        <f>VLOOKUP(D26,Total!$C$2:$D$518,2,0)</f>
        <v>11 RPL 1</v>
      </c>
      <c r="F26" s="65" t="str">
        <f>VLOOKUP(C26,Total!$B$2:$F$514,5,0)</f>
        <v>AKTIF</v>
      </c>
      <c r="G26" s="67" t="str">
        <f>VLOOKUP($B26,master!$B$3:$S$600,16,0)</f>
        <v>085726496707</v>
      </c>
      <c r="H26" s="67" t="str">
        <f>VLOOKUP($B26,master!$B$3:$S$600,17,0)</f>
        <v>085728920081</v>
      </c>
      <c r="I26" s="67" t="str">
        <f>VLOOKUP($B26,master!$B$3:$S$600,8,0)</f>
        <v>DEMI BENDO</v>
      </c>
      <c r="J26" s="67" t="str">
        <f>VLOOKUP($B26,master!$B$3:$S$600,9,0)</f>
        <v>6</v>
      </c>
      <c r="K26" s="67" t="str">
        <f>VLOOKUP($B26,master!$B$3:$S$600,11,0)</f>
        <v>WUKIRSARI</v>
      </c>
      <c r="L26" s="67" t="str">
        <f>VLOOKUP($B26,master!$B$3:$S$600,12,0)</f>
        <v>IMOGIRI</v>
      </c>
      <c r="M26" s="67" t="str">
        <f>VLOOKUP($B26,master!$B$3:$S$600,6,0)</f>
        <v>RAHMAD SAMSUDIN W</v>
      </c>
      <c r="N26" s="82" t="str">
        <f>VLOOKUP($B26,master!$B$3:$S$600,15,0)</f>
        <v>SMP Muhammadiyah Imogiri</v>
      </c>
      <c r="O26" s="82" t="str">
        <f>VLOOKUP($B26,master!$B$3:$S$600,4,0)</f>
        <v>11-11-2008</v>
      </c>
    </row>
    <row r="27" spans="1:15" ht="15.75" customHeight="1" x14ac:dyDescent="0.25">
      <c r="A27" s="80" t="s">
        <v>602</v>
      </c>
      <c r="B27" s="34" t="s">
        <v>5109</v>
      </c>
      <c r="C27" s="11" t="s">
        <v>5116</v>
      </c>
      <c r="D27" s="34" t="s">
        <v>5110</v>
      </c>
      <c r="E27" s="65" t="str">
        <f>VLOOKUP(D27,Total!$C$2:$D$518,2,0)</f>
        <v>11 RPL 1</v>
      </c>
      <c r="F27" s="65" t="str">
        <f>VLOOKUP(C27,Total!$B$2:$F$514,5,0)</f>
        <v>AKTIF</v>
      </c>
      <c r="G27" s="67" t="str">
        <f>VLOOKUP($B27,master!$B$3:$S$600,16,0)</f>
        <v>089652971284</v>
      </c>
      <c r="H27" s="67" t="str">
        <f>VLOOKUP($B27,master!$B$3:$S$600,17,0)</f>
        <v>089515310803</v>
      </c>
      <c r="I27" s="67" t="str">
        <f>VLOOKUP($B27,master!$B$3:$S$600,8,0)</f>
        <v>SEMAMPIR</v>
      </c>
      <c r="J27" s="67" t="str">
        <f>VLOOKUP($B27,master!$B$3:$S$600,9,0)</f>
        <v>4</v>
      </c>
      <c r="K27" s="67" t="str">
        <f>VLOOKUP($B27,master!$B$3:$S$600,11,0)</f>
        <v>PANJANGREJO</v>
      </c>
      <c r="L27" s="67" t="str">
        <f>VLOOKUP($B27,master!$B$3:$S$600,12,0)</f>
        <v>PUNDONG</v>
      </c>
      <c r="M27" s="67" t="str">
        <f>VLOOKUP($B27,master!$B$3:$S$600,6,0)</f>
        <v>SUGIYOTO</v>
      </c>
      <c r="N27" s="82" t="str">
        <f>VLOOKUP($B27,master!$B$3:$S$600,15,0)</f>
        <v>SMP MUHAMMADIYAH KRETEK</v>
      </c>
      <c r="O27" s="82" t="str">
        <f>VLOOKUP($B27,master!$B$3:$S$600,4,0)</f>
        <v>12-02-2010</v>
      </c>
    </row>
    <row r="28" spans="1:15" ht="15.75" customHeight="1" x14ac:dyDescent="0.25">
      <c r="A28" s="80" t="s">
        <v>604</v>
      </c>
      <c r="B28" s="34" t="s">
        <v>599</v>
      </c>
      <c r="C28" s="11" t="s">
        <v>4983</v>
      </c>
      <c r="D28" s="34" t="s">
        <v>468</v>
      </c>
      <c r="E28" s="65" t="str">
        <f>VLOOKUP(D28,Total!$C$2:$D$518,2,0)</f>
        <v>11 RPL 1</v>
      </c>
      <c r="F28" s="65" t="str">
        <f>VLOOKUP(C28,Total!$B$2:$F$514,5,0)</f>
        <v>KELUAR</v>
      </c>
      <c r="G28" s="67" t="str">
        <f>VLOOKUP($B28,master!$B$3:$S$600,16,0)</f>
        <v>08976846411</v>
      </c>
      <c r="H28" s="67" t="str">
        <f>VLOOKUP($B28,master!$B$3:$S$600,17,0)</f>
        <v>081229506366</v>
      </c>
      <c r="I28" s="67" t="str">
        <f>VLOOKUP($B28,master!$B$3:$S$600,8,0)</f>
        <v>PUNDONG</v>
      </c>
      <c r="J28" s="67" t="str">
        <f>VLOOKUP($B28,master!$B$3:$S$600,9,0)</f>
        <v>007</v>
      </c>
      <c r="K28" s="67" t="str">
        <f>VLOOKUP($B28,master!$B$3:$S$600,11,0)</f>
        <v>SRIHARDONO</v>
      </c>
      <c r="L28" s="67" t="str">
        <f>VLOOKUP($B28,master!$B$3:$S$600,12,0)</f>
        <v>PUNDONG</v>
      </c>
      <c r="M28" s="67" t="str">
        <f>VLOOKUP($B28,master!$B$3:$S$600,6,0)</f>
        <v>FENNI PANCASUKMA</v>
      </c>
      <c r="N28" s="82" t="str">
        <f>VLOOKUP($B28,master!$B$3:$S$600,15,0)</f>
        <v>SMP N 2 PUNDONG</v>
      </c>
      <c r="O28" s="82" t="str">
        <f>VLOOKUP($B28,master!$B$3:$S$600,4,0)</f>
        <v>7-01-2009</v>
      </c>
    </row>
    <row r="29" spans="1:15" ht="15.75" customHeight="1" x14ac:dyDescent="0.25">
      <c r="A29" s="80" t="s">
        <v>606</v>
      </c>
      <c r="B29" s="11" t="s">
        <v>601</v>
      </c>
      <c r="C29" s="11" t="s">
        <v>4984</v>
      </c>
      <c r="D29" s="11" t="s">
        <v>469</v>
      </c>
      <c r="E29" s="65" t="str">
        <f>VLOOKUP(D29,Total!$C$2:$D$518,2,0)</f>
        <v>11 RPL 1</v>
      </c>
      <c r="F29" s="65" t="str">
        <f>VLOOKUP(C29,Total!$B$2:$F$514,5,0)</f>
        <v>AKTIF</v>
      </c>
      <c r="G29" s="67" t="str">
        <f>VLOOKUP($B29,master!$B$3:$S$600,16,0)</f>
        <v>83147854731</v>
      </c>
      <c r="H29" s="67" t="str">
        <f>VLOOKUP($B29,master!$B$3:$S$600,17,0)</f>
        <v>0</v>
      </c>
      <c r="I29" s="67" t="str">
        <f>VLOOKUP($B29,master!$B$3:$S$600,8,0)</f>
        <v>PETE</v>
      </c>
      <c r="J29" s="67" t="str">
        <f>VLOOKUP($B29,master!$B$3:$S$600,9,0)</f>
        <v>0</v>
      </c>
      <c r="K29" s="67" t="str">
        <f>VLOOKUP($B29,master!$B$3:$S$600,11,0)</f>
        <v>MULYODADI</v>
      </c>
      <c r="L29" s="67" t="str">
        <f>VLOOKUP($B29,master!$B$3:$S$600,12,0)</f>
        <v>BAMBANGLIPURO</v>
      </c>
      <c r="M29" s="67" t="str">
        <f>VLOOKUP($B29,master!$B$3:$S$600,6,0)</f>
        <v>LAMIJO</v>
      </c>
      <c r="N29" s="82" t="str">
        <f>VLOOKUP($B29,master!$B$3:$S$600,15,0)</f>
        <v>SMP N 2 BAMBANGLIPURO</v>
      </c>
      <c r="O29" s="82" t="str">
        <f>VLOOKUP($B29,master!$B$3:$S$600,4,0)</f>
        <v>15-05-2008</v>
      </c>
    </row>
    <row r="30" spans="1:15" ht="15.75" customHeight="1" x14ac:dyDescent="0.25">
      <c r="A30" s="80" t="s">
        <v>608</v>
      </c>
      <c r="B30" s="11" t="s">
        <v>603</v>
      </c>
      <c r="C30" s="11" t="s">
        <v>4985</v>
      </c>
      <c r="D30" s="11" t="s">
        <v>470</v>
      </c>
      <c r="E30" s="65" t="str">
        <f>VLOOKUP(D30,Total!$C$2:$D$518,2,0)</f>
        <v>11 RPL 1</v>
      </c>
      <c r="F30" s="65" t="str">
        <f>VLOOKUP(C30,Total!$B$2:$F$514,5,0)</f>
        <v>AKTIF</v>
      </c>
      <c r="G30" s="67" t="str">
        <f>VLOOKUP($B30,master!$B$3:$S$600,16,0)</f>
        <v>081382011152</v>
      </c>
      <c r="H30" s="67" t="str">
        <f>VLOOKUP($B30,master!$B$3:$S$600,17,0)</f>
        <v>082328427320</v>
      </c>
      <c r="I30" s="67" t="str">
        <f>VLOOKUP($B30,master!$B$3:$S$600,8,0)</f>
        <v>KEMBANGSONGO</v>
      </c>
      <c r="J30" s="67" t="str">
        <f>VLOOKUP($B30,master!$B$3:$S$600,9,0)</f>
        <v>05</v>
      </c>
      <c r="K30" s="67" t="str">
        <f>VLOOKUP($B30,master!$B$3:$S$600,11,0)</f>
        <v>TRIMULYO</v>
      </c>
      <c r="L30" s="67" t="str">
        <f>VLOOKUP($B30,master!$B$3:$S$600,12,0)</f>
        <v>JETIS</v>
      </c>
      <c r="M30" s="67" t="str">
        <f>VLOOKUP($B30,master!$B$3:$S$600,6,0)</f>
        <v>WENNI RAHMA PRAMUSITA</v>
      </c>
      <c r="N30" s="82" t="str">
        <f>VLOOKUP($B30,master!$B$3:$S$600,15,0)</f>
        <v>PKBM SAPULIDI</v>
      </c>
      <c r="O30" s="82" t="str">
        <f>VLOOKUP($B30,master!$B$3:$S$600,4,0)</f>
        <v>18-12-2008</v>
      </c>
    </row>
    <row r="31" spans="1:15" ht="15.75" customHeight="1" x14ac:dyDescent="0.25">
      <c r="A31" s="80" t="s">
        <v>610</v>
      </c>
      <c r="B31" s="34" t="s">
        <v>605</v>
      </c>
      <c r="C31" s="11" t="s">
        <v>4986</v>
      </c>
      <c r="D31" s="34" t="s">
        <v>471</v>
      </c>
      <c r="E31" s="65" t="str">
        <f>VLOOKUP(D31,Total!$C$2:$D$518,2,0)</f>
        <v>11 RPL 1</v>
      </c>
      <c r="F31" s="65" t="str">
        <f>VLOOKUP(C31,Total!$B$2:$F$514,5,0)</f>
        <v>AKTIF</v>
      </c>
      <c r="G31" s="67" t="str">
        <f>VLOOKUP($B31,master!$B$3:$S$600,16,0)</f>
        <v>085747443330</v>
      </c>
      <c r="H31" s="67" t="str">
        <f>VLOOKUP($B31,master!$B$3:$S$600,17,0)</f>
        <v>085712690141</v>
      </c>
      <c r="I31" s="67" t="str">
        <f>VLOOKUP($B31,master!$B$3:$S$600,8,0)</f>
        <v>PALIHAN</v>
      </c>
      <c r="J31" s="67" t="str">
        <f>VLOOKUP($B31,master!$B$3:$S$600,9,0)</f>
        <v>02</v>
      </c>
      <c r="K31" s="67" t="str">
        <f>VLOOKUP($B31,master!$B$3:$S$600,11,0)</f>
        <v>SIDOMULYO</v>
      </c>
      <c r="L31" s="67" t="str">
        <f>VLOOKUP($B31,master!$B$3:$S$600,12,0)</f>
        <v>BAMBANGLIPURO</v>
      </c>
      <c r="M31" s="67" t="str">
        <f>VLOOKUP($B31,master!$B$3:$S$600,6,0)</f>
        <v>Dedi widayana</v>
      </c>
      <c r="N31" s="82" t="str">
        <f>VLOOKUP($B31,master!$B$3:$S$600,15,0)</f>
        <v>SMP N 1 BAMBANGLIPURO</v>
      </c>
      <c r="O31" s="82" t="str">
        <f>VLOOKUP($B31,master!$B$3:$S$600,4,0)</f>
        <v>1-03-2009</v>
      </c>
    </row>
    <row r="32" spans="1:15" ht="15.75" customHeight="1" x14ac:dyDescent="0.25">
      <c r="A32" s="80" t="s">
        <v>612</v>
      </c>
      <c r="B32" s="11" t="s">
        <v>607</v>
      </c>
      <c r="C32" s="11" t="s">
        <v>4987</v>
      </c>
      <c r="D32" s="11" t="s">
        <v>472</v>
      </c>
      <c r="E32" s="65" t="str">
        <f>VLOOKUP(D32,Total!$C$2:$D$518,2,0)</f>
        <v>11 RPL 2</v>
      </c>
      <c r="F32" s="65" t="str">
        <f>VLOOKUP(C32,Total!$B$2:$F$514,5,0)</f>
        <v>AKTIF</v>
      </c>
      <c r="G32" s="67" t="str">
        <f>VLOOKUP($B32,master!$B$3:$S$600,16,0)</f>
        <v>81391810007</v>
      </c>
      <c r="H32" s="67" t="str">
        <f>VLOOKUP($B32,master!$B$3:$S$600,17,0)</f>
        <v>0</v>
      </c>
      <c r="I32" s="67" t="str">
        <f>VLOOKUP($B32,master!$B$3:$S$600,8,0)</f>
        <v>NITIPRAYAN</v>
      </c>
      <c r="J32" s="67" t="str">
        <f>VLOOKUP($B32,master!$B$3:$S$600,9,0)</f>
        <v>3</v>
      </c>
      <c r="K32" s="67" t="str">
        <f>VLOOKUP($B32,master!$B$3:$S$600,11,0)</f>
        <v>NGESTIHARJO</v>
      </c>
      <c r="L32" s="67" t="str">
        <f>VLOOKUP($B32,master!$B$3:$S$600,12,0)</f>
        <v>KASIHAN</v>
      </c>
      <c r="M32" s="67" t="str">
        <f>VLOOKUP($B32,master!$B$3:$S$600,6,0)</f>
        <v>WIYANTO</v>
      </c>
      <c r="N32" s="82" t="str">
        <f>VLOOKUP($B32,master!$B$3:$S$600,15,0)</f>
        <v>SMP MUHAMMADIYAH KASIHAN</v>
      </c>
      <c r="O32" s="82" t="str">
        <f>VLOOKUP($B32,master!$B$3:$S$600,4,0)</f>
        <v>123456-123456-admin</v>
      </c>
    </row>
    <row r="33" spans="1:15" ht="15.75" customHeight="1" x14ac:dyDescent="0.25">
      <c r="A33" s="80" t="s">
        <v>614</v>
      </c>
      <c r="B33" s="11" t="s">
        <v>609</v>
      </c>
      <c r="C33" s="11" t="s">
        <v>4988</v>
      </c>
      <c r="D33" s="11" t="s">
        <v>473</v>
      </c>
      <c r="E33" s="65" t="str">
        <f>VLOOKUP(D33,Total!$C$2:$D$518,2,0)</f>
        <v>11 RPL 2</v>
      </c>
      <c r="F33" s="65" t="str">
        <f>VLOOKUP(C33,Total!$B$2:$F$514,5,0)</f>
        <v>AKTIF</v>
      </c>
      <c r="G33" s="67" t="str">
        <f>VLOOKUP($B33,master!$B$3:$S$600,16,0)</f>
        <v>081391439461</v>
      </c>
      <c r="H33" s="67" t="str">
        <f>VLOOKUP($B33,master!$B$3:$S$600,17,0)</f>
        <v>082134337977</v>
      </c>
      <c r="I33" s="67" t="str">
        <f>VLOOKUP($B33,master!$B$3:$S$600,8,0)</f>
        <v>KWENI</v>
      </c>
      <c r="J33" s="67" t="str">
        <f>VLOOKUP($B33,master!$B$3:$S$600,9,0)</f>
        <v>03</v>
      </c>
      <c r="K33" s="67" t="str">
        <f>VLOOKUP($B33,master!$B$3:$S$600,11,0)</f>
        <v>PANGGUNGHARJO</v>
      </c>
      <c r="L33" s="67" t="str">
        <f>VLOOKUP($B33,master!$B$3:$S$600,12,0)</f>
        <v>SEWON</v>
      </c>
      <c r="M33" s="67" t="str">
        <f>VLOOKUP($B33,master!$B$3:$S$600,6,0)</f>
        <v>MARSINAH</v>
      </c>
      <c r="N33" s="82" t="str">
        <f>VLOOKUP($B33,master!$B$3:$S$600,15,0)</f>
        <v>SMP MUHAMMADIYAH BANTUL</v>
      </c>
      <c r="O33" s="82" t="str">
        <f>VLOOKUP($B33,master!$B$3:$S$600,4,0)</f>
        <v>11-04-2009</v>
      </c>
    </row>
    <row r="34" spans="1:15" ht="15.75" customHeight="1" x14ac:dyDescent="0.25">
      <c r="A34" s="80" t="s">
        <v>616</v>
      </c>
      <c r="B34" s="11" t="s">
        <v>611</v>
      </c>
      <c r="C34" s="11" t="s">
        <v>4989</v>
      </c>
      <c r="D34" s="11" t="s">
        <v>474</v>
      </c>
      <c r="E34" s="65" t="str">
        <f>VLOOKUP(D34,Total!$C$2:$D$518,2,0)</f>
        <v>11 RPL 2</v>
      </c>
      <c r="F34" s="65" t="str">
        <f>VLOOKUP(C34,Total!$B$2:$F$514,5,0)</f>
        <v>AKTIF</v>
      </c>
      <c r="G34" s="67" t="str">
        <f>VLOOKUP($B34,master!$B$3:$S$600,16,0)</f>
        <v>083865636950</v>
      </c>
      <c r="H34" s="67" t="str">
        <f>VLOOKUP($B34,master!$B$3:$S$600,17,0)</f>
        <v>083834624795</v>
      </c>
      <c r="I34" s="67" t="str">
        <f>VLOOKUP($B34,master!$B$3:$S$600,8,0)</f>
        <v>GEDONGAN</v>
      </c>
      <c r="J34" s="67" t="str">
        <f>VLOOKUP($B34,master!$B$3:$S$600,9,0)</f>
        <v>004</v>
      </c>
      <c r="K34" s="67" t="str">
        <f>VLOOKUP($B34,master!$B$3:$S$600,11,0)</f>
        <v>TRIRENGGO</v>
      </c>
      <c r="L34" s="67" t="str">
        <f>VLOOKUP($B34,master!$B$3:$S$600,12,0)</f>
        <v>BANTUL</v>
      </c>
      <c r="M34" s="67" t="str">
        <f>VLOOKUP($B34,master!$B$3:$S$600,6,0)</f>
        <v>MUJIYONO</v>
      </c>
      <c r="N34" s="82" t="str">
        <f>VLOOKUP($B34,master!$B$3:$S$600,15,0)</f>
        <v>SMP N 3 BANTUL</v>
      </c>
      <c r="O34" s="82" t="str">
        <f>VLOOKUP($B34,master!$B$3:$S$600,4,0)</f>
        <v>2-04-2008</v>
      </c>
    </row>
    <row r="35" spans="1:15" ht="15.75" customHeight="1" x14ac:dyDescent="0.25">
      <c r="A35" s="80" t="s">
        <v>618</v>
      </c>
      <c r="B35" s="11" t="s">
        <v>613</v>
      </c>
      <c r="C35" s="11" t="s">
        <v>4990</v>
      </c>
      <c r="D35" s="11" t="s">
        <v>475</v>
      </c>
      <c r="E35" s="65" t="str">
        <f>VLOOKUP(D35,Total!$C$2:$D$518,2,0)</f>
        <v>11 RPL 2</v>
      </c>
      <c r="F35" s="65" t="str">
        <f>VLOOKUP(C35,Total!$B$2:$F$514,5,0)</f>
        <v>AKTIF</v>
      </c>
      <c r="G35" s="67" t="str">
        <f>VLOOKUP($B35,master!$B$3:$S$600,16,0)</f>
        <v>087888846582</v>
      </c>
      <c r="H35" s="67" t="str">
        <f>VLOOKUP($B35,master!$B$3:$S$600,17,0)</f>
        <v>087894457000</v>
      </c>
      <c r="I35" s="67" t="str">
        <f>VLOOKUP($B35,master!$B$3:$S$600,8,0)</f>
        <v>KEDATON</v>
      </c>
      <c r="J35" s="67" t="str">
        <f>VLOOKUP($B35,master!$B$3:$S$600,9,0)</f>
        <v>5</v>
      </c>
      <c r="K35" s="67" t="str">
        <f>VLOOKUP($B35,master!$B$3:$S$600,11,0)</f>
        <v>PLERET</v>
      </c>
      <c r="L35" s="67" t="str">
        <f>VLOOKUP($B35,master!$B$3:$S$600,12,0)</f>
        <v>PLERET</v>
      </c>
      <c r="M35" s="67" t="str">
        <f>VLOOKUP($B35,master!$B$3:$S$600,6,0)</f>
        <v>KOLIS PAMUJI</v>
      </c>
      <c r="N35" s="82" t="str">
        <f>VLOOKUP($B35,master!$B$3:$S$600,15,0)</f>
        <v>SMP N 2 PLERET</v>
      </c>
      <c r="O35" s="82" t="str">
        <f>VLOOKUP($B35,master!$B$3:$S$600,4,0)</f>
        <v>1-11-2008</v>
      </c>
    </row>
    <row r="36" spans="1:15" ht="15.75" customHeight="1" x14ac:dyDescent="0.25">
      <c r="A36" s="80" t="s">
        <v>620</v>
      </c>
      <c r="B36" s="11" t="s">
        <v>615</v>
      </c>
      <c r="C36" s="11" t="s">
        <v>4991</v>
      </c>
      <c r="D36" s="11" t="s">
        <v>476</v>
      </c>
      <c r="E36" s="65" t="str">
        <f>VLOOKUP(D36,Total!$C$2:$D$518,2,0)</f>
        <v>11 RPL 2</v>
      </c>
      <c r="F36" s="65" t="str">
        <f>VLOOKUP(C36,Total!$B$2:$F$514,5,0)</f>
        <v>AKTIF</v>
      </c>
      <c r="G36" s="67" t="str">
        <f>VLOOKUP($B36,master!$B$3:$S$600,16,0)</f>
        <v>82225692182</v>
      </c>
      <c r="H36" s="67" t="str">
        <f>VLOOKUP($B36,master!$B$3:$S$600,17,0)</f>
        <v>0</v>
      </c>
      <c r="I36" s="67" t="str">
        <f>VLOOKUP($B36,master!$B$3:$S$600,8,0)</f>
        <v>TANGKILAN</v>
      </c>
      <c r="J36" s="67" t="str">
        <f>VLOOKUP($B36,master!$B$3:$S$600,9,0)</f>
        <v>3</v>
      </c>
      <c r="K36" s="67" t="str">
        <f>VLOOKUP($B36,master!$B$3:$S$600,11,0)</f>
        <v>SUMBERMULYO</v>
      </c>
      <c r="L36" s="67" t="str">
        <f>VLOOKUP($B36,master!$B$3:$S$600,12,0)</f>
        <v>BAMBANGLIPURO</v>
      </c>
      <c r="M36" s="67" t="str">
        <f>VLOOKUP($B36,master!$B$3:$S$600,6,0)</f>
        <v>KASIMIN</v>
      </c>
      <c r="N36" s="82" t="str">
        <f>VLOOKUP($B36,master!$B$3:$S$600,15,0)</f>
        <v>SMP MUHAMMADIYAH 1 BAMBANGLIPURO</v>
      </c>
      <c r="O36" s="82" t="str">
        <f>VLOOKUP($B36,master!$B$3:$S$600,4,0)</f>
        <v>26-08-2008</v>
      </c>
    </row>
    <row r="37" spans="1:15" ht="15.75" customHeight="1" x14ac:dyDescent="0.25">
      <c r="A37" s="80" t="s">
        <v>622</v>
      </c>
      <c r="B37" s="11" t="s">
        <v>617</v>
      </c>
      <c r="C37" s="11" t="s">
        <v>4992</v>
      </c>
      <c r="D37" s="11" t="s">
        <v>477</v>
      </c>
      <c r="E37" s="65" t="str">
        <f>VLOOKUP(D37,Total!$C$2:$D$518,2,0)</f>
        <v>11 RPL 2</v>
      </c>
      <c r="F37" s="65" t="str">
        <f>VLOOKUP(C37,Total!$B$2:$F$514,5,0)</f>
        <v>AKTIF</v>
      </c>
      <c r="G37" s="67" t="str">
        <f>VLOOKUP($B37,master!$B$3:$S$600,16,0)</f>
        <v>0811283083</v>
      </c>
      <c r="H37" s="67" t="str">
        <f>VLOOKUP($B37,master!$B$3:$S$600,17,0)</f>
        <v>088227996531</v>
      </c>
      <c r="I37" s="67" t="str">
        <f>VLOOKUP($B37,master!$B$3:$S$600,8,0)</f>
        <v>KARANGNONGKO</v>
      </c>
      <c r="J37" s="67" t="str">
        <f>VLOOKUP($B37,master!$B$3:$S$600,9,0)</f>
        <v>4</v>
      </c>
      <c r="K37" s="67" t="str">
        <f>VLOOKUP($B37,master!$B$3:$S$600,11,0)</f>
        <v>SUMBERAGUNG</v>
      </c>
      <c r="L37" s="67" t="str">
        <f>VLOOKUP($B37,master!$B$3:$S$600,12,0)</f>
        <v>JETIS</v>
      </c>
      <c r="M37" s="67" t="str">
        <f>VLOOKUP($B37,master!$B$3:$S$600,6,0)</f>
        <v>YEANIEK YULYARTI HAPSARI</v>
      </c>
      <c r="N37" s="82" t="str">
        <f>VLOOKUP($B37,master!$B$3:$S$600,15,0)</f>
        <v>SMP N 2 PUNDONG</v>
      </c>
      <c r="O37" s="82" t="str">
        <f>VLOOKUP($B37,master!$B$3:$S$600,4,0)</f>
        <v>21-05-2009</v>
      </c>
    </row>
    <row r="38" spans="1:15" ht="15.75" customHeight="1" x14ac:dyDescent="0.25">
      <c r="A38" s="80" t="s">
        <v>624</v>
      </c>
      <c r="B38" s="11" t="s">
        <v>619</v>
      </c>
      <c r="C38" s="11" t="s">
        <v>4993</v>
      </c>
      <c r="D38" s="11" t="s">
        <v>478</v>
      </c>
      <c r="E38" s="65" t="str">
        <f>VLOOKUP(D38,Total!$C$2:$D$518,2,0)</f>
        <v>11 RPL 2</v>
      </c>
      <c r="F38" s="65" t="str">
        <f>VLOOKUP(C38,Total!$B$2:$F$514,5,0)</f>
        <v>AKTIF</v>
      </c>
      <c r="G38" s="67" t="str">
        <f>VLOOKUP($B38,master!$B$3:$S$600,16,0)</f>
        <v>08174100225</v>
      </c>
      <c r="H38" s="67" t="str">
        <f>VLOOKUP($B38,master!$B$3:$S$600,17,0)</f>
        <v>08998463953</v>
      </c>
      <c r="I38" s="67" t="str">
        <f>VLOOKUP($B38,master!$B$3:$S$600,8,0)</f>
        <v>tembi</v>
      </c>
      <c r="J38" s="67" t="str">
        <f>VLOOKUP($B38,master!$B$3:$S$600,9,0)</f>
        <v>07</v>
      </c>
      <c r="K38" s="67" t="str">
        <f>VLOOKUP($B38,master!$B$3:$S$600,11,0)</f>
        <v>TIMBULHARJO</v>
      </c>
      <c r="L38" s="67" t="str">
        <f>VLOOKUP($B38,master!$B$3:$S$600,12,0)</f>
        <v>SEWON</v>
      </c>
      <c r="M38" s="67" t="str">
        <f>VLOOKUP($B38,master!$B$3:$S$600,6,0)</f>
        <v>Iwan Budi Antoro</v>
      </c>
      <c r="N38" s="82" t="str">
        <f>VLOOKUP($B38,master!$B$3:$S$600,15,0)</f>
        <v>SMP PATRIA BANTUL</v>
      </c>
      <c r="O38" s="82" t="str">
        <f>VLOOKUP($B38,master!$B$3:$S$600,4,0)</f>
        <v>19-04-2008</v>
      </c>
    </row>
    <row r="39" spans="1:15" ht="15.75" customHeight="1" x14ac:dyDescent="0.25">
      <c r="A39" s="80" t="s">
        <v>626</v>
      </c>
      <c r="B39" s="11" t="s">
        <v>621</v>
      </c>
      <c r="C39" s="11" t="s">
        <v>4994</v>
      </c>
      <c r="D39" s="11" t="s">
        <v>479</v>
      </c>
      <c r="E39" s="65" t="str">
        <f>VLOOKUP(D39,Total!$C$2:$D$518,2,0)</f>
        <v>11 RPL 2</v>
      </c>
      <c r="F39" s="65" t="str">
        <f>VLOOKUP(C39,Total!$B$2:$F$514,5,0)</f>
        <v>AKTIF</v>
      </c>
      <c r="G39" s="67" t="str">
        <f>VLOOKUP($B39,master!$B$3:$S$600,16,0)</f>
        <v>081226512520/0895323091560</v>
      </c>
      <c r="H39" s="67" t="str">
        <f>VLOOKUP($B39,master!$B$3:$S$600,17,0)</f>
        <v>0</v>
      </c>
      <c r="I39" s="67" t="str">
        <f>VLOOKUP($B39,master!$B$3:$S$600,8,0)</f>
        <v>JL. CIMANDIRI RAYA N</v>
      </c>
      <c r="J39" s="67" t="str">
        <f>VLOOKUP($B39,master!$B$3:$S$600,9,0)</f>
        <v>10</v>
      </c>
      <c r="K39" s="67" t="str">
        <f>VLOOKUP($B39,master!$B$3:$S$600,11,0)</f>
        <v>MLATIHARJO</v>
      </c>
      <c r="L39" s="67" t="str">
        <f>VLOOKUP($B39,master!$B$3:$S$600,12,0)</f>
        <v>SEMARANG TIMUR</v>
      </c>
      <c r="M39" s="67" t="str">
        <f>VLOOKUP($B39,master!$B$3:$S$600,6,0)</f>
        <v>MUJI SANTOSO</v>
      </c>
      <c r="N39" s="82" t="str">
        <f>VLOOKUP($B39,master!$B$3:$S$600,15,0)</f>
        <v>SMP MUHAMMADIYAH SEWON</v>
      </c>
      <c r="O39" s="82" t="str">
        <f>VLOOKUP($B39,master!$B$3:$S$600,4,0)</f>
        <v>4-12-2008</v>
      </c>
    </row>
    <row r="40" spans="1:15" ht="15.75" customHeight="1" x14ac:dyDescent="0.25">
      <c r="A40" s="80" t="s">
        <v>628</v>
      </c>
      <c r="B40" s="11" t="s">
        <v>623</v>
      </c>
      <c r="C40" s="11" t="s">
        <v>4995</v>
      </c>
      <c r="D40" s="11" t="s">
        <v>480</v>
      </c>
      <c r="E40" s="65" t="str">
        <f>VLOOKUP(D40,Total!$C$2:$D$518,2,0)</f>
        <v>11 RPL 2</v>
      </c>
      <c r="F40" s="65" t="str">
        <f>VLOOKUP(C40,Total!$B$2:$F$514,5,0)</f>
        <v>AKTIF</v>
      </c>
      <c r="G40" s="67" t="str">
        <f>VLOOKUP($B40,master!$B$3:$S$600,16,0)</f>
        <v>08995493560</v>
      </c>
      <c r="H40" s="67" t="str">
        <f>VLOOKUP($B40,master!$B$3:$S$600,17,0)</f>
        <v>0895337100869</v>
      </c>
      <c r="I40" s="67" t="str">
        <f>VLOOKUP($B40,master!$B$3:$S$600,8,0)</f>
        <v>Gunungkelir</v>
      </c>
      <c r="J40" s="67" t="str">
        <f>VLOOKUP($B40,master!$B$3:$S$600,9,0)</f>
        <v>05</v>
      </c>
      <c r="K40" s="67" t="str">
        <f>VLOOKUP($B40,master!$B$3:$S$600,11,0)</f>
        <v>Pleret</v>
      </c>
      <c r="L40" s="67" t="str">
        <f>VLOOKUP($B40,master!$B$3:$S$600,12,0)</f>
        <v>Pleret</v>
      </c>
      <c r="M40" s="67" t="str">
        <f>VLOOKUP($B40,master!$B$3:$S$600,6,0)</f>
        <v>Slamet</v>
      </c>
      <c r="N40" s="82" t="str">
        <f>VLOOKUP($B40,master!$B$3:$S$600,15,0)</f>
        <v>SMP N 2 Pleret</v>
      </c>
      <c r="O40" s="82" t="str">
        <f>VLOOKUP($B40,master!$B$3:$S$600,4,0)</f>
        <v>13-03-2007</v>
      </c>
    </row>
    <row r="41" spans="1:15" ht="15.75" customHeight="1" x14ac:dyDescent="0.25">
      <c r="A41" s="80" t="s">
        <v>630</v>
      </c>
      <c r="B41" s="11" t="s">
        <v>625</v>
      </c>
      <c r="C41" s="11" t="s">
        <v>4996</v>
      </c>
      <c r="D41" s="11" t="s">
        <v>481</v>
      </c>
      <c r="E41" s="65" t="str">
        <f>VLOOKUP(D41,Total!$C$2:$D$518,2,0)</f>
        <v>11 RPL 2</v>
      </c>
      <c r="F41" s="65" t="str">
        <f>VLOOKUP(C41,Total!$B$2:$F$514,5,0)</f>
        <v>AKTIF</v>
      </c>
      <c r="G41" s="67" t="str">
        <f>VLOOKUP($B41,master!$B$3:$S$600,16,0)</f>
        <v>83144799150</v>
      </c>
      <c r="H41" s="67" t="str">
        <f>VLOOKUP($B41,master!$B$3:$S$600,17,0)</f>
        <v>0</v>
      </c>
      <c r="I41" s="67" t="str">
        <f>VLOOKUP($B41,master!$B$3:$S$600,8,0)</f>
        <v>PEPE</v>
      </c>
      <c r="J41" s="67" t="str">
        <f>VLOOKUP($B41,master!$B$3:$S$600,9,0)</f>
        <v>5</v>
      </c>
      <c r="K41" s="67" t="str">
        <f>VLOOKUP($B41,master!$B$3:$S$600,11,0)</f>
        <v>TRIRENGGO</v>
      </c>
      <c r="L41" s="67" t="str">
        <f>VLOOKUP($B41,master!$B$3:$S$600,12,0)</f>
        <v>BANTUL</v>
      </c>
      <c r="M41" s="67" t="str">
        <f>VLOOKUP($B41,master!$B$3:$S$600,6,0)</f>
        <v>TRIYADI</v>
      </c>
      <c r="N41" s="82" t="str">
        <f>VLOOKUP($B41,master!$B$3:$S$600,15,0)</f>
        <v>SMP MUHAMMADIYAH BANTUL</v>
      </c>
      <c r="O41" s="82" t="str">
        <f>VLOOKUP($B41,master!$B$3:$S$600,4,0)</f>
        <v>12-09-2008</v>
      </c>
    </row>
    <row r="42" spans="1:15" ht="15.75" customHeight="1" x14ac:dyDescent="0.25">
      <c r="A42" s="80" t="s">
        <v>632</v>
      </c>
      <c r="B42" s="11" t="s">
        <v>627</v>
      </c>
      <c r="C42" s="11" t="s">
        <v>4997</v>
      </c>
      <c r="D42" s="11" t="s">
        <v>482</v>
      </c>
      <c r="E42" s="65" t="str">
        <f>VLOOKUP(D42,Total!$C$2:$D$518,2,0)</f>
        <v>11 RPL 2</v>
      </c>
      <c r="F42" s="65" t="str">
        <f>VLOOKUP(C42,Total!$B$2:$F$514,5,0)</f>
        <v>AKTIF</v>
      </c>
      <c r="G42" s="67" t="str">
        <f>VLOOKUP($B42,master!$B$3:$S$600,16,0)</f>
        <v>08175480182</v>
      </c>
      <c r="H42" s="67" t="str">
        <f>VLOOKUP($B42,master!$B$3:$S$600,17,0)</f>
        <v>089528226627</v>
      </c>
      <c r="I42" s="67" t="str">
        <f>VLOOKUP($B42,master!$B$3:$S$600,8,0)</f>
        <v>TEMBI</v>
      </c>
      <c r="J42" s="67" t="str">
        <f>VLOOKUP($B42,master!$B$3:$S$600,9,0)</f>
        <v>6</v>
      </c>
      <c r="K42" s="67" t="str">
        <f>VLOOKUP($B42,master!$B$3:$S$600,11,0)</f>
        <v>TIMBULHARJO</v>
      </c>
      <c r="L42" s="67" t="str">
        <f>VLOOKUP($B42,master!$B$3:$S$600,12,0)</f>
        <v>SEWON</v>
      </c>
      <c r="M42" s="67" t="str">
        <f>VLOOKUP($B42,master!$B$3:$S$600,6,0)</f>
        <v>SIGIT</v>
      </c>
      <c r="N42" s="82" t="str">
        <f>VLOOKUP($B42,master!$B$3:$S$600,15,0)</f>
        <v>SMP N 2 KRETEK</v>
      </c>
      <c r="O42" s="82" t="str">
        <f>VLOOKUP($B42,master!$B$3:$S$600,4,0)</f>
        <v>2-04-2008</v>
      </c>
    </row>
    <row r="43" spans="1:15" ht="15.75" customHeight="1" x14ac:dyDescent="0.25">
      <c r="A43" s="80" t="s">
        <v>634</v>
      </c>
      <c r="B43" s="11" t="s">
        <v>629</v>
      </c>
      <c r="C43" s="11" t="s">
        <v>4998</v>
      </c>
      <c r="D43" s="11" t="s">
        <v>483</v>
      </c>
      <c r="E43" s="65" t="str">
        <f>VLOOKUP(D43,Total!$C$2:$D$518,2,0)</f>
        <v>11 RPL 2</v>
      </c>
      <c r="F43" s="65" t="str">
        <f>VLOOKUP(C43,Total!$B$2:$F$514,5,0)</f>
        <v>AKTIF</v>
      </c>
      <c r="G43" s="67" t="str">
        <f>VLOOKUP($B43,master!$B$3:$S$600,16,0)</f>
        <v>08175480182</v>
      </c>
      <c r="H43" s="67" t="str">
        <f>VLOOKUP($B43,master!$B$3:$S$600,17,0)</f>
        <v>088215435439</v>
      </c>
      <c r="I43" s="67" t="str">
        <f>VLOOKUP($B43,master!$B$3:$S$600,8,0)</f>
        <v>TEMBI</v>
      </c>
      <c r="J43" s="67" t="str">
        <f>VLOOKUP($B43,master!$B$3:$S$600,9,0)</f>
        <v>06</v>
      </c>
      <c r="K43" s="67" t="str">
        <f>VLOOKUP($B43,master!$B$3:$S$600,11,0)</f>
        <v>TIMBULHARJO</v>
      </c>
      <c r="L43" s="67" t="str">
        <f>VLOOKUP($B43,master!$B$3:$S$600,12,0)</f>
        <v>SEWON</v>
      </c>
      <c r="M43" s="67" t="str">
        <f>VLOOKUP($B43,master!$B$3:$S$600,6,0)</f>
        <v>SIGIT</v>
      </c>
      <c r="N43" s="82" t="str">
        <f>VLOOKUP($B43,master!$B$3:$S$600,15,0)</f>
        <v>SMP NEGERI 2 KRETEK</v>
      </c>
      <c r="O43" s="82" t="str">
        <f>VLOOKUP($B43,master!$B$3:$S$600,4,0)</f>
        <v>2-04-2008</v>
      </c>
    </row>
    <row r="44" spans="1:15" ht="15.75" customHeight="1" x14ac:dyDescent="0.25">
      <c r="A44" s="80" t="s">
        <v>636</v>
      </c>
      <c r="B44" s="11" t="s">
        <v>631</v>
      </c>
      <c r="C44" s="11" t="s">
        <v>4999</v>
      </c>
      <c r="D44" s="11" t="s">
        <v>484</v>
      </c>
      <c r="E44" s="65" t="str">
        <f>VLOOKUP(D44,Total!$C$2:$D$518,2,0)</f>
        <v>11 RPL 2</v>
      </c>
      <c r="F44" s="65" t="str">
        <f>VLOOKUP(C44,Total!$B$2:$F$514,5,0)</f>
        <v>AKTIF</v>
      </c>
      <c r="G44" s="67" t="str">
        <f>VLOOKUP($B44,master!$B$3:$S$600,16,0)</f>
        <v>089502123158</v>
      </c>
      <c r="H44" s="67" t="str">
        <f>VLOOKUP($B44,master!$B$3:$S$600,17,0)</f>
        <v>081585210732</v>
      </c>
      <c r="I44" s="67" t="str">
        <f>VLOOKUP($B44,master!$B$3:$S$600,8,0)</f>
        <v>NGAGLIK</v>
      </c>
      <c r="J44" s="67" t="str">
        <f>VLOOKUP($B44,master!$B$3:$S$600,9,0)</f>
        <v>31</v>
      </c>
      <c r="K44" s="67" t="str">
        <f>VLOOKUP($B44,master!$B$3:$S$600,11,0)</f>
        <v>PENDOWOHARJO</v>
      </c>
      <c r="L44" s="67" t="str">
        <f>VLOOKUP($B44,master!$B$3:$S$600,12,0)</f>
        <v>SEWON</v>
      </c>
      <c r="M44" s="67" t="str">
        <f>VLOOKUP($B44,master!$B$3:$S$600,6,0)</f>
        <v>NURYANTO</v>
      </c>
      <c r="N44" s="82" t="str">
        <f>VLOOKUP($B44,master!$B$3:$S$600,15,0)</f>
        <v>SMP IT ULUL ALBAB</v>
      </c>
      <c r="O44" s="82" t="str">
        <f>VLOOKUP($B44,master!$B$3:$S$600,4,0)</f>
        <v>14-09-2009</v>
      </c>
    </row>
    <row r="45" spans="1:15" ht="15.75" customHeight="1" x14ac:dyDescent="0.25">
      <c r="A45" s="80" t="s">
        <v>638</v>
      </c>
      <c r="B45" s="11" t="s">
        <v>633</v>
      </c>
      <c r="C45" s="11" t="s">
        <v>5000</v>
      </c>
      <c r="D45" s="11" t="s">
        <v>485</v>
      </c>
      <c r="E45" s="65" t="str">
        <f>VLOOKUP(D45,Total!$C$2:$D$518,2,0)</f>
        <v>11 RPL 2</v>
      </c>
      <c r="F45" s="65" t="str">
        <f>VLOOKUP(C45,Total!$B$2:$F$514,5,0)</f>
        <v>AKTIF</v>
      </c>
      <c r="G45" s="67" t="str">
        <f>VLOOKUP($B45,master!$B$3:$S$600,16,0)</f>
        <v>08121583155</v>
      </c>
      <c r="H45" s="67" t="str">
        <f>VLOOKUP($B45,master!$B$3:$S$600,17,0)</f>
        <v>089531063610</v>
      </c>
      <c r="I45" s="67" t="str">
        <f>VLOOKUP($B45,master!$B$3:$S$600,8,0)</f>
        <v>TEGALREJO</v>
      </c>
      <c r="J45" s="67" t="str">
        <f>VLOOKUP($B45,master!$B$3:$S$600,9,0)</f>
        <v>2</v>
      </c>
      <c r="K45" s="67" t="str">
        <f>VLOOKUP($B45,master!$B$3:$S$600,11,0)</f>
        <v>BAWURAN</v>
      </c>
      <c r="L45" s="67" t="str">
        <f>VLOOKUP($B45,master!$B$3:$S$600,12,0)</f>
        <v>PLERET</v>
      </c>
      <c r="M45" s="67" t="str">
        <f>VLOOKUP($B45,master!$B$3:$S$600,6,0)</f>
        <v>PURWANTANA</v>
      </c>
      <c r="N45" s="82" t="str">
        <f>VLOOKUP($B45,master!$B$3:$S$600,15,0)</f>
        <v>SMP N 2 PLERET</v>
      </c>
      <c r="O45" s="82" t="str">
        <f>VLOOKUP($B45,master!$B$3:$S$600,4,0)</f>
        <v>18-03-2008</v>
      </c>
    </row>
    <row r="46" spans="1:15" ht="15.75" customHeight="1" x14ac:dyDescent="0.25">
      <c r="A46" s="80" t="s">
        <v>640</v>
      </c>
      <c r="B46" s="11" t="s">
        <v>635</v>
      </c>
      <c r="C46" s="11" t="s">
        <v>5001</v>
      </c>
      <c r="D46" s="11" t="s">
        <v>486</v>
      </c>
      <c r="E46" s="65" t="str">
        <f>VLOOKUP(D46,Total!$C$2:$D$518,2,0)</f>
        <v>11 RPL 2</v>
      </c>
      <c r="F46" s="65" t="str">
        <f>VLOOKUP(C46,Total!$B$2:$F$514,5,0)</f>
        <v>AKTIF</v>
      </c>
      <c r="G46" s="67" t="str">
        <f>VLOOKUP($B46,master!$B$3:$S$600,16,0)</f>
        <v>081546583209</v>
      </c>
      <c r="H46" s="67" t="str">
        <f>VLOOKUP($B46,master!$B$3:$S$600,17,0)</f>
        <v>085869703713</v>
      </c>
      <c r="I46" s="67" t="str">
        <f>VLOOKUP($B46,master!$B$3:$S$600,8,0)</f>
        <v>KADISORO</v>
      </c>
      <c r="J46" s="67" t="str">
        <f>VLOOKUP($B46,master!$B$3:$S$600,9,0)</f>
        <v>03</v>
      </c>
      <c r="K46" s="67" t="str">
        <f>VLOOKUP($B46,master!$B$3:$S$600,11,0)</f>
        <v>GILANGHARJO</v>
      </c>
      <c r="L46" s="67" t="str">
        <f>VLOOKUP($B46,master!$B$3:$S$600,12,0)</f>
        <v>PANDAK</v>
      </c>
      <c r="M46" s="67" t="str">
        <f>VLOOKUP($B46,master!$B$3:$S$600,6,0)</f>
        <v>HERI SUBAGIYO KISWANTORO</v>
      </c>
      <c r="N46" s="82" t="str">
        <f>VLOOKUP($B46,master!$B$3:$S$600,15,0)</f>
        <v>SMP N 3 PANDAK</v>
      </c>
      <c r="O46" s="82" t="str">
        <f>VLOOKUP($B46,master!$B$3:$S$600,4,0)</f>
        <v>3-04-2008</v>
      </c>
    </row>
    <row r="47" spans="1:15" ht="15.75" customHeight="1" x14ac:dyDescent="0.25">
      <c r="A47" s="80" t="s">
        <v>642</v>
      </c>
      <c r="B47" s="11" t="s">
        <v>637</v>
      </c>
      <c r="C47" s="11" t="s">
        <v>5002</v>
      </c>
      <c r="D47" s="11" t="s">
        <v>487</v>
      </c>
      <c r="E47" s="65" t="str">
        <f>VLOOKUP(D47,Total!$C$2:$D$518,2,0)</f>
        <v>11 RPL 2</v>
      </c>
      <c r="F47" s="65" t="str">
        <f>VLOOKUP(C47,Total!$B$2:$F$514,5,0)</f>
        <v>AKTIF</v>
      </c>
      <c r="G47" s="67" t="str">
        <f>VLOOKUP($B47,master!$B$3:$S$600,16,0)</f>
        <v>0895337689587</v>
      </c>
      <c r="H47" s="67" t="str">
        <f>VLOOKUP($B47,master!$B$3:$S$600,17,0)</f>
        <v>0895337689587</v>
      </c>
      <c r="I47" s="67" t="str">
        <f>VLOOKUP($B47,master!$B$3:$S$600,8,0)</f>
        <v>Glugo</v>
      </c>
      <c r="J47" s="67" t="str">
        <f>VLOOKUP($B47,master!$B$3:$S$600,9,0)</f>
        <v>08</v>
      </c>
      <c r="K47" s="67" t="str">
        <f>VLOOKUP($B47,master!$B$3:$S$600,11,0)</f>
        <v>PANGGUNGHARJO</v>
      </c>
      <c r="L47" s="67" t="str">
        <f>VLOOKUP($B47,master!$B$3:$S$600,12,0)</f>
        <v>SEWON</v>
      </c>
      <c r="M47" s="67" t="str">
        <f>VLOOKUP($B47,master!$B$3:$S$600,6,0)</f>
        <v>Ismanto</v>
      </c>
      <c r="N47" s="82" t="str">
        <f>VLOOKUP($B47,master!$B$3:$S$600,15,0)</f>
        <v>MTS N 1 BANTUL</v>
      </c>
      <c r="O47" s="82" t="str">
        <f>VLOOKUP($B47,master!$B$3:$S$600,4,0)</f>
        <v>13-03-2009</v>
      </c>
    </row>
    <row r="48" spans="1:15" ht="15.75" customHeight="1" x14ac:dyDescent="0.25">
      <c r="A48" s="80" t="s">
        <v>644</v>
      </c>
      <c r="B48" s="11" t="s">
        <v>639</v>
      </c>
      <c r="C48" s="11" t="s">
        <v>5003</v>
      </c>
      <c r="D48" s="11" t="s">
        <v>488</v>
      </c>
      <c r="E48" s="65" t="str">
        <f>VLOOKUP(D48,Total!$C$2:$D$518,2,0)</f>
        <v>11 RPL 2</v>
      </c>
      <c r="F48" s="65" t="str">
        <f>VLOOKUP(C48,Total!$B$2:$F$514,5,0)</f>
        <v>AKTIF</v>
      </c>
      <c r="G48" s="67" t="str">
        <f>VLOOKUP($B48,master!$B$3:$S$600,16,0)</f>
        <v>8174116504</v>
      </c>
      <c r="H48" s="67" t="str">
        <f>VLOOKUP($B48,master!$B$3:$S$600,17,0)</f>
        <v>0</v>
      </c>
      <c r="I48" s="67" t="str">
        <f>VLOOKUP($B48,master!$B$3:$S$600,8,0)</f>
        <v>MANDING</v>
      </c>
      <c r="J48" s="67" t="str">
        <f>VLOOKUP($B48,master!$B$3:$S$600,9,0)</f>
        <v>7</v>
      </c>
      <c r="K48" s="67" t="str">
        <f>VLOOKUP($B48,master!$B$3:$S$600,11,0)</f>
        <v>SABDODADI</v>
      </c>
      <c r="L48" s="67" t="str">
        <f>VLOOKUP($B48,master!$B$3:$S$600,12,0)</f>
        <v>BANTUL</v>
      </c>
      <c r="M48" s="67" t="str">
        <f>VLOOKUP($B48,master!$B$3:$S$600,6,0)</f>
        <v>RUMANTO</v>
      </c>
      <c r="N48" s="82" t="str">
        <f>VLOOKUP($B48,master!$B$3:$S$600,15,0)</f>
        <v>MTS MUHAMMADIYAH BANTUL</v>
      </c>
      <c r="O48" s="82" t="str">
        <f>VLOOKUP($B48,master!$B$3:$S$600,4,0)</f>
        <v>29-10-2008</v>
      </c>
    </row>
    <row r="49" spans="1:15" ht="15.75" customHeight="1" x14ac:dyDescent="0.25">
      <c r="A49" s="80" t="s">
        <v>646</v>
      </c>
      <c r="B49" s="11" t="s">
        <v>641</v>
      </c>
      <c r="C49" s="11" t="s">
        <v>5004</v>
      </c>
      <c r="D49" s="11" t="s">
        <v>489</v>
      </c>
      <c r="E49" s="65" t="str">
        <f>VLOOKUP(D49,Total!$C$2:$D$518,2,0)</f>
        <v>11 RPL 2</v>
      </c>
      <c r="F49" s="65" t="str">
        <f>VLOOKUP(C49,Total!$B$2:$F$514,5,0)</f>
        <v>AKTIF</v>
      </c>
      <c r="G49" s="67" t="str">
        <f>VLOOKUP($B49,master!$B$3:$S$600,16,0)</f>
        <v>085104894147</v>
      </c>
      <c r="H49" s="67" t="str">
        <f>VLOOKUP($B49,master!$B$3:$S$600,17,0)</f>
        <v>0882007632172</v>
      </c>
      <c r="I49" s="67" t="str">
        <f>VLOOKUP($B49,master!$B$3:$S$600,8,0)</f>
        <v>BAKULAN</v>
      </c>
      <c r="J49" s="67" t="str">
        <f>VLOOKUP($B49,master!$B$3:$S$600,9,0)</f>
        <v>01</v>
      </c>
      <c r="K49" s="67" t="str">
        <f>VLOOKUP($B49,master!$B$3:$S$600,11,0)</f>
        <v>TRIRENGGO</v>
      </c>
      <c r="L49" s="67" t="str">
        <f>VLOOKUP($B49,master!$B$3:$S$600,12,0)</f>
        <v>BANTUL</v>
      </c>
      <c r="M49" s="67" t="str">
        <f>VLOOKUP($B49,master!$B$3:$S$600,6,0)</f>
        <v>SUGIRI</v>
      </c>
      <c r="N49" s="82" t="str">
        <f>VLOOKUP($B49,master!$B$3:$S$600,15,0)</f>
        <v>PKBM BINA SEKAR MELATI</v>
      </c>
      <c r="O49" s="82" t="str">
        <f>VLOOKUP($B49,master!$B$3:$S$600,4,0)</f>
        <v>4-05-2008</v>
      </c>
    </row>
    <row r="50" spans="1:15" ht="15.75" customHeight="1" x14ac:dyDescent="0.25">
      <c r="A50" s="80" t="s">
        <v>648</v>
      </c>
      <c r="B50" s="11" t="s">
        <v>643</v>
      </c>
      <c r="C50" s="11" t="s">
        <v>5005</v>
      </c>
      <c r="D50" s="11" t="s">
        <v>490</v>
      </c>
      <c r="E50" s="65" t="str">
        <f>VLOOKUP(D50,Total!$C$2:$D$518,2,0)</f>
        <v>11 RPL 2</v>
      </c>
      <c r="F50" s="65" t="str">
        <f>VLOOKUP(C50,Total!$B$2:$F$514,5,0)</f>
        <v>AKTIF</v>
      </c>
      <c r="G50" s="67" t="str">
        <f>VLOOKUP($B50,master!$B$3:$S$600,16,0)</f>
        <v>087739180313</v>
      </c>
      <c r="H50" s="67" t="str">
        <f>VLOOKUP($B50,master!$B$3:$S$600,17,0)</f>
        <v>085293320469</v>
      </c>
      <c r="I50" s="67" t="str">
        <f>VLOOKUP($B50,master!$B$3:$S$600,8,0)</f>
        <v>JEMBANGAN</v>
      </c>
      <c r="J50" s="67" t="str">
        <f>VLOOKUP($B50,master!$B$3:$S$600,9,0)</f>
        <v>6</v>
      </c>
      <c r="K50" s="67" t="str">
        <f>VLOOKUP($B50,master!$B$3:$S$600,11,0)</f>
        <v>SEGOROYOSO</v>
      </c>
      <c r="L50" s="67" t="str">
        <f>VLOOKUP($B50,master!$B$3:$S$600,12,0)</f>
        <v>PLERET</v>
      </c>
      <c r="M50" s="67" t="str">
        <f>VLOOKUP($B50,master!$B$3:$S$600,6,0)</f>
        <v>PRATIWI</v>
      </c>
      <c r="N50" s="82" t="str">
        <f>VLOOKUP($B50,master!$B$3:$S$600,15,0)</f>
        <v>MTS AL-MAHALLI</v>
      </c>
      <c r="O50" s="82" t="str">
        <f>VLOOKUP($B50,master!$B$3:$S$600,4,0)</f>
        <v>17-01-2008</v>
      </c>
    </row>
    <row r="51" spans="1:15" ht="15.75" customHeight="1" x14ac:dyDescent="0.25">
      <c r="A51" s="80" t="s">
        <v>650</v>
      </c>
      <c r="B51" s="11" t="s">
        <v>645</v>
      </c>
      <c r="C51" s="11" t="s">
        <v>5006</v>
      </c>
      <c r="D51" s="11" t="s">
        <v>491</v>
      </c>
      <c r="E51" s="65" t="str">
        <f>VLOOKUP(D51,Total!$C$2:$D$518,2,0)</f>
        <v>11 RPL 2</v>
      </c>
      <c r="F51" s="65" t="str">
        <f>VLOOKUP(C51,Total!$B$2:$F$514,5,0)</f>
        <v>AKTIF</v>
      </c>
      <c r="G51" s="67" t="str">
        <f>VLOOKUP($B51,master!$B$3:$S$600,16,0)</f>
        <v>085643267872/08157907639</v>
      </c>
      <c r="H51" s="67" t="str">
        <f>VLOOKUP($B51,master!$B$3:$S$600,17,0)</f>
        <v>085643267872</v>
      </c>
      <c r="I51" s="67" t="str">
        <f>VLOOKUP($B51,master!$B$3:$S$600,8,0)</f>
        <v>KALANGAN</v>
      </c>
      <c r="J51" s="67" t="str">
        <f>VLOOKUP($B51,master!$B$3:$S$600,9,0)</f>
        <v>002</v>
      </c>
      <c r="K51" s="67" t="str">
        <f>VLOOKUP($B51,master!$B$3:$S$600,11,0)</f>
        <v>BANGUNJIWO</v>
      </c>
      <c r="L51" s="67" t="str">
        <f>VLOOKUP($B51,master!$B$3:$S$600,12,0)</f>
        <v>KASIHAN</v>
      </c>
      <c r="M51" s="67" t="str">
        <f>VLOOKUP($B51,master!$B$3:$S$600,6,0)</f>
        <v>PURWANDI</v>
      </c>
      <c r="N51" s="82" t="str">
        <f>VLOOKUP($B51,master!$B$3:$S$600,15,0)</f>
        <v>MTS ALHADI iI</v>
      </c>
      <c r="O51" s="82" t="str">
        <f>VLOOKUP($B51,master!$B$3:$S$600,4,0)</f>
        <v>20-01-2009</v>
      </c>
    </row>
    <row r="52" spans="1:15" ht="15.75" customHeight="1" x14ac:dyDescent="0.25">
      <c r="A52" s="80" t="s">
        <v>652</v>
      </c>
      <c r="B52" s="11" t="s">
        <v>647</v>
      </c>
      <c r="C52" s="11" t="s">
        <v>5007</v>
      </c>
      <c r="D52" s="11" t="s">
        <v>492</v>
      </c>
      <c r="E52" s="65" t="str">
        <f>VLOOKUP(D52,Total!$C$2:$D$518,2,0)</f>
        <v>11 RPL 2</v>
      </c>
      <c r="F52" s="65" t="str">
        <f>VLOOKUP(C52,Total!$B$2:$F$514,5,0)</f>
        <v>AKTIF</v>
      </c>
      <c r="G52" s="67" t="str">
        <f>VLOOKUP($B52,master!$B$3:$S$600,16,0)</f>
        <v>089650651117</v>
      </c>
      <c r="H52" s="67" t="str">
        <f>VLOOKUP($B52,master!$B$3:$S$600,17,0)</f>
        <v>089649596622</v>
      </c>
      <c r="I52" s="67" t="str">
        <f>VLOOKUP($B52,master!$B$3:$S$600,8,0)</f>
        <v>KALANGAN</v>
      </c>
      <c r="J52" s="67" t="str">
        <f>VLOOKUP($B52,master!$B$3:$S$600,9,0)</f>
        <v>006</v>
      </c>
      <c r="K52" s="67" t="str">
        <f>VLOOKUP($B52,master!$B$3:$S$600,11,0)</f>
        <v>BANGUNJIWO</v>
      </c>
      <c r="L52" s="67" t="str">
        <f>VLOOKUP($B52,master!$B$3:$S$600,12,0)</f>
        <v>KASIHAN</v>
      </c>
      <c r="M52" s="67" t="str">
        <f>VLOOKUP($B52,master!$B$3:$S$600,6,0)</f>
        <v>MAKMUN AFANDI</v>
      </c>
      <c r="N52" s="82" t="str">
        <f>VLOOKUP($B52,master!$B$3:$S$600,15,0)</f>
        <v>MTS N 4 BANTUL</v>
      </c>
      <c r="O52" s="82" t="str">
        <f>VLOOKUP($B52,master!$B$3:$S$600,4,0)</f>
        <v>29-09-2008</v>
      </c>
    </row>
    <row r="53" spans="1:15" ht="15.75" customHeight="1" x14ac:dyDescent="0.25">
      <c r="A53" s="80" t="s">
        <v>654</v>
      </c>
      <c r="B53" s="67" t="s">
        <v>4492</v>
      </c>
      <c r="C53" s="11" t="s">
        <v>5008</v>
      </c>
      <c r="D53" s="67" t="s">
        <v>4493</v>
      </c>
      <c r="E53" s="65" t="str">
        <f>VLOOKUP(D53,Total!$C$2:$D$518,2,0)</f>
        <v>11 RPL 2</v>
      </c>
      <c r="F53" s="65" t="str">
        <f>VLOOKUP(C53,Total!$B$2:$F$514,5,0)</f>
        <v>AKTIF</v>
      </c>
      <c r="G53" s="67" t="str">
        <f>VLOOKUP($B53,master!$B$3:$S$600,16,0)</f>
        <v>085326062881</v>
      </c>
      <c r="H53" s="67" t="str">
        <f>VLOOKUP($B53,master!$B$3:$S$600,17,0)</f>
        <v>081326879942</v>
      </c>
      <c r="I53" s="67" t="str">
        <f>VLOOKUP($B53,master!$B$3:$S$600,8,0)</f>
        <v>CEPOKO</v>
      </c>
      <c r="J53" s="67" t="str">
        <f>VLOOKUP($B53,master!$B$3:$S$600,9,0)</f>
        <v>6</v>
      </c>
      <c r="K53" s="67" t="str">
        <f>VLOOKUP($B53,master!$B$3:$S$600,11,0)</f>
        <v>TRIRENGGO</v>
      </c>
      <c r="L53" s="67" t="str">
        <f>VLOOKUP($B53,master!$B$3:$S$600,12,0)</f>
        <v>BANTUL</v>
      </c>
      <c r="M53" s="67" t="str">
        <f>VLOOKUP($B53,master!$B$3:$S$600,6,0)</f>
        <v>SARJIMAN</v>
      </c>
      <c r="N53" s="82" t="str">
        <f>VLOOKUP($B53,master!$B$3:$S$600,15,0)</f>
        <v>SMP N 3 BANTUL</v>
      </c>
      <c r="O53" s="82" t="str">
        <f>VLOOKUP($B53,master!$B$3:$S$600,4,0)</f>
        <v>27-06-2008</v>
      </c>
    </row>
    <row r="54" spans="1:15" ht="15.75" customHeight="1" x14ac:dyDescent="0.25">
      <c r="A54" s="80" t="s">
        <v>656</v>
      </c>
      <c r="B54" s="11" t="s">
        <v>649</v>
      </c>
      <c r="C54" s="11" t="s">
        <v>5009</v>
      </c>
      <c r="D54" s="11" t="s">
        <v>493</v>
      </c>
      <c r="E54" s="65" t="str">
        <f>VLOOKUP(D54,Total!$C$2:$D$518,2,0)</f>
        <v>11 RPL 2</v>
      </c>
      <c r="F54" s="65" t="str">
        <f>VLOOKUP(C54,Total!$B$2:$F$514,5,0)</f>
        <v>AKTIF</v>
      </c>
      <c r="G54" s="67" t="str">
        <f>VLOOKUP($B54,master!$B$3:$S$600,16,0)</f>
        <v>087838229090</v>
      </c>
      <c r="H54" s="67" t="str">
        <f>VLOOKUP($B54,master!$B$3:$S$600,17,0)</f>
        <v>085713636603</v>
      </c>
      <c r="I54" s="67" t="str">
        <f>VLOOKUP($B54,master!$B$3:$S$600,8,0)</f>
        <v>CEPOR LOR</v>
      </c>
      <c r="J54" s="67" t="str">
        <f>VLOOKUP($B54,master!$B$3:$S$600,9,0)</f>
        <v>1</v>
      </c>
      <c r="K54" s="67" t="str">
        <f>VLOOKUP($B54,master!$B$3:$S$600,11,0)</f>
        <v>PALBAPANG</v>
      </c>
      <c r="L54" s="67" t="str">
        <f>VLOOKUP($B54,master!$B$3:$S$600,12,0)</f>
        <v>BANTUL</v>
      </c>
      <c r="M54" s="67" t="str">
        <f>VLOOKUP($B54,master!$B$3:$S$600,6,0)</f>
        <v>OLIV UNTORO WARSO</v>
      </c>
      <c r="N54" s="82" t="str">
        <f>VLOOKUP($B54,master!$B$3:$S$600,15,0)</f>
        <v>MTS MUHAMMADIYAH BANTUL</v>
      </c>
      <c r="O54" s="82" t="str">
        <f>VLOOKUP($B54,master!$B$3:$S$600,4,0)</f>
        <v>5-03-2008</v>
      </c>
    </row>
    <row r="55" spans="1:15" ht="15.75" customHeight="1" x14ac:dyDescent="0.25">
      <c r="A55" s="80" t="s">
        <v>658</v>
      </c>
      <c r="B55" s="107" t="s">
        <v>5079</v>
      </c>
      <c r="C55" s="11" t="s">
        <v>5098</v>
      </c>
      <c r="D55" s="107" t="s">
        <v>5080</v>
      </c>
      <c r="E55" s="117" t="str">
        <f>VLOOKUP(D55,Total!$C$2:$D$518,2,0)</f>
        <v>11 RPL 2</v>
      </c>
      <c r="F55" s="65" t="str">
        <f>VLOOKUP(C55,Total!$B$2:$F$514,5,0)</f>
        <v>AKTIF</v>
      </c>
      <c r="G55" s="67" t="str">
        <f>VLOOKUP($B55,master!$B$3:$S$600,16,0)</f>
        <v>087734854436</v>
      </c>
      <c r="H55" s="67" t="str">
        <f>VLOOKUP($B55,master!$B$3:$S$600,17,0)</f>
        <v>0895421880479</v>
      </c>
      <c r="I55" s="67" t="str">
        <f>VLOOKUP($B55,master!$B$3:$S$600,8,0)</f>
        <v>KOWANG</v>
      </c>
      <c r="J55" s="67" t="str">
        <f>VLOOKUP($B55,master!$B$3:$S$600,9,0)</f>
        <v>8</v>
      </c>
      <c r="K55" s="67" t="str">
        <f>VLOOKUP($B55,master!$B$3:$S$600,11,0)</f>
        <v>TRIMULYO</v>
      </c>
      <c r="L55" s="67" t="str">
        <f>VLOOKUP($B55,master!$B$3:$S$600,12,0)</f>
        <v>JETIS</v>
      </c>
      <c r="M55" s="67" t="str">
        <f>VLOOKUP($B55,master!$B$3:$S$600,6,0)</f>
        <v>HARYANI</v>
      </c>
      <c r="N55" s="82" t="str">
        <f>VLOOKUP($B55,master!$B$3:$S$600,15,0)</f>
        <v>SMP N 2 JETIS</v>
      </c>
      <c r="O55" s="82" t="str">
        <f>VLOOKUP($B55,master!$B$3:$S$600,4,0)</f>
        <v>26-07-2008</v>
      </c>
    </row>
    <row r="56" spans="1:15" ht="15.75" customHeight="1" x14ac:dyDescent="0.25">
      <c r="A56" s="80" t="s">
        <v>660</v>
      </c>
      <c r="B56" s="11" t="s">
        <v>651</v>
      </c>
      <c r="C56" s="11" t="s">
        <v>5010</v>
      </c>
      <c r="D56" s="11" t="s">
        <v>494</v>
      </c>
      <c r="E56" s="65" t="str">
        <f>VLOOKUP(D56,Total!$C$2:$D$518,2,0)</f>
        <v>11 RPL 2</v>
      </c>
      <c r="F56" s="65" t="str">
        <f>VLOOKUP(C56,Total!$B$2:$F$514,5,0)</f>
        <v>AKTIF</v>
      </c>
      <c r="G56" s="67" t="str">
        <f>VLOOKUP($B56,master!$B$3:$S$600,16,0)</f>
        <v>085729973665</v>
      </c>
      <c r="H56" s="67" t="str">
        <f>VLOOKUP($B56,master!$B$3:$S$600,17,0)</f>
        <v>085600677855</v>
      </c>
      <c r="I56" s="67" t="str">
        <f>VLOOKUP($B56,master!$B$3:$S$600,8,0)</f>
        <v>WONOBROTO</v>
      </c>
      <c r="J56" s="67" t="str">
        <f>VLOOKUP($B56,master!$B$3:$S$600,9,0)</f>
        <v>15</v>
      </c>
      <c r="K56" s="67" t="str">
        <f>VLOOKUP($B56,master!$B$3:$S$600,11,0)</f>
        <v>TUKSONO</v>
      </c>
      <c r="L56" s="67" t="str">
        <f>VLOOKUP($B56,master!$B$3:$S$600,12,0)</f>
        <v>SENTOLO</v>
      </c>
      <c r="M56" s="67" t="str">
        <f>VLOOKUP($B56,master!$B$3:$S$600,6,0)</f>
        <v>Supratman</v>
      </c>
      <c r="N56" s="82" t="str">
        <f>VLOOKUP($B56,master!$B$3:$S$600,15,0)</f>
        <v>SMP MUHAMMADIYAH 2 LENDAH</v>
      </c>
      <c r="O56" s="82" t="str">
        <f>VLOOKUP($B56,master!$B$3:$S$600,4,0)</f>
        <v>21-10-2008</v>
      </c>
    </row>
    <row r="57" spans="1:15" ht="15.75" customHeight="1" x14ac:dyDescent="0.25">
      <c r="A57" s="80" t="s">
        <v>662</v>
      </c>
      <c r="B57" s="11" t="s">
        <v>653</v>
      </c>
      <c r="C57" s="11" t="s">
        <v>5011</v>
      </c>
      <c r="D57" s="11" t="s">
        <v>495</v>
      </c>
      <c r="E57" s="65" t="str">
        <f>VLOOKUP(D57,Total!$C$2:$D$518,2,0)</f>
        <v>11 RPL 2</v>
      </c>
      <c r="F57" s="65" t="str">
        <f>VLOOKUP(C57,Total!$B$2:$F$514,5,0)</f>
        <v>AKTIF</v>
      </c>
      <c r="G57" s="67" t="str">
        <f>VLOOKUP($B57,master!$B$3:$S$600,16,0)</f>
        <v>08986672185</v>
      </c>
      <c r="H57" s="67" t="str">
        <f>VLOOKUP($B57,master!$B$3:$S$600,17,0)</f>
        <v>089603895731</v>
      </c>
      <c r="I57" s="67" t="str">
        <f>VLOOKUP($B57,master!$B$3:$S$600,8,0)</f>
        <v>KALIPAKIS</v>
      </c>
      <c r="J57" s="67" t="str">
        <f>VLOOKUP($B57,master!$B$3:$S$600,9,0)</f>
        <v>3</v>
      </c>
      <c r="K57" s="67" t="str">
        <f>VLOOKUP($B57,master!$B$3:$S$600,11,0)</f>
        <v>TIRTONIRMOLO</v>
      </c>
      <c r="L57" s="67" t="str">
        <f>VLOOKUP($B57,master!$B$3:$S$600,12,0)</f>
        <v>KASIHAN</v>
      </c>
      <c r="M57" s="67" t="str">
        <f>VLOOKUP($B57,master!$B$3:$S$600,6,0)</f>
        <v>TRI MUJIYONO</v>
      </c>
      <c r="N57" s="82" t="str">
        <f>VLOOKUP($B57,master!$B$3:$S$600,15,0)</f>
        <v>SMP MATARAM</v>
      </c>
      <c r="O57" s="82" t="str">
        <f>VLOOKUP($B57,master!$B$3:$S$600,4,0)</f>
        <v>27-09-2008</v>
      </c>
    </row>
    <row r="58" spans="1:15" ht="15.75" customHeight="1" x14ac:dyDescent="0.25">
      <c r="A58" s="80" t="s">
        <v>664</v>
      </c>
      <c r="B58" s="11" t="s">
        <v>655</v>
      </c>
      <c r="C58" s="11" t="s">
        <v>5012</v>
      </c>
      <c r="D58" s="11" t="s">
        <v>496</v>
      </c>
      <c r="E58" s="65" t="str">
        <f>VLOOKUP(D58,Total!$C$2:$D$518,2,0)</f>
        <v>11 RPL 2</v>
      </c>
      <c r="F58" s="65" t="str">
        <f>VLOOKUP(C58,Total!$B$2:$F$514,5,0)</f>
        <v>AKTIF</v>
      </c>
      <c r="G58" s="67" t="str">
        <f>VLOOKUP($B58,master!$B$3:$S$600,16,0)</f>
        <v>85229831578</v>
      </c>
      <c r="H58" s="67" t="str">
        <f>VLOOKUP($B58,master!$B$3:$S$600,17,0)</f>
        <v>0</v>
      </c>
      <c r="I58" s="67" t="str">
        <f>VLOOKUP($B58,master!$B$3:$S$600,8,0)</f>
        <v>JUWONO</v>
      </c>
      <c r="J58" s="67" t="str">
        <f>VLOOKUP($B58,master!$B$3:$S$600,9,0)</f>
        <v>6</v>
      </c>
      <c r="K58" s="67" t="str">
        <f>VLOOKUP($B58,master!$B$3:$S$600,11,0)</f>
        <v>TRIHARJO</v>
      </c>
      <c r="L58" s="67" t="str">
        <f>VLOOKUP($B58,master!$B$3:$S$600,12,0)</f>
        <v>PANDAK</v>
      </c>
      <c r="M58" s="67" t="str">
        <f>VLOOKUP($B58,master!$B$3:$S$600,6,0)</f>
        <v>SUGITO</v>
      </c>
      <c r="N58" s="82" t="str">
        <f>VLOOKUP($B58,master!$B$3:$S$600,15,0)</f>
        <v>MTS N 4 BANTUL</v>
      </c>
      <c r="O58" s="82" t="str">
        <f>VLOOKUP($B58,master!$B$3:$S$600,4,0)</f>
        <v>23-01-2009</v>
      </c>
    </row>
    <row r="59" spans="1:15" ht="15.75" customHeight="1" x14ac:dyDescent="0.25">
      <c r="A59" s="80" t="s">
        <v>666</v>
      </c>
      <c r="B59" s="11" t="s">
        <v>657</v>
      </c>
      <c r="C59" s="11" t="s">
        <v>5013</v>
      </c>
      <c r="D59" s="11" t="s">
        <v>497</v>
      </c>
      <c r="E59" s="65" t="str">
        <f>VLOOKUP(D59,Total!$C$2:$D$518,2,0)</f>
        <v>11 RPL 2</v>
      </c>
      <c r="F59" s="65" t="str">
        <f>VLOOKUP(C59,Total!$B$2:$F$514,5,0)</f>
        <v>AKTIF</v>
      </c>
      <c r="G59" s="67" t="str">
        <f>VLOOKUP($B59,master!$B$3:$S$600,16,0)</f>
        <v>089687704288</v>
      </c>
      <c r="H59" s="67" t="str">
        <f>VLOOKUP($B59,master!$B$3:$S$600,17,0)</f>
        <v>0895424191080</v>
      </c>
      <c r="I59" s="67" t="str">
        <f>VLOOKUP($B59,master!$B$3:$S$600,8,0)</f>
        <v>PRIYAN</v>
      </c>
      <c r="J59" s="67" t="str">
        <f>VLOOKUP($B59,master!$B$3:$S$600,9,0)</f>
        <v>7</v>
      </c>
      <c r="K59" s="67" t="str">
        <f>VLOOKUP($B59,master!$B$3:$S$600,11,0)</f>
        <v>TRIRENGGO</v>
      </c>
      <c r="L59" s="67" t="str">
        <f>VLOOKUP($B59,master!$B$3:$S$600,12,0)</f>
        <v>BANTUL</v>
      </c>
      <c r="M59" s="67" t="str">
        <f>VLOOKUP($B59,master!$B$3:$S$600,6,0)</f>
        <v>DRS MUJANI</v>
      </c>
      <c r="N59" s="82" t="str">
        <f>VLOOKUP($B59,master!$B$3:$S$600,15,0)</f>
        <v>SMP N 3 BANTUL</v>
      </c>
      <c r="O59" s="82" t="str">
        <f>VLOOKUP($B59,master!$B$3:$S$600,4,0)</f>
        <v>22-10-2008</v>
      </c>
    </row>
    <row r="60" spans="1:15" ht="15.75" customHeight="1" x14ac:dyDescent="0.25">
      <c r="A60" s="80" t="s">
        <v>668</v>
      </c>
      <c r="B60" s="11" t="s">
        <v>659</v>
      </c>
      <c r="C60" s="11" t="s">
        <v>5014</v>
      </c>
      <c r="D60" s="11" t="s">
        <v>498</v>
      </c>
      <c r="E60" s="65" t="str">
        <f>VLOOKUP(D60,Total!$C$2:$D$518,2,0)</f>
        <v>11 RPL 3</v>
      </c>
      <c r="F60" s="65" t="str">
        <f>VLOOKUP(C60,Total!$B$2:$F$514,5,0)</f>
        <v>AKTIF</v>
      </c>
      <c r="G60" s="67" t="str">
        <f>VLOOKUP($B60,master!$B$3:$S$600,16,0)</f>
        <v>085227091770</v>
      </c>
      <c r="H60" s="67" t="str">
        <f>VLOOKUP($B60,master!$B$3:$S$600,17,0)</f>
        <v>088228401429</v>
      </c>
      <c r="I60" s="67" t="str">
        <f>VLOOKUP($B60,master!$B$3:$S$600,8,0)</f>
        <v>JEJERAN iI</v>
      </c>
      <c r="J60" s="67" t="str">
        <f>VLOOKUP($B60,master!$B$3:$S$600,9,0)</f>
        <v>005</v>
      </c>
      <c r="K60" s="67" t="str">
        <f>VLOOKUP($B60,master!$B$3:$S$600,11,0)</f>
        <v>WONOKROMO</v>
      </c>
      <c r="L60" s="67" t="str">
        <f>VLOOKUP($B60,master!$B$3:$S$600,12,0)</f>
        <v>PLERET</v>
      </c>
      <c r="M60" s="67" t="str">
        <f>VLOOKUP($B60,master!$B$3:$S$600,6,0)</f>
        <v>MAISAROH</v>
      </c>
      <c r="N60" s="82" t="str">
        <f>VLOOKUP($B60,master!$B$3:$S$600,15,0)</f>
        <v>SMP N 1 PLERET</v>
      </c>
      <c r="O60" s="82" t="str">
        <f>VLOOKUP($B60,master!$B$3:$S$600,4,0)</f>
        <v>20-05-2008</v>
      </c>
    </row>
    <row r="61" spans="1:15" ht="15.75" customHeight="1" x14ac:dyDescent="0.25">
      <c r="A61" s="80" t="s">
        <v>670</v>
      </c>
      <c r="B61" s="11" t="s">
        <v>661</v>
      </c>
      <c r="C61" s="11" t="s">
        <v>5015</v>
      </c>
      <c r="D61" s="11" t="s">
        <v>499</v>
      </c>
      <c r="E61" s="65" t="str">
        <f>VLOOKUP(D61,Total!$C$2:$D$518,2,0)</f>
        <v>11 RPL 3</v>
      </c>
      <c r="F61" s="65" t="str">
        <f>VLOOKUP(C61,Total!$B$2:$F$514,5,0)</f>
        <v>AKTIF</v>
      </c>
      <c r="G61" s="67" t="str">
        <f>VLOOKUP($B61,master!$B$3:$S$600,16,0)</f>
        <v>088233012295</v>
      </c>
      <c r="H61" s="67" t="str">
        <f>VLOOKUP($B61,master!$B$3:$S$600,17,0)</f>
        <v>083109679747</v>
      </c>
      <c r="I61" s="67" t="str">
        <f>VLOOKUP($B61,master!$B$3:$S$600,8,0)</f>
        <v>PRINGGADING</v>
      </c>
      <c r="J61" s="67" t="str">
        <f>VLOOKUP($B61,master!$B$3:$S$600,9,0)</f>
        <v>6</v>
      </c>
      <c r="K61" s="67" t="str">
        <f>VLOOKUP($B61,master!$B$3:$S$600,11,0)</f>
        <v>GUWOSARI</v>
      </c>
      <c r="L61" s="67" t="str">
        <f>VLOOKUP($B61,master!$B$3:$S$600,12,0)</f>
        <v>PAJANGAN</v>
      </c>
      <c r="M61" s="67" t="str">
        <f>VLOOKUP($B61,master!$B$3:$S$600,6,0)</f>
        <v>RIRIN MIDAYANTI</v>
      </c>
      <c r="N61" s="82" t="str">
        <f>VLOOKUP($B61,master!$B$3:$S$600,15,0)</f>
        <v>SMP N 1 WIROSARI</v>
      </c>
      <c r="O61" s="82" t="str">
        <f>VLOOKUP($B61,master!$B$3:$S$600,4,0)</f>
        <v>2-09-2008</v>
      </c>
    </row>
    <row r="62" spans="1:15" ht="15.75" customHeight="1" x14ac:dyDescent="0.25">
      <c r="A62" s="80" t="s">
        <v>672</v>
      </c>
      <c r="B62" s="107" t="s">
        <v>5100</v>
      </c>
      <c r="C62" s="11" t="s">
        <v>5106</v>
      </c>
      <c r="D62" s="107" t="s">
        <v>5101</v>
      </c>
      <c r="E62" s="65" t="str">
        <f>VLOOKUP(D62,Total!$C$2:$D$518,2,0)</f>
        <v>11 RPL 3</v>
      </c>
      <c r="F62" s="65" t="str">
        <f>VLOOKUP(C62,Total!$B$2:$F$514,5,0)</f>
        <v>AKTIF</v>
      </c>
      <c r="G62" s="67" t="str">
        <f>VLOOKUP($B62,master!$B$3:$S$600,16,0)</f>
        <v>082136252979</v>
      </c>
      <c r="H62" s="67" t="str">
        <f>VLOOKUP($B62,master!$B$3:$S$600,17,0)</f>
        <v>083822248798</v>
      </c>
      <c r="I62" s="67" t="str">
        <f>VLOOKUP($B62,master!$B$3:$S$600,8,0)</f>
        <v>SAMBIKEREP</v>
      </c>
      <c r="J62" s="67" t="str">
        <f>VLOOKUP($B62,master!$B$3:$S$600,9,0)</f>
        <v>2</v>
      </c>
      <c r="K62" s="67" t="str">
        <f>VLOOKUP($B62,master!$B$3:$S$600,11,0)</f>
        <v>BANGUNJIWO</v>
      </c>
      <c r="L62" s="67" t="str">
        <f>VLOOKUP($B62,master!$B$3:$S$600,12,0)</f>
        <v>KASIHAN</v>
      </c>
      <c r="M62" s="67" t="str">
        <f>VLOOKUP($B62,master!$B$3:$S$600,6,0)</f>
        <v>SUMPENO PRIYANTO</v>
      </c>
      <c r="N62" s="82" t="str">
        <f>VLOOKUP($B62,master!$B$3:$S$600,15,0)</f>
        <v>MTS MUHAMMADIYAH KASIHAN</v>
      </c>
      <c r="O62" s="82" t="str">
        <f>VLOOKUP($B62,master!$B$3:$S$600,4,0)</f>
        <v>6-04-2009</v>
      </c>
    </row>
    <row r="63" spans="1:15" ht="15.75" customHeight="1" x14ac:dyDescent="0.25">
      <c r="A63" s="80" t="s">
        <v>674</v>
      </c>
      <c r="B63" s="11" t="s">
        <v>663</v>
      </c>
      <c r="C63" s="11" t="s">
        <v>5016</v>
      </c>
      <c r="D63" s="11" t="s">
        <v>500</v>
      </c>
      <c r="E63" s="65" t="str">
        <f>VLOOKUP(D63,Total!$C$2:$D$518,2,0)</f>
        <v>11 RPL 3</v>
      </c>
      <c r="F63" s="65" t="str">
        <f>VLOOKUP(C63,Total!$B$2:$F$514,5,0)</f>
        <v>AKTIF</v>
      </c>
      <c r="G63" s="67" t="str">
        <f>VLOOKUP($B63,master!$B$3:$S$600,16,0)</f>
        <v>088221260292</v>
      </c>
      <c r="H63" s="67" t="str">
        <f>VLOOKUP($B63,master!$B$3:$S$600,17,0)</f>
        <v>0</v>
      </c>
      <c r="I63" s="67" t="str">
        <f>VLOOKUP($B63,master!$B$3:$S$600,8,0)</f>
        <v>KEPEK</v>
      </c>
      <c r="J63" s="67" t="str">
        <f>VLOOKUP($B63,master!$B$3:$S$600,9,0)</f>
        <v>5</v>
      </c>
      <c r="K63" s="67" t="str">
        <f>VLOOKUP($B63,master!$B$3:$S$600,11,0)</f>
        <v>TIMBULHARJO</v>
      </c>
      <c r="L63" s="67" t="str">
        <f>VLOOKUP($B63,master!$B$3:$S$600,12,0)</f>
        <v>SEWON</v>
      </c>
      <c r="M63" s="67" t="str">
        <f>VLOOKUP($B63,master!$B$3:$S$600,6,0)</f>
        <v>SUBEKTI</v>
      </c>
      <c r="N63" s="82" t="str">
        <f>VLOOKUP($B63,master!$B$3:$S$600,15,0)</f>
        <v>MTS N 2 BANTUL</v>
      </c>
      <c r="O63" s="82" t="str">
        <f>VLOOKUP($B63,master!$B$3:$S$600,4,0)</f>
        <v>28-05-2008</v>
      </c>
    </row>
    <row r="64" spans="1:15" ht="15.75" customHeight="1" x14ac:dyDescent="0.25">
      <c r="A64" s="80" t="s">
        <v>676</v>
      </c>
      <c r="B64" s="11" t="s">
        <v>665</v>
      </c>
      <c r="C64" s="11" t="s">
        <v>5017</v>
      </c>
      <c r="D64" s="11" t="s">
        <v>501</v>
      </c>
      <c r="E64" s="65" t="str">
        <f>VLOOKUP(D64,Total!$C$2:$D$518,2,0)</f>
        <v>11 RPL 3</v>
      </c>
      <c r="F64" s="65" t="str">
        <f>VLOOKUP(C64,Total!$B$2:$F$514,5,0)</f>
        <v>AKTIF</v>
      </c>
      <c r="G64" s="67" t="str">
        <f>VLOOKUP($B64,master!$B$3:$S$600,16,0)</f>
        <v>0895622776004</v>
      </c>
      <c r="H64" s="67" t="str">
        <f>VLOOKUP($B64,master!$B$3:$S$600,17,0)</f>
        <v>081952731811</v>
      </c>
      <c r="I64" s="67" t="str">
        <f>VLOOKUP($B64,master!$B$3:$S$600,8,0)</f>
        <v>KEPEK</v>
      </c>
      <c r="J64" s="67" t="str">
        <f>VLOOKUP($B64,master!$B$3:$S$600,9,0)</f>
        <v>05</v>
      </c>
      <c r="K64" s="67" t="str">
        <f>VLOOKUP($B64,master!$B$3:$S$600,11,0)</f>
        <v>TIMBULHARJO</v>
      </c>
      <c r="L64" s="67" t="str">
        <f>VLOOKUP($B64,master!$B$3:$S$600,12,0)</f>
        <v>SEWON</v>
      </c>
      <c r="M64" s="67" t="str">
        <f>VLOOKUP($B64,master!$B$3:$S$600,6,0)</f>
        <v>ISWAHYUDI</v>
      </c>
      <c r="N64" s="82" t="str">
        <f>VLOOKUP($B64,master!$B$3:$S$600,15,0)</f>
        <v>SMP N 1 SEWON</v>
      </c>
      <c r="O64" s="82" t="str">
        <f>VLOOKUP($B64,master!$B$3:$S$600,4,0)</f>
        <v>3-08-2008</v>
      </c>
    </row>
    <row r="65" spans="1:15" ht="15.75" customHeight="1" x14ac:dyDescent="0.25">
      <c r="A65" s="80" t="s">
        <v>678</v>
      </c>
      <c r="B65" s="11" t="s">
        <v>667</v>
      </c>
      <c r="C65" s="11" t="s">
        <v>5018</v>
      </c>
      <c r="D65" s="11" t="s">
        <v>502</v>
      </c>
      <c r="E65" s="65" t="str">
        <f>VLOOKUP(D65,Total!$C$2:$D$518,2,0)</f>
        <v>11 RPL 3</v>
      </c>
      <c r="F65" s="65" t="str">
        <f>VLOOKUP(C65,Total!$B$2:$F$514,5,0)</f>
        <v>AKTIF</v>
      </c>
      <c r="G65" s="67" t="str">
        <f>VLOOKUP($B65,master!$B$3:$S$600,16,0)</f>
        <v>089607099604/0895405055223</v>
      </c>
      <c r="H65" s="67" t="str">
        <f>VLOOKUP($B65,master!$B$3:$S$600,17,0)</f>
        <v>085641800221</v>
      </c>
      <c r="I65" s="67" t="str">
        <f>VLOOKUP($B65,master!$B$3:$S$600,8,0)</f>
        <v>Kepek</v>
      </c>
      <c r="J65" s="67" t="str">
        <f>VLOOKUP($B65,master!$B$3:$S$600,9,0)</f>
        <v>04</v>
      </c>
      <c r="K65" s="67" t="str">
        <f>VLOOKUP($B65,master!$B$3:$S$600,11,0)</f>
        <v>TIMBULHARJO</v>
      </c>
      <c r="L65" s="67" t="str">
        <f>VLOOKUP($B65,master!$B$3:$S$600,12,0)</f>
        <v>SEWON</v>
      </c>
      <c r="M65" s="67" t="str">
        <f>VLOOKUP($B65,master!$B$3:$S$600,6,0)</f>
        <v>Heri Surono/Dewi Wulandari</v>
      </c>
      <c r="N65" s="82" t="str">
        <f>VLOOKUP($B65,master!$B$3:$S$600,15,0)</f>
        <v>SMP N 1 PLERET</v>
      </c>
      <c r="O65" s="82" t="str">
        <f>VLOOKUP($B65,master!$B$3:$S$600,4,0)</f>
        <v>10-12-2008</v>
      </c>
    </row>
    <row r="66" spans="1:15" ht="15.75" customHeight="1" x14ac:dyDescent="0.25">
      <c r="A66" s="80" t="s">
        <v>680</v>
      </c>
      <c r="B66" s="11" t="s">
        <v>669</v>
      </c>
      <c r="C66" s="11" t="s">
        <v>5019</v>
      </c>
      <c r="D66" s="11" t="s">
        <v>503</v>
      </c>
      <c r="E66" s="65" t="str">
        <f>VLOOKUP(D66,Total!$C$2:$D$518,2,0)</f>
        <v>11 RPL 3</v>
      </c>
      <c r="F66" s="65" t="str">
        <f>VLOOKUP(C66,Total!$B$2:$F$514,5,0)</f>
        <v>AKTIF</v>
      </c>
      <c r="G66" s="67" t="str">
        <f>VLOOKUP($B66,master!$B$3:$S$600,16,0)</f>
        <v>081326626662</v>
      </c>
      <c r="H66" s="67" t="str">
        <f>VLOOKUP($B66,master!$B$3:$S$600,17,0)</f>
        <v>081229781811</v>
      </c>
      <c r="I66" s="67" t="str">
        <f>VLOOKUP($B66,master!$B$3:$S$600,8,0)</f>
        <v>Dk BERAN</v>
      </c>
      <c r="J66" s="67" t="str">
        <f>VLOOKUP($B66,master!$B$3:$S$600,9,0)</f>
        <v>05</v>
      </c>
      <c r="K66" s="67" t="str">
        <f>VLOOKUP($B66,master!$B$3:$S$600,11,0)</f>
        <v>CANDEN</v>
      </c>
      <c r="L66" s="67" t="str">
        <f>VLOOKUP($B66,master!$B$3:$S$600,12,0)</f>
        <v>JETIS</v>
      </c>
      <c r="M66" s="67" t="str">
        <f>VLOOKUP($B66,master!$B$3:$S$600,6,0)</f>
        <v>PARJIYANTI</v>
      </c>
      <c r="N66" s="82" t="str">
        <f>VLOOKUP($B66,master!$B$3:$S$600,15,0)</f>
        <v>SMP N 2 JETIS</v>
      </c>
      <c r="O66" s="82" t="str">
        <f>VLOOKUP($B66,master!$B$3:$S$600,4,0)</f>
        <v>17-01-2009</v>
      </c>
    </row>
    <row r="67" spans="1:15" ht="15.75" customHeight="1" x14ac:dyDescent="0.25">
      <c r="A67" s="80" t="s">
        <v>682</v>
      </c>
      <c r="B67" s="11" t="s">
        <v>671</v>
      </c>
      <c r="C67" s="11" t="s">
        <v>5020</v>
      </c>
      <c r="D67" s="11" t="s">
        <v>5097</v>
      </c>
      <c r="E67" s="65" t="str">
        <f>VLOOKUP(D67,Total!$C$2:$D$518,2,0)</f>
        <v>11 RPL 3</v>
      </c>
      <c r="F67" s="65" t="str">
        <f>VLOOKUP(C67,Total!$B$2:$F$514,5,0)</f>
        <v>AKTIF</v>
      </c>
      <c r="G67" s="67" t="str">
        <f>VLOOKUP($B67,master!$B$3:$S$600,16,0)</f>
        <v>089614477333</v>
      </c>
      <c r="H67" s="67" t="str">
        <f>VLOOKUP($B67,master!$B$3:$S$600,17,0)</f>
        <v>0895409354466</v>
      </c>
      <c r="I67" s="67" t="str">
        <f>VLOOKUP($B67,master!$B$3:$S$600,8,0)</f>
        <v>KALIPUTIH</v>
      </c>
      <c r="J67" s="67" t="str">
        <f>VLOOKUP($B67,master!$B$3:$S$600,9,0)</f>
        <v>45</v>
      </c>
      <c r="K67" s="67" t="str">
        <f>VLOOKUP($B67,master!$B$3:$S$600,11,0)</f>
        <v>PENDOWOHARJO</v>
      </c>
      <c r="L67" s="67" t="str">
        <f>VLOOKUP($B67,master!$B$3:$S$600,12,0)</f>
        <v>SEWON</v>
      </c>
      <c r="M67" s="67" t="str">
        <f>VLOOKUP($B67,master!$B$3:$S$600,6,0)</f>
        <v>bambang Wisasana</v>
      </c>
      <c r="N67" s="82" t="str">
        <f>VLOOKUP($B67,master!$B$3:$S$600,15,0)</f>
        <v>SMP MUHAMMADIYAH SEWON</v>
      </c>
      <c r="O67" s="82" t="str">
        <f>VLOOKUP($B67,master!$B$3:$S$600,4,0)</f>
        <v>10-09-2008</v>
      </c>
    </row>
    <row r="68" spans="1:15" ht="15.75" customHeight="1" x14ac:dyDescent="0.25">
      <c r="A68" s="80" t="s">
        <v>684</v>
      </c>
      <c r="B68" s="11" t="s">
        <v>673</v>
      </c>
      <c r="C68" s="11" t="s">
        <v>5021</v>
      </c>
      <c r="D68" s="11" t="s">
        <v>504</v>
      </c>
      <c r="E68" s="65" t="str">
        <f>VLOOKUP(D68,Total!$C$2:$D$518,2,0)</f>
        <v>11 RPL 3</v>
      </c>
      <c r="F68" s="65" t="str">
        <f>VLOOKUP(C68,Total!$B$2:$F$514,5,0)</f>
        <v>AKTIF</v>
      </c>
      <c r="G68" s="67" t="str">
        <f>VLOOKUP($B68,master!$B$3:$S$600,16,0)</f>
        <v>085725624973</v>
      </c>
      <c r="H68" s="67" t="str">
        <f>VLOOKUP($B68,master!$B$3:$S$600,17,0)</f>
        <v>085640115122</v>
      </c>
      <c r="I68" s="67" t="str">
        <f>VLOOKUP($B68,master!$B$3:$S$600,8,0)</f>
        <v>SOKA</v>
      </c>
      <c r="J68" s="67" t="str">
        <f>VLOOKUP($B68,master!$B$3:$S$600,9,0)</f>
        <v>01</v>
      </c>
      <c r="K68" s="67" t="str">
        <f>VLOOKUP($B68,master!$B$3:$S$600,11,0)</f>
        <v>SELOHARJO</v>
      </c>
      <c r="L68" s="67" t="str">
        <f>VLOOKUP($B68,master!$B$3:$S$600,12,0)</f>
        <v>PUNDONG</v>
      </c>
      <c r="M68" s="67" t="str">
        <f>VLOOKUP($B68,master!$B$3:$S$600,6,0)</f>
        <v>SUGIYANTO</v>
      </c>
      <c r="N68" s="82" t="str">
        <f>VLOOKUP($B68,master!$B$3:$S$600,15,0)</f>
        <v>SMP N 2 PUNDONG</v>
      </c>
      <c r="O68" s="82" t="str">
        <f>VLOOKUP($B68,master!$B$3:$S$600,4,0)</f>
        <v>23-01-2009</v>
      </c>
    </row>
    <row r="69" spans="1:15" ht="15.75" customHeight="1" x14ac:dyDescent="0.25">
      <c r="A69" s="80" t="s">
        <v>686</v>
      </c>
      <c r="B69" s="11" t="s">
        <v>675</v>
      </c>
      <c r="C69" s="11" t="s">
        <v>5022</v>
      </c>
      <c r="D69" s="11" t="s">
        <v>505</v>
      </c>
      <c r="E69" s="65" t="str">
        <f>VLOOKUP(D69,Total!$C$2:$D$518,2,0)</f>
        <v>11 RPL 3</v>
      </c>
      <c r="F69" s="65" t="str">
        <f>VLOOKUP(C69,Total!$B$2:$F$514,5,0)</f>
        <v>AKTIF</v>
      </c>
      <c r="G69" s="67" t="str">
        <f>VLOOKUP($B69,master!$B$3:$S$600,16,0)</f>
        <v>081393993455</v>
      </c>
      <c r="H69" s="67" t="str">
        <f>VLOOKUP($B69,master!$B$3:$S$600,17,0)</f>
        <v>0895422394340</v>
      </c>
      <c r="I69" s="67" t="str">
        <f>VLOOKUP($B69,master!$B$3:$S$600,8,0)</f>
        <v>ROGOITAN</v>
      </c>
      <c r="J69" s="67" t="str">
        <f>VLOOKUP($B69,master!$B$3:$S$600,9,0)</f>
        <v>93</v>
      </c>
      <c r="K69" s="67" t="str">
        <f>VLOOKUP($B69,master!$B$3:$S$600,11,0)</f>
        <v>PENDOWOHARJO</v>
      </c>
      <c r="L69" s="67" t="str">
        <f>VLOOKUP($B69,master!$B$3:$S$600,12,0)</f>
        <v>SEWON</v>
      </c>
      <c r="M69" s="67" t="str">
        <f>VLOOKUP($B69,master!$B$3:$S$600,6,0)</f>
        <v>murti ismawati</v>
      </c>
      <c r="N69" s="82" t="str">
        <f>VLOOKUP($B69,master!$B$3:$S$600,15,0)</f>
        <v>SMP UNGGULAN AISYIYAH</v>
      </c>
      <c r="O69" s="82" t="str">
        <f>VLOOKUP($B69,master!$B$3:$S$600,4,0)</f>
        <v>6-12-2008</v>
      </c>
    </row>
    <row r="70" spans="1:15" ht="15.75" customHeight="1" x14ac:dyDescent="0.25">
      <c r="A70" s="80" t="s">
        <v>688</v>
      </c>
      <c r="B70" s="11" t="s">
        <v>677</v>
      </c>
      <c r="C70" s="11" t="s">
        <v>5023</v>
      </c>
      <c r="D70" s="11" t="s">
        <v>506</v>
      </c>
      <c r="E70" s="65" t="str">
        <f>VLOOKUP(D70,Total!$C$2:$D$518,2,0)</f>
        <v>11 RPL 3</v>
      </c>
      <c r="F70" s="65" t="str">
        <f>VLOOKUP(C70,Total!$B$2:$F$514,5,0)</f>
        <v>AKTIF</v>
      </c>
      <c r="G70" s="67" t="str">
        <f>VLOOKUP($B70,master!$B$3:$S$600,16,0)</f>
        <v>81903919306</v>
      </c>
      <c r="H70" s="67" t="str">
        <f>VLOOKUP($B70,master!$B$3:$S$600,17,0)</f>
        <v>0</v>
      </c>
      <c r="I70" s="67" t="str">
        <f>VLOOKUP($B70,master!$B$3:$S$600,8,0)</f>
        <v>DAGEN</v>
      </c>
      <c r="J70" s="67" t="str">
        <f>VLOOKUP($B70,master!$B$3:$S$600,9,0)</f>
        <v>4</v>
      </c>
      <c r="K70" s="67" t="str">
        <f>VLOOKUP($B70,master!$B$3:$S$600,11,0)</f>
        <v>RINGINHARJO</v>
      </c>
      <c r="L70" s="67" t="str">
        <f>VLOOKUP($B70,master!$B$3:$S$600,12,0)</f>
        <v>BANTUL</v>
      </c>
      <c r="M70" s="67" t="str">
        <f>VLOOKUP($B70,master!$B$3:$S$600,6,0)</f>
        <v>INFATOLLAH</v>
      </c>
      <c r="N70" s="82" t="str">
        <f>VLOOKUP($B70,master!$B$3:$S$600,15,0)</f>
        <v>SMP MUHAMMADIYAH BANTUL</v>
      </c>
      <c r="O70" s="82" t="str">
        <f>VLOOKUP($B70,master!$B$3:$S$600,4,0)</f>
        <v>1-07-2008</v>
      </c>
    </row>
    <row r="71" spans="1:15" ht="15.75" customHeight="1" x14ac:dyDescent="0.25">
      <c r="A71" s="80" t="s">
        <v>690</v>
      </c>
      <c r="B71" s="11" t="s">
        <v>679</v>
      </c>
      <c r="C71" s="11" t="s">
        <v>5024</v>
      </c>
      <c r="D71" s="11" t="s">
        <v>507</v>
      </c>
      <c r="E71" s="65" t="str">
        <f>VLOOKUP(D71,Total!$C$2:$D$518,2,0)</f>
        <v>11 RPL 3</v>
      </c>
      <c r="F71" s="65" t="str">
        <f>VLOOKUP(C71,Total!$B$2:$F$514,5,0)</f>
        <v>AKTIF</v>
      </c>
      <c r="G71" s="67" t="str">
        <f>VLOOKUP($B71,master!$B$3:$S$600,16,0)</f>
        <v>087871171553</v>
      </c>
      <c r="H71" s="67" t="str">
        <f>VLOOKUP($B71,master!$B$3:$S$600,17,0)</f>
        <v>083131488697</v>
      </c>
      <c r="I71" s="67" t="str">
        <f>VLOOKUP($B71,master!$B$3:$S$600,8,0)</f>
        <v>SILUK 1</v>
      </c>
      <c r="J71" s="67" t="str">
        <f>VLOOKUP($B71,master!$B$3:$S$600,9,0)</f>
        <v>5</v>
      </c>
      <c r="K71" s="67" t="str">
        <f>VLOOKUP($B71,master!$B$3:$S$600,11,0)</f>
        <v>SELOPAMIORO</v>
      </c>
      <c r="L71" s="67" t="str">
        <f>VLOOKUP($B71,master!$B$3:$S$600,12,0)</f>
        <v>IMOGIRI</v>
      </c>
      <c r="M71" s="67" t="str">
        <f>VLOOKUP($B71,master!$B$3:$S$600,6,0)</f>
        <v>PRIYANTO</v>
      </c>
      <c r="N71" s="82" t="str">
        <f>VLOOKUP($B71,master!$B$3:$S$600,15,0)</f>
        <v>SMP N 3 IMOGIRI</v>
      </c>
      <c r="O71" s="82" t="str">
        <f>VLOOKUP($B71,master!$B$3:$S$600,4,0)</f>
        <v>3-07-2009</v>
      </c>
    </row>
    <row r="72" spans="1:15" ht="15.75" customHeight="1" x14ac:dyDescent="0.25">
      <c r="A72" s="80" t="s">
        <v>692</v>
      </c>
      <c r="B72" s="11" t="s">
        <v>681</v>
      </c>
      <c r="C72" s="11" t="s">
        <v>5025</v>
      </c>
      <c r="D72" s="11" t="s">
        <v>508</v>
      </c>
      <c r="E72" s="65" t="str">
        <f>VLOOKUP(D72,Total!$C$2:$D$518,2,0)</f>
        <v>11 RPL 3</v>
      </c>
      <c r="F72" s="65" t="str">
        <f>VLOOKUP(C72,Total!$B$2:$F$514,5,0)</f>
        <v>AKTIF</v>
      </c>
      <c r="G72" s="67" t="str">
        <f>VLOOKUP($B72,master!$B$3:$S$600,16,0)</f>
        <v>0882005054248</v>
      </c>
      <c r="H72" s="67" t="str">
        <f>VLOOKUP($B72,master!$B$3:$S$600,17,0)</f>
        <v>088902984275</v>
      </c>
      <c r="I72" s="67" t="str">
        <f>VLOOKUP($B72,master!$B$3:$S$600,8,0)</f>
        <v>Kanggotan</v>
      </c>
      <c r="J72" s="67" t="str">
        <f>VLOOKUP($B72,master!$B$3:$S$600,9,0)</f>
        <v>01</v>
      </c>
      <c r="K72" s="67" t="str">
        <f>VLOOKUP($B72,master!$B$3:$S$600,11,0)</f>
        <v>PLERET</v>
      </c>
      <c r="L72" s="67" t="str">
        <f>VLOOKUP($B72,master!$B$3:$S$600,12,0)</f>
        <v>PLERET</v>
      </c>
      <c r="M72" s="67" t="str">
        <f>VLOOKUP($B72,master!$B$3:$S$600,6,0)</f>
        <v>ISNAINI</v>
      </c>
      <c r="N72" s="82" t="str">
        <f>VLOOKUP($B72,master!$B$3:$S$600,15,0)</f>
        <v>SMP N 2 PLERET</v>
      </c>
      <c r="O72" s="82" t="str">
        <f>VLOOKUP($B72,master!$B$3:$S$600,4,0)</f>
        <v>22-02-2009</v>
      </c>
    </row>
    <row r="73" spans="1:15" ht="15.75" customHeight="1" x14ac:dyDescent="0.25">
      <c r="A73" s="80" t="s">
        <v>694</v>
      </c>
      <c r="B73" s="11" t="s">
        <v>683</v>
      </c>
      <c r="C73" s="11" t="s">
        <v>5026</v>
      </c>
      <c r="D73" s="11" t="s">
        <v>509</v>
      </c>
      <c r="E73" s="65" t="str">
        <f>VLOOKUP(D73,Total!$C$2:$D$518,2,0)</f>
        <v>11 RPL 3</v>
      </c>
      <c r="F73" s="65" t="str">
        <f>VLOOKUP(C73,Total!$B$2:$F$514,5,0)</f>
        <v>AKTIF</v>
      </c>
      <c r="G73" s="67" t="str">
        <f>VLOOKUP($B73,master!$B$3:$S$600,16,0)</f>
        <v>082314025501</v>
      </c>
      <c r="H73" s="67" t="str">
        <f>VLOOKUP($B73,master!$B$3:$S$600,17,0)</f>
        <v>-</v>
      </c>
      <c r="I73" s="67" t="str">
        <f>VLOOKUP($B73,master!$B$3:$S$600,8,0)</f>
        <v>BANTUL TIMUR</v>
      </c>
      <c r="J73" s="67" t="str">
        <f>VLOOKUP($B73,master!$B$3:$S$600,9,0)</f>
        <v>2</v>
      </c>
      <c r="K73" s="67" t="str">
        <f>VLOOKUP($B73,master!$B$3:$S$600,11,0)</f>
        <v>TRIRENGGO</v>
      </c>
      <c r="L73" s="67" t="str">
        <f>VLOOKUP($B73,master!$B$3:$S$600,12,0)</f>
        <v>BANTUL</v>
      </c>
      <c r="M73" s="67" t="str">
        <f>VLOOKUP($B73,master!$B$3:$S$600,6,0)</f>
        <v>SUMADI</v>
      </c>
      <c r="N73" s="82" t="str">
        <f>VLOOKUP($B73,master!$B$3:$S$600,15,0)</f>
        <v>PKBM BINA SEKAR MELATI</v>
      </c>
      <c r="O73" s="82" t="str">
        <f>VLOOKUP($B73,master!$B$3:$S$600,4,0)</f>
        <v>9-04-2008</v>
      </c>
    </row>
    <row r="74" spans="1:15" ht="15.75" customHeight="1" x14ac:dyDescent="0.25">
      <c r="A74" s="80" t="s">
        <v>696</v>
      </c>
      <c r="B74" s="11" t="s">
        <v>685</v>
      </c>
      <c r="C74" s="11" t="s">
        <v>5027</v>
      </c>
      <c r="D74" s="11" t="s">
        <v>510</v>
      </c>
      <c r="E74" s="65" t="str">
        <f>VLOOKUP(D74,Total!$C$2:$D$518,2,0)</f>
        <v>11 RPL 3</v>
      </c>
      <c r="F74" s="65" t="str">
        <f>VLOOKUP(C74,Total!$B$2:$F$514,5,0)</f>
        <v>AKTIF</v>
      </c>
      <c r="G74" s="67" t="str">
        <f>VLOOKUP($B74,master!$B$3:$S$600,16,0)</f>
        <v>081931723301</v>
      </c>
      <c r="H74" s="67" t="str">
        <f>VLOOKUP($B74,master!$B$3:$S$600,17,0)</f>
        <v>08998426252</v>
      </c>
      <c r="I74" s="67" t="str">
        <f>VLOOKUP($B74,master!$B$3:$S$600,8,0)</f>
        <v>TEGALSEMPU</v>
      </c>
      <c r="J74" s="67" t="str">
        <f>VLOOKUP($B74,master!$B$3:$S$600,9,0)</f>
        <v>RT 04</v>
      </c>
      <c r="K74" s="67" t="str">
        <f>VLOOKUP($B74,master!$B$3:$S$600,11,0)</f>
        <v>CATURHARJO</v>
      </c>
      <c r="L74" s="67" t="str">
        <f>VLOOKUP($B74,master!$B$3:$S$600,12,0)</f>
        <v>PANDAK</v>
      </c>
      <c r="M74" s="67" t="str">
        <f>VLOOKUP($B74,master!$B$3:$S$600,6,0)</f>
        <v>NGATINO</v>
      </c>
      <c r="N74" s="82" t="str">
        <f>VLOOKUP($B74,master!$B$3:$S$600,15,0)</f>
        <v>SMP N 1 PANDAK</v>
      </c>
      <c r="O74" s="82" t="str">
        <f>VLOOKUP($B74,master!$B$3:$S$600,4,0)</f>
        <v>7-04-2009</v>
      </c>
    </row>
    <row r="75" spans="1:15" ht="15.75" customHeight="1" x14ac:dyDescent="0.25">
      <c r="A75" s="80" t="s">
        <v>698</v>
      </c>
      <c r="B75" s="11" t="s">
        <v>687</v>
      </c>
      <c r="C75" s="11" t="s">
        <v>5028</v>
      </c>
      <c r="D75" s="11" t="s">
        <v>511</v>
      </c>
      <c r="E75" s="65" t="str">
        <f>VLOOKUP(D75,Total!$C$2:$D$518,2,0)</f>
        <v>11 RPL 3</v>
      </c>
      <c r="F75" s="65" t="str">
        <f>VLOOKUP(C75,Total!$B$2:$F$514,5,0)</f>
        <v>AKTIF</v>
      </c>
      <c r="G75" s="67" t="str">
        <f>VLOOKUP($B75,master!$B$3:$S$600,16,0)</f>
        <v>089606792636</v>
      </c>
      <c r="H75" s="67" t="str">
        <f>VLOOKUP($B75,master!$B$3:$S$600,17,0)</f>
        <v>-</v>
      </c>
      <c r="I75" s="67" t="str">
        <f>VLOOKUP($B75,master!$B$3:$S$600,8,0)</f>
        <v>MELIKAN LOR</v>
      </c>
      <c r="J75" s="67" t="str">
        <f>VLOOKUP($B75,master!$B$3:$S$600,9,0)</f>
        <v>4</v>
      </c>
      <c r="K75" s="67" t="str">
        <f>VLOOKUP($B75,master!$B$3:$S$600,11,0)</f>
        <v>BANTUL</v>
      </c>
      <c r="L75" s="67" t="str">
        <f>VLOOKUP($B75,master!$B$3:$S$600,12,0)</f>
        <v>BANTUL</v>
      </c>
      <c r="M75" s="67" t="str">
        <f>VLOOKUP($B75,master!$B$3:$S$600,6,0)</f>
        <v>WALIYUL AMRI</v>
      </c>
      <c r="N75" s="82" t="str">
        <f>VLOOKUP($B75,master!$B$3:$S$600,15,0)</f>
        <v>SMP N 1 BANTUL</v>
      </c>
      <c r="O75" s="82" t="str">
        <f>VLOOKUP($B75,master!$B$3:$S$600,4,0)</f>
        <v>5-12-2008</v>
      </c>
    </row>
    <row r="76" spans="1:15" ht="15.75" customHeight="1" x14ac:dyDescent="0.25">
      <c r="A76" s="80" t="s">
        <v>700</v>
      </c>
      <c r="B76" s="11" t="s">
        <v>689</v>
      </c>
      <c r="C76" s="11" t="s">
        <v>5029</v>
      </c>
      <c r="D76" s="11" t="s">
        <v>512</v>
      </c>
      <c r="E76" s="65" t="str">
        <f>VLOOKUP(D76,Total!$C$2:$D$518,2,0)</f>
        <v>11 RPL 3</v>
      </c>
      <c r="F76" s="65" t="str">
        <f>VLOOKUP(C76,Total!$B$2:$F$514,5,0)</f>
        <v>AKTIF</v>
      </c>
      <c r="G76" s="67" t="str">
        <f>VLOOKUP($B76,master!$B$3:$S$600,16,0)</f>
        <v>082117112552</v>
      </c>
      <c r="H76" s="67" t="str">
        <f>VLOOKUP($B76,master!$B$3:$S$600,17,0)</f>
        <v>081392457029</v>
      </c>
      <c r="I76" s="67" t="str">
        <f>VLOOKUP($B76,master!$B$3:$S$600,8,0)</f>
        <v>KARANGMOJO</v>
      </c>
      <c r="J76" s="67" t="str">
        <f>VLOOKUP($B76,master!$B$3:$S$600,9,0)</f>
        <v>003</v>
      </c>
      <c r="K76" s="67" t="str">
        <f>VLOOKUP($B76,master!$B$3:$S$600,11,0)</f>
        <v>TRIRENGGO</v>
      </c>
      <c r="L76" s="67" t="str">
        <f>VLOOKUP($B76,master!$B$3:$S$600,12,0)</f>
        <v>BANTUL</v>
      </c>
      <c r="M76" s="67" t="str">
        <f>VLOOKUP($B76,master!$B$3:$S$600,6,0)</f>
        <v>YULI KRIS BIYANTORO</v>
      </c>
      <c r="N76" s="82" t="str">
        <f>VLOOKUP($B76,master!$B$3:$S$600,15,0)</f>
        <v>MTS N 1 SUMEDANG</v>
      </c>
      <c r="O76" s="82" t="str">
        <f>VLOOKUP($B76,master!$B$3:$S$600,4,0)</f>
        <v>16-03-2009</v>
      </c>
    </row>
    <row r="77" spans="1:15" ht="15.75" customHeight="1" x14ac:dyDescent="0.25">
      <c r="A77" s="80" t="s">
        <v>702</v>
      </c>
      <c r="B77" s="11" t="s">
        <v>691</v>
      </c>
      <c r="C77" s="11" t="s">
        <v>5030</v>
      </c>
      <c r="D77" s="11" t="s">
        <v>513</v>
      </c>
      <c r="E77" s="65" t="str">
        <f>VLOOKUP(D77,Total!$C$2:$D$518,2,0)</f>
        <v>11 RPL 3</v>
      </c>
      <c r="F77" s="65" t="str">
        <f>VLOOKUP(C77,Total!$B$2:$F$514,5,0)</f>
        <v>AKTIF</v>
      </c>
      <c r="G77" s="67" t="str">
        <f>VLOOKUP($B77,master!$B$3:$S$600,16,0)</f>
        <v>081903717325</v>
      </c>
      <c r="H77" s="67" t="str">
        <f>VLOOKUP($B77,master!$B$3:$S$600,17,0)</f>
        <v>08976844527</v>
      </c>
      <c r="I77" s="67" t="str">
        <f>VLOOKUP($B77,master!$B$3:$S$600,8,0)</f>
        <v>MANDING</v>
      </c>
      <c r="J77" s="67" t="str">
        <f>VLOOKUP($B77,master!$B$3:$S$600,9,0)</f>
        <v>06</v>
      </c>
      <c r="K77" s="67" t="str">
        <f>VLOOKUP($B77,master!$B$3:$S$600,11,0)</f>
        <v>TRIRENGGO</v>
      </c>
      <c r="L77" s="67" t="str">
        <f>VLOOKUP($B77,master!$B$3:$S$600,12,0)</f>
        <v>BANTUL</v>
      </c>
      <c r="M77" s="67" t="str">
        <f>VLOOKUP($B77,master!$B$3:$S$600,6,0)</f>
        <v>Sarjanadi</v>
      </c>
      <c r="N77" s="82" t="str">
        <f>VLOOKUP($B77,master!$B$3:$S$600,15,0)</f>
        <v>SMP N 3 JETIS</v>
      </c>
      <c r="O77" s="82" t="str">
        <f>VLOOKUP($B77,master!$B$3:$S$600,4,0)</f>
        <v>15-12-2008</v>
      </c>
    </row>
    <row r="78" spans="1:15" ht="15.75" customHeight="1" x14ac:dyDescent="0.25">
      <c r="A78" s="80" t="s">
        <v>704</v>
      </c>
      <c r="B78" s="11" t="s">
        <v>693</v>
      </c>
      <c r="C78" s="11" t="s">
        <v>5031</v>
      </c>
      <c r="D78" s="11" t="s">
        <v>514</v>
      </c>
      <c r="E78" s="65" t="str">
        <f>VLOOKUP(D78,Total!$C$2:$D$518,2,0)</f>
        <v>11 RPL 3</v>
      </c>
      <c r="F78" s="65" t="str">
        <f>VLOOKUP(C78,Total!$B$2:$F$514,5,0)</f>
        <v>AKTIF</v>
      </c>
      <c r="G78" s="67" t="str">
        <f>VLOOKUP($B78,master!$B$3:$S$600,16,0)</f>
        <v>08895259793</v>
      </c>
      <c r="H78" s="67" t="str">
        <f>VLOOKUP($B78,master!$B$3:$S$600,17,0)</f>
        <v>0882006311642</v>
      </c>
      <c r="I78" s="67" t="str">
        <f>VLOOKUP($B78,master!$B$3:$S$600,8,0)</f>
        <v>KARANGKULON</v>
      </c>
      <c r="J78" s="67" t="str">
        <f>VLOOKUP($B78,master!$B$3:$S$600,9,0)</f>
        <v>8</v>
      </c>
      <c r="K78" s="67" t="str">
        <f>VLOOKUP($B78,master!$B$3:$S$600,11,0)</f>
        <v>WUKIRSARI</v>
      </c>
      <c r="L78" s="67" t="str">
        <f>VLOOKUP($B78,master!$B$3:$S$600,12,0)</f>
        <v>IMOGIRI</v>
      </c>
      <c r="M78" s="67" t="str">
        <f>VLOOKUP($B78,master!$B$3:$S$600,6,0)</f>
        <v>AHMAD BUKHORI</v>
      </c>
      <c r="N78" s="82" t="str">
        <f>VLOOKUP($B78,master!$B$3:$S$600,15,0)</f>
        <v>MTS N 3 BANTUL</v>
      </c>
      <c r="O78" s="82" t="str">
        <f>VLOOKUP($B78,master!$B$3:$S$600,4,0)</f>
        <v>20-10-2008</v>
      </c>
    </row>
    <row r="79" spans="1:15" ht="15.75" customHeight="1" x14ac:dyDescent="0.25">
      <c r="A79" s="80" t="s">
        <v>706</v>
      </c>
      <c r="B79" s="11" t="s">
        <v>695</v>
      </c>
      <c r="C79" s="11" t="s">
        <v>5032</v>
      </c>
      <c r="D79" s="11" t="s">
        <v>515</v>
      </c>
      <c r="E79" s="65" t="str">
        <f>VLOOKUP(D79,Total!$C$2:$D$518,2,0)</f>
        <v>11 RPL 3</v>
      </c>
      <c r="F79" s="65" t="str">
        <f>VLOOKUP(C79,Total!$B$2:$F$514,5,0)</f>
        <v>AKTIF</v>
      </c>
      <c r="G79" s="67" t="str">
        <f>VLOOKUP($B79,master!$B$3:$S$600,16,0)</f>
        <v>087785266765</v>
      </c>
      <c r="H79" s="67" t="str">
        <f>VLOOKUP($B79,master!$B$3:$S$600,17,0)</f>
        <v>088216348436</v>
      </c>
      <c r="I79" s="67" t="str">
        <f>VLOOKUP($B79,master!$B$3:$S$600,8,0)</f>
        <v>KANGGOTAN</v>
      </c>
      <c r="J79" s="67" t="str">
        <f>VLOOKUP($B79,master!$B$3:$S$600,9,0)</f>
        <v>07</v>
      </c>
      <c r="K79" s="67" t="str">
        <f>VLOOKUP($B79,master!$B$3:$S$600,11,0)</f>
        <v>PLERET</v>
      </c>
      <c r="L79" s="67" t="str">
        <f>VLOOKUP($B79,master!$B$3:$S$600,12,0)</f>
        <v>PLERET</v>
      </c>
      <c r="M79" s="67" t="str">
        <f>VLOOKUP($B79,master!$B$3:$S$600,6,0)</f>
        <v>Zuhdi sakuri</v>
      </c>
      <c r="N79" s="82" t="str">
        <f>VLOOKUP($B79,master!$B$3:$S$600,15,0)</f>
        <v>SMP N 1 PLERET</v>
      </c>
      <c r="O79" s="82" t="str">
        <f>VLOOKUP($B79,master!$B$3:$S$600,4,0)</f>
        <v>28-07-2008</v>
      </c>
    </row>
    <row r="80" spans="1:15" ht="15.75" customHeight="1" x14ac:dyDescent="0.25">
      <c r="A80" s="80" t="s">
        <v>708</v>
      </c>
      <c r="B80" s="11" t="s">
        <v>697</v>
      </c>
      <c r="C80" s="11" t="s">
        <v>5033</v>
      </c>
      <c r="D80" s="11" t="s">
        <v>516</v>
      </c>
      <c r="E80" s="65" t="str">
        <f>VLOOKUP(D80,Total!$C$2:$D$518,2,0)</f>
        <v>11 RPL 3</v>
      </c>
      <c r="F80" s="65" t="str">
        <f>VLOOKUP(C80,Total!$B$2:$F$514,5,0)</f>
        <v>AKTIF</v>
      </c>
      <c r="G80" s="67" t="str">
        <f>VLOOKUP($B80,master!$B$3:$S$600,16,0)</f>
        <v>085876334893</v>
      </c>
      <c r="H80" s="67" t="str">
        <f>VLOOKUP($B80,master!$B$3:$S$600,17,0)</f>
        <v>085879217902</v>
      </c>
      <c r="I80" s="67" t="str">
        <f>VLOOKUP($B80,master!$B$3:$S$600,8,0)</f>
        <v>SOROTOPO</v>
      </c>
      <c r="J80" s="67" t="str">
        <f>VLOOKUP($B80,master!$B$3:$S$600,9,0)</f>
        <v>3</v>
      </c>
      <c r="K80" s="67" t="str">
        <f>VLOOKUP($B80,master!$B$3:$S$600,11,0)</f>
        <v>SELOHARJO</v>
      </c>
      <c r="L80" s="67" t="str">
        <f>VLOOKUP($B80,master!$B$3:$S$600,12,0)</f>
        <v>PUNDONG</v>
      </c>
      <c r="M80" s="67" t="str">
        <f>VLOOKUP($B80,master!$B$3:$S$600,6,0)</f>
        <v>SUBROTO</v>
      </c>
      <c r="N80" s="82" t="str">
        <f>VLOOKUP($B80,master!$B$3:$S$600,15,0)</f>
        <v>SMP MUHAMMADIYAH 1 PUNDONG</v>
      </c>
      <c r="O80" s="82" t="str">
        <f>VLOOKUP($B80,master!$B$3:$S$600,4,0)</f>
        <v>4-01-2009</v>
      </c>
    </row>
    <row r="81" spans="1:15" ht="15.75" customHeight="1" x14ac:dyDescent="0.25">
      <c r="A81" s="80" t="s">
        <v>710</v>
      </c>
      <c r="B81" s="107" t="s">
        <v>5044</v>
      </c>
      <c r="C81" s="11" t="s">
        <v>5051</v>
      </c>
      <c r="D81" s="107" t="s">
        <v>5045</v>
      </c>
      <c r="E81" s="117" t="str">
        <f>VLOOKUP(D81,Total!$C$2:$D$518,2,0)</f>
        <v>11 RPL 3</v>
      </c>
      <c r="F81" s="65" t="str">
        <f>VLOOKUP(C81,Total!$B$2:$F$514,5,0)</f>
        <v>AKTIF</v>
      </c>
      <c r="G81" s="67" t="str">
        <f>VLOOKUP($B81,master!$B$3:$S$600,16,0)</f>
        <v>085711963325</v>
      </c>
      <c r="H81" s="67" t="str">
        <f>VLOOKUP($B81,master!$B$3:$S$600,17,0)</f>
        <v>085786880577</v>
      </c>
      <c r="I81" s="67" t="str">
        <f>VLOOKUP($B81,master!$B$3:$S$600,8,0)</f>
        <v>KEMBANGSONGO</v>
      </c>
      <c r="J81" s="67" t="str">
        <f>VLOOKUP($B81,master!$B$3:$S$600,9,0)</f>
        <v>15</v>
      </c>
      <c r="K81" s="67" t="str">
        <f>VLOOKUP($B81,master!$B$3:$S$600,11,0)</f>
        <v>TRIMULYO</v>
      </c>
      <c r="L81" s="67" t="str">
        <f>VLOOKUP($B81,master!$B$3:$S$600,12,0)</f>
        <v>JETIS</v>
      </c>
      <c r="M81" s="67" t="str">
        <f>VLOOKUP($B81,master!$B$3:$S$600,6,0)</f>
        <v>RIYADI</v>
      </c>
      <c r="N81" s="82" t="str">
        <f>VLOOKUP($B81,master!$B$3:$S$600,15,0)</f>
        <v>SMP N 1 JETIS</v>
      </c>
      <c r="O81" s="82" t="str">
        <f>VLOOKUP($B81,master!$B$3:$S$600,4,0)</f>
        <v>21-02-2009</v>
      </c>
    </row>
    <row r="82" spans="1:15" ht="15.75" customHeight="1" x14ac:dyDescent="0.25">
      <c r="A82" s="80" t="s">
        <v>712</v>
      </c>
      <c r="B82" s="67" t="s">
        <v>4515</v>
      </c>
      <c r="C82" s="11" t="s">
        <v>5034</v>
      </c>
      <c r="D82" s="67" t="s">
        <v>4516</v>
      </c>
      <c r="E82" s="65" t="str">
        <f>VLOOKUP(D82,Total!$C$2:$D$518,2,0)</f>
        <v>11 RPL 3</v>
      </c>
      <c r="F82" s="65" t="str">
        <f>VLOOKUP(C82,Total!$B$2:$F$514,5,0)</f>
        <v>AKTIF</v>
      </c>
      <c r="G82" s="67" t="str">
        <f>VLOOKUP($B82,master!$B$3:$S$600,16,0)</f>
        <v>082164693253</v>
      </c>
      <c r="H82" s="67" t="str">
        <f>VLOOKUP($B82,master!$B$3:$S$600,17,0)</f>
        <v>082137435949</v>
      </c>
      <c r="I82" s="67" t="str">
        <f>VLOOKUP($B82,master!$B$3:$S$600,8,0)</f>
        <v>GETAS</v>
      </c>
      <c r="J82" s="67" t="str">
        <f>VLOOKUP($B82,master!$B$3:$S$600,9,0)</f>
        <v>7</v>
      </c>
      <c r="K82" s="67" t="str">
        <f>VLOOKUP($B82,master!$B$3:$S$600,11,0)</f>
        <v>SUMBERAGUNG</v>
      </c>
      <c r="L82" s="67" t="str">
        <f>VLOOKUP($B82,master!$B$3:$S$600,12,0)</f>
        <v>JETIS</v>
      </c>
      <c r="M82" s="67" t="str">
        <f>VLOOKUP($B82,master!$B$3:$S$600,6,0)</f>
        <v>SUNTIATI</v>
      </c>
      <c r="N82" s="82" t="str">
        <f>VLOOKUP($B82,master!$B$3:$S$600,15,0)</f>
        <v>SMP MUHAMMADIYAH IMOGIRI</v>
      </c>
      <c r="O82" s="82" t="str">
        <f>VLOOKUP($B82,master!$B$3:$S$600,4,0)</f>
        <v>4-11-2007</v>
      </c>
    </row>
    <row r="83" spans="1:15" ht="15.75" customHeight="1" x14ac:dyDescent="0.25">
      <c r="A83" s="80" t="s">
        <v>714</v>
      </c>
      <c r="B83" s="11" t="s">
        <v>699</v>
      </c>
      <c r="C83" s="11" t="s">
        <v>5035</v>
      </c>
      <c r="D83" s="11" t="s">
        <v>517</v>
      </c>
      <c r="E83" s="65" t="str">
        <f>VLOOKUP(D83,Total!$C$2:$D$518,2,0)</f>
        <v>11 RPL 3</v>
      </c>
      <c r="F83" s="65" t="str">
        <f>VLOOKUP(C83,Total!$B$2:$F$514,5,0)</f>
        <v>AKTIF</v>
      </c>
      <c r="G83" s="67" t="str">
        <f>VLOOKUP($B83,master!$B$3:$S$600,16,0)</f>
        <v>089507708827</v>
      </c>
      <c r="H83" s="67" t="str">
        <f>VLOOKUP($B83,master!$B$3:$S$600,17,0)</f>
        <v>0895355095040</v>
      </c>
      <c r="I83" s="67" t="str">
        <f>VLOOKUP($B83,master!$B$3:$S$600,8,0)</f>
        <v>KEPEK</v>
      </c>
      <c r="J83" s="67" t="str">
        <f>VLOOKUP($B83,master!$B$3:$S$600,9,0)</f>
        <v>001</v>
      </c>
      <c r="K83" s="67" t="str">
        <f>VLOOKUP($B83,master!$B$3:$S$600,11,0)</f>
        <v>TIMBULHARJO</v>
      </c>
      <c r="L83" s="67" t="str">
        <f>VLOOKUP($B83,master!$B$3:$S$600,12,0)</f>
        <v>SEWON</v>
      </c>
      <c r="M83" s="67" t="str">
        <f>VLOOKUP($B83,master!$B$3:$S$600,6,0)</f>
        <v>TRI MURHAYATI</v>
      </c>
      <c r="N83" s="82" t="str">
        <f>VLOOKUP($B83,master!$B$3:$S$600,15,0)</f>
        <v>MTS N 2 BANTUL</v>
      </c>
      <c r="O83" s="82" t="str">
        <f>VLOOKUP($B83,master!$B$3:$S$600,4,0)</f>
        <v>24-10-2008</v>
      </c>
    </row>
    <row r="84" spans="1:15" ht="15.75" customHeight="1" x14ac:dyDescent="0.25">
      <c r="A84" s="80" t="s">
        <v>716</v>
      </c>
      <c r="B84" s="11" t="s">
        <v>701</v>
      </c>
      <c r="C84" s="11" t="s">
        <v>5036</v>
      </c>
      <c r="D84" s="11" t="s">
        <v>518</v>
      </c>
      <c r="E84" s="65" t="str">
        <f>VLOOKUP(D84,Total!$C$2:$D$518,2,0)</f>
        <v>11 RPL 3</v>
      </c>
      <c r="F84" s="65" t="str">
        <f>VLOOKUP(C84,Total!$B$2:$F$514,5,0)</f>
        <v>AKTIF</v>
      </c>
      <c r="G84" s="67" t="str">
        <f>VLOOKUP($B84,master!$B$3:$S$600,16,0)</f>
        <v>083867945082</v>
      </c>
      <c r="H84" s="67" t="str">
        <f>VLOOKUP($B84,master!$B$3:$S$600,17,0)</f>
        <v>0</v>
      </c>
      <c r="I84" s="67" t="str">
        <f>VLOOKUP($B84,master!$B$3:$S$600,8,0)</f>
        <v>PEPE</v>
      </c>
      <c r="J84" s="67" t="str">
        <f>VLOOKUP($B84,master!$B$3:$S$600,9,0)</f>
        <v>5</v>
      </c>
      <c r="K84" s="67" t="str">
        <f>VLOOKUP($B84,master!$B$3:$S$600,11,0)</f>
        <v>TRIRENGGO</v>
      </c>
      <c r="L84" s="67" t="str">
        <f>VLOOKUP($B84,master!$B$3:$S$600,12,0)</f>
        <v>BANTUL</v>
      </c>
      <c r="M84" s="67" t="str">
        <f>VLOOKUP($B84,master!$B$3:$S$600,6,0)</f>
        <v>IVAN PAMUNGKAS</v>
      </c>
      <c r="N84" s="82" t="str">
        <f>VLOOKUP($B84,master!$B$3:$S$600,15,0)</f>
        <v>SMP N 1 BANTUL</v>
      </c>
      <c r="O84" s="82" t="str">
        <f>VLOOKUP($B84,master!$B$3:$S$600,4,0)</f>
        <v>19-09-2008</v>
      </c>
    </row>
    <row r="85" spans="1:15" ht="15.75" customHeight="1" x14ac:dyDescent="0.25">
      <c r="A85" s="80" t="s">
        <v>718</v>
      </c>
      <c r="B85" s="11" t="s">
        <v>703</v>
      </c>
      <c r="C85" s="11" t="s">
        <v>5037</v>
      </c>
      <c r="D85" s="11" t="s">
        <v>519</v>
      </c>
      <c r="E85" s="65" t="str">
        <f>VLOOKUP(D85,Total!$C$2:$D$518,2,0)</f>
        <v>11 RPL 3</v>
      </c>
      <c r="F85" s="65" t="str">
        <f>VLOOKUP(C85,Total!$B$2:$F$514,5,0)</f>
        <v>AKTIF</v>
      </c>
      <c r="G85" s="67" t="str">
        <f>VLOOKUP($B85,master!$B$3:$S$600,16,0)</f>
        <v>81804064081</v>
      </c>
      <c r="H85" s="67" t="str">
        <f>VLOOKUP($B85,master!$B$3:$S$600,17,0)</f>
        <v>0</v>
      </c>
      <c r="I85" s="67" t="str">
        <f>VLOOKUP($B85,master!$B$3:$S$600,8,0)</f>
        <v>MANDING</v>
      </c>
      <c r="J85" s="67" t="str">
        <f>VLOOKUP($B85,master!$B$3:$S$600,9,0)</f>
        <v>7</v>
      </c>
      <c r="K85" s="67" t="str">
        <f>VLOOKUP($B85,master!$B$3:$S$600,11,0)</f>
        <v>SABDODADI</v>
      </c>
      <c r="L85" s="67" t="str">
        <f>VLOOKUP($B85,master!$B$3:$S$600,12,0)</f>
        <v>BANTUL</v>
      </c>
      <c r="M85" s="67" t="str">
        <f>VLOOKUP($B85,master!$B$3:$S$600,6,0)</f>
        <v>ANDREAN</v>
      </c>
      <c r="N85" s="82" t="str">
        <f>VLOOKUP($B85,master!$B$3:$S$600,15,0)</f>
        <v>SMP MUHAMMADIYAH BANTUL</v>
      </c>
      <c r="O85" s="82" t="str">
        <f>VLOOKUP($B85,master!$B$3:$S$600,4,0)</f>
        <v>21-04-2009</v>
      </c>
    </row>
    <row r="86" spans="1:15" ht="15.75" customHeight="1" x14ac:dyDescent="0.25">
      <c r="A86" s="80" t="s">
        <v>720</v>
      </c>
      <c r="B86" s="11" t="s">
        <v>705</v>
      </c>
      <c r="C86" s="11" t="s">
        <v>5038</v>
      </c>
      <c r="D86" s="11" t="s">
        <v>520</v>
      </c>
      <c r="E86" s="65" t="str">
        <f>VLOOKUP(D86,Total!$C$2:$D$518,2,0)</f>
        <v>11 RPL 3</v>
      </c>
      <c r="F86" s="65" t="str">
        <f>VLOOKUP(C86,Total!$B$2:$F$514,5,0)</f>
        <v>AKTIF</v>
      </c>
      <c r="G86" s="67" t="str">
        <f>VLOOKUP($B86,master!$B$3:$S$600,16,0)</f>
        <v>085868866523</v>
      </c>
      <c r="H86" s="67" t="str">
        <f>VLOOKUP($B86,master!$B$3:$S$600,17,0)</f>
        <v>085868866523</v>
      </c>
      <c r="I86" s="67" t="str">
        <f>VLOOKUP($B86,master!$B$3:$S$600,8,0)</f>
        <v>DUKUH</v>
      </c>
      <c r="J86" s="67" t="str">
        <f>VLOOKUP($B86,master!$B$3:$S$600,9,0)</f>
        <v>3</v>
      </c>
      <c r="K86" s="67" t="str">
        <f>VLOOKUP($B86,master!$B$3:$S$600,11,0)</f>
        <v>GUWOSARI</v>
      </c>
      <c r="L86" s="67" t="str">
        <f>VLOOKUP($B86,master!$B$3:$S$600,12,0)</f>
        <v>PAJANGAN</v>
      </c>
      <c r="M86" s="67" t="str">
        <f>VLOOKUP($B86,master!$B$3:$S$600,6,0)</f>
        <v>HARTONO</v>
      </c>
      <c r="N86" s="82" t="str">
        <f>VLOOKUP($B86,master!$B$3:$S$600,15,0)</f>
        <v>SMP YP BANTUL</v>
      </c>
      <c r="O86" s="82" t="str">
        <f>VLOOKUP($B86,master!$B$3:$S$600,4,0)</f>
        <v>25-10-2008</v>
      </c>
    </row>
    <row r="87" spans="1:15" ht="15.75" customHeight="1" x14ac:dyDescent="0.25">
      <c r="A87" s="80" t="s">
        <v>722</v>
      </c>
      <c r="B87" s="11" t="s">
        <v>707</v>
      </c>
      <c r="C87" s="11" t="s">
        <v>5039</v>
      </c>
      <c r="D87" s="11" t="s">
        <v>521</v>
      </c>
      <c r="E87" s="65" t="str">
        <f>VLOOKUP(D87,Total!$C$2:$D$518,2,0)</f>
        <v>11 RPL 3</v>
      </c>
      <c r="F87" s="65" t="str">
        <f>VLOOKUP(C87,Total!$B$2:$F$514,5,0)</f>
        <v>AKTIF</v>
      </c>
      <c r="G87" s="67" t="str">
        <f>VLOOKUP($B87,master!$B$3:$S$600,16,0)</f>
        <v>0857-5342-7423</v>
      </c>
      <c r="H87" s="67" t="str">
        <f>VLOOKUP($B87,master!$B$3:$S$600,17,0)</f>
        <v>085741182438</v>
      </c>
      <c r="I87" s="67" t="str">
        <f>VLOOKUP($B87,master!$B$3:$S$600,8,0)</f>
        <v>BOBOK TEMPEL</v>
      </c>
      <c r="J87" s="67" t="str">
        <f>VLOOKUP($B87,master!$B$3:$S$600,9,0)</f>
        <v>03</v>
      </c>
      <c r="K87" s="67" t="str">
        <f>VLOOKUP($B87,master!$B$3:$S$600,11,0)</f>
        <v>SELOHARJO</v>
      </c>
      <c r="L87" s="67" t="str">
        <f>VLOOKUP($B87,master!$B$3:$S$600,12,0)</f>
        <v>PUNDONG</v>
      </c>
      <c r="M87" s="67" t="str">
        <f>VLOOKUP($B87,master!$B$3:$S$600,6,0)</f>
        <v>sigit triyono</v>
      </c>
      <c r="N87" s="82" t="str">
        <f>VLOOKUP($B87,master!$B$3:$S$600,15,0)</f>
        <v>SMP MUHAMMADIYAH JETIS</v>
      </c>
      <c r="O87" s="82" t="str">
        <f>VLOOKUP($B87,master!$B$3:$S$600,4,0)</f>
        <v>21-07-2008</v>
      </c>
    </row>
    <row r="88" spans="1:15" ht="15.75" customHeight="1" x14ac:dyDescent="0.25">
      <c r="A88" s="80" t="s">
        <v>724</v>
      </c>
      <c r="B88" s="11" t="s">
        <v>711</v>
      </c>
      <c r="C88" s="11" t="s">
        <v>537</v>
      </c>
      <c r="D88" s="11" t="s">
        <v>20</v>
      </c>
      <c r="E88" s="65" t="str">
        <f>VLOOKUP(D88,Total!$C$2:$D$518,2,0)</f>
        <v>11 TAV</v>
      </c>
      <c r="F88" s="65" t="str">
        <f>VLOOKUP(C88,Total!$B$2:$F$514,5,0)</f>
        <v>AKTIF</v>
      </c>
      <c r="G88" s="67" t="str">
        <f>VLOOKUP($B88,master!$B$3:$S$600,16,0)</f>
        <v>085810211787</v>
      </c>
      <c r="H88" s="67" t="str">
        <f>VLOOKUP($B88,master!$B$3:$S$600,17,0)</f>
        <v>085800328295</v>
      </c>
      <c r="I88" s="67" t="str">
        <f>VLOOKUP($B88,master!$B$3:$S$600,8,0)</f>
        <v>JAYAN</v>
      </c>
      <c r="J88" s="67" t="str">
        <f>VLOOKUP($B88,master!$B$3:$S$600,9,0)</f>
        <v>02</v>
      </c>
      <c r="K88" s="67" t="str">
        <f>VLOOKUP($B88,master!$B$3:$S$600,11,0)</f>
        <v>CANDEN</v>
      </c>
      <c r="L88" s="67" t="str">
        <f>VLOOKUP($B88,master!$B$3:$S$600,12,0)</f>
        <v>JETIS</v>
      </c>
      <c r="M88" s="67" t="str">
        <f>VLOOKUP($B88,master!$B$3:$S$600,6,0)</f>
        <v>Eko nuryanto /yuli astuti</v>
      </c>
      <c r="N88" s="82" t="str">
        <f>VLOOKUP($B88,master!$B$3:$S$600,15,0)</f>
        <v>SMP N 3 JETIS</v>
      </c>
      <c r="O88" s="82" t="str">
        <f>VLOOKUP($B88,master!$B$3:$S$600,4,0)</f>
        <v>6-09-2008</v>
      </c>
    </row>
    <row r="89" spans="1:15" ht="15.75" customHeight="1" x14ac:dyDescent="0.25">
      <c r="A89" s="80" t="s">
        <v>726</v>
      </c>
      <c r="B89" s="11" t="s">
        <v>713</v>
      </c>
      <c r="C89" s="11" t="s">
        <v>4536</v>
      </c>
      <c r="D89" s="11" t="s">
        <v>21</v>
      </c>
      <c r="E89" s="65" t="str">
        <f>VLOOKUP(D89,Total!$C$2:$D$518,2,0)</f>
        <v>11 TAV</v>
      </c>
      <c r="F89" s="65" t="str">
        <f>VLOOKUP(C89,Total!$B$2:$F$514,5,0)</f>
        <v>KELUAR</v>
      </c>
      <c r="G89" s="67" t="str">
        <f>VLOOKUP($B89,master!$B$3:$S$600,16,0)</f>
        <v>0895402622970</v>
      </c>
      <c r="H89" s="67" t="str">
        <f>VLOOKUP($B89,master!$B$3:$S$600,17,0)</f>
        <v>0895402622970</v>
      </c>
      <c r="I89" s="67" t="str">
        <f>VLOOKUP($B89,master!$B$3:$S$600,8,0)</f>
        <v>RENDENG WETAN</v>
      </c>
      <c r="J89" s="67" t="str">
        <f>VLOOKUP($B89,master!$B$3:$S$600,9,0)</f>
        <v>001</v>
      </c>
      <c r="K89" s="67" t="str">
        <f>VLOOKUP($B89,master!$B$3:$S$600,11,0)</f>
        <v>TIMBULHARJO</v>
      </c>
      <c r="L89" s="67" t="str">
        <f>VLOOKUP($B89,master!$B$3:$S$600,12,0)</f>
        <v>SEWON</v>
      </c>
      <c r="M89" s="67" t="str">
        <f>VLOOKUP($B89,master!$B$3:$S$600,6,0)</f>
        <v>WIDIYASTUTI</v>
      </c>
      <c r="N89" s="82" t="str">
        <f>VLOOKUP($B89,master!$B$3:$S$600,15,0)</f>
        <v>SMP PATRIA BANTUL</v>
      </c>
      <c r="O89" s="82" t="str">
        <f>VLOOKUP($B89,master!$B$3:$S$600,4,0)</f>
        <v>17-08-2008</v>
      </c>
    </row>
    <row r="90" spans="1:15" ht="15.75" customHeight="1" x14ac:dyDescent="0.25">
      <c r="A90" s="80" t="s">
        <v>728</v>
      </c>
      <c r="B90" s="11" t="s">
        <v>715</v>
      </c>
      <c r="C90" s="11" t="s">
        <v>4537</v>
      </c>
      <c r="D90" s="11" t="s">
        <v>22</v>
      </c>
      <c r="E90" s="65" t="str">
        <f>VLOOKUP(D90,Total!$C$2:$D$518,2,0)</f>
        <v>11 TAV</v>
      </c>
      <c r="F90" s="65" t="str">
        <f>VLOOKUP(C90,Total!$B$2:$F$514,5,0)</f>
        <v>AKTIF</v>
      </c>
      <c r="G90" s="67" t="str">
        <f>VLOOKUP($B90,master!$B$3:$S$600,16,0)</f>
        <v>0895324146077</v>
      </c>
      <c r="H90" s="67" t="str">
        <f>VLOOKUP($B90,master!$B$3:$S$600,17,0)</f>
        <v>0882005769069</v>
      </c>
      <c r="I90" s="67" t="str">
        <f>VLOOKUP($B90,master!$B$3:$S$600,8,0)</f>
        <v>GEBANG GUYANGAN</v>
      </c>
      <c r="J90" s="67" t="str">
        <f>VLOOKUP($B90,master!$B$3:$S$600,9,0)</f>
        <v>1</v>
      </c>
      <c r="K90" s="67" t="str">
        <f>VLOOKUP($B90,master!$B$3:$S$600,11,0)</f>
        <v>WONOLELO</v>
      </c>
      <c r="L90" s="67" t="str">
        <f>VLOOKUP($B90,master!$B$3:$S$600,12,0)</f>
        <v>PLERET</v>
      </c>
      <c r="M90" s="67" t="str">
        <f>VLOOKUP($B90,master!$B$3:$S$600,6,0)</f>
        <v>MUKHID</v>
      </c>
      <c r="N90" s="82" t="str">
        <f>VLOOKUP($B90,master!$B$3:$S$600,15,0)</f>
        <v>SMP N 2 PLERET</v>
      </c>
      <c r="O90" s="82" t="str">
        <f>VLOOKUP($B90,master!$B$3:$S$600,4,0)</f>
        <v>1-07-2008</v>
      </c>
    </row>
    <row r="91" spans="1:15" ht="15.75" customHeight="1" x14ac:dyDescent="0.25">
      <c r="A91" s="80" t="s">
        <v>730</v>
      </c>
      <c r="B91" s="11" t="s">
        <v>717</v>
      </c>
      <c r="C91" s="11" t="s">
        <v>4538</v>
      </c>
      <c r="D91" s="11" t="s">
        <v>23</v>
      </c>
      <c r="E91" s="65" t="str">
        <f>VLOOKUP(D91,Total!$C$2:$D$518,2,0)</f>
        <v>11 TAV</v>
      </c>
      <c r="F91" s="65" t="str">
        <f>VLOOKUP(C91,Total!$B$2:$F$514,5,0)</f>
        <v>AKTIF</v>
      </c>
      <c r="G91" s="67" t="str">
        <f>VLOOKUP($B91,master!$B$3:$S$600,16,0)</f>
        <v>08979785361</v>
      </c>
      <c r="H91" s="67" t="str">
        <f>VLOOKUP($B91,master!$B$3:$S$600,17,0)</f>
        <v>085726344819</v>
      </c>
      <c r="I91" s="67" t="str">
        <f>VLOOKUP($B91,master!$B$3:$S$600,8,0)</f>
        <v>KARANGMOJO</v>
      </c>
      <c r="J91" s="67" t="str">
        <f>VLOOKUP($B91,master!$B$3:$S$600,9,0)</f>
        <v>1</v>
      </c>
      <c r="K91" s="67" t="str">
        <f>VLOOKUP($B91,master!$B$3:$S$600,11,0)</f>
        <v>TRIRENGGO</v>
      </c>
      <c r="L91" s="67" t="str">
        <f>VLOOKUP($B91,master!$B$3:$S$600,12,0)</f>
        <v>BANTUL</v>
      </c>
      <c r="M91" s="67" t="str">
        <f>VLOOKUP($B91,master!$B$3:$S$600,6,0)</f>
        <v>SUHARTO</v>
      </c>
      <c r="N91" s="82" t="str">
        <f>VLOOKUP($B91,master!$B$3:$S$600,15,0)</f>
        <v>SMP MUHAMMADIYAH 2 BAMBANGLIPURO</v>
      </c>
      <c r="O91" s="82" t="str">
        <f>VLOOKUP($B91,master!$B$3:$S$600,4,0)</f>
        <v>25-06-2009</v>
      </c>
    </row>
    <row r="92" spans="1:15" ht="15.75" customHeight="1" x14ac:dyDescent="0.25">
      <c r="A92" s="80" t="s">
        <v>732</v>
      </c>
      <c r="B92" s="11" t="s">
        <v>719</v>
      </c>
      <c r="C92" s="11" t="s">
        <v>4539</v>
      </c>
      <c r="D92" s="11" t="s">
        <v>24</v>
      </c>
      <c r="E92" s="65" t="str">
        <f>VLOOKUP(D92,Total!$C$2:$D$518,2,0)</f>
        <v>11 TAV</v>
      </c>
      <c r="F92" s="65" t="str">
        <f>VLOOKUP(C92,Total!$B$2:$F$514,5,0)</f>
        <v>AKTIF</v>
      </c>
      <c r="G92" s="67" t="str">
        <f>VLOOKUP($B92,master!$B$3:$S$600,16,0)</f>
        <v>088215663056</v>
      </c>
      <c r="H92" s="67" t="str">
        <f>VLOOKUP($B92,master!$B$3:$S$600,17,0)</f>
        <v>088215663056</v>
      </c>
      <c r="I92" s="67" t="str">
        <f>VLOOKUP($B92,master!$B$3:$S$600,8,0)</f>
        <v>Sawahan</v>
      </c>
      <c r="J92" s="67" t="str">
        <f>VLOOKUP($B92,master!$B$3:$S$600,9,0)</f>
        <v>o1</v>
      </c>
      <c r="K92" s="67" t="str">
        <f>VLOOKUP($B92,master!$B$3:$S$600,11,0)</f>
        <v>Sumberagung</v>
      </c>
      <c r="L92" s="67" t="str">
        <f>VLOOKUP($B92,master!$B$3:$S$600,12,0)</f>
        <v>Jetis</v>
      </c>
      <c r="M92" s="67" t="str">
        <f>VLOOKUP($B92,master!$B$3:$S$600,6,0)</f>
        <v>Tri Sunu</v>
      </c>
      <c r="N92" s="82" t="str">
        <f>VLOOKUP($B92,master!$B$3:$S$600,15,0)</f>
        <v>SMP N 3 Jets Bantul</v>
      </c>
      <c r="O92" s="82" t="str">
        <f>VLOOKUP($B92,master!$B$3:$S$600,4,0)</f>
        <v>22-04-2009</v>
      </c>
    </row>
    <row r="93" spans="1:15" ht="15.75" customHeight="1" x14ac:dyDescent="0.25">
      <c r="A93" s="80" t="s">
        <v>734</v>
      </c>
      <c r="B93" s="11" t="s">
        <v>721</v>
      </c>
      <c r="C93" s="11" t="s">
        <v>4540</v>
      </c>
      <c r="D93" s="11" t="s">
        <v>25</v>
      </c>
      <c r="E93" s="65" t="str">
        <f>VLOOKUP(D93,Total!$C$2:$D$518,2,0)</f>
        <v>11 TAV</v>
      </c>
      <c r="F93" s="65" t="str">
        <f>VLOOKUP(C93,Total!$B$2:$F$514,5,0)</f>
        <v>AKTIF</v>
      </c>
      <c r="G93" s="67" t="str">
        <f>VLOOKUP($B93,master!$B$3:$S$600,16,0)</f>
        <v>089668742534</v>
      </c>
      <c r="H93" s="67" t="str">
        <f>VLOOKUP($B93,master!$B$3:$S$600,17,0)</f>
        <v>089668742534</v>
      </c>
      <c r="I93" s="67" t="str">
        <f>VLOOKUP($B93,master!$B$3:$S$600,8,0)</f>
        <v>kerten</v>
      </c>
      <c r="J93" s="67" t="str">
        <f>VLOOKUP($B93,master!$B$3:$S$600,9,0)</f>
        <v>05</v>
      </c>
      <c r="K93" s="67" t="str">
        <f>VLOOKUP($B93,master!$B$3:$S$600,11,0)</f>
        <v>imogiri</v>
      </c>
      <c r="L93" s="67" t="str">
        <f>VLOOKUP($B93,master!$B$3:$S$600,12,0)</f>
        <v>Imogiri</v>
      </c>
      <c r="M93" s="67" t="str">
        <f>VLOOKUP($B93,master!$B$3:$S$600,6,0)</f>
        <v>Muhammad Zaenal Arif</v>
      </c>
      <c r="N93" s="82" t="str">
        <f>VLOOKUP($B93,master!$B$3:$S$600,15,0)</f>
        <v>SMP Muhammadiyah Imogiri</v>
      </c>
      <c r="O93" s="82" t="str">
        <f>VLOOKUP($B93,master!$B$3:$S$600,4,0)</f>
        <v>27-10-2008</v>
      </c>
    </row>
    <row r="94" spans="1:15" ht="15.75" customHeight="1" x14ac:dyDescent="0.25">
      <c r="A94" s="80" t="s">
        <v>736</v>
      </c>
      <c r="B94" s="11" t="s">
        <v>723</v>
      </c>
      <c r="C94" s="11" t="s">
        <v>4541</v>
      </c>
      <c r="D94" s="11" t="s">
        <v>26</v>
      </c>
      <c r="E94" s="65" t="str">
        <f>VLOOKUP(D94,Total!$C$2:$D$518,2,0)</f>
        <v>11 TAV</v>
      </c>
      <c r="F94" s="65" t="str">
        <f>VLOOKUP(C94,Total!$B$2:$F$514,5,0)</f>
        <v>AKTIF</v>
      </c>
      <c r="G94" s="67" t="str">
        <f>VLOOKUP($B94,master!$B$3:$S$600,16,0)</f>
        <v>081548606501</v>
      </c>
      <c r="H94" s="67" t="str">
        <f>VLOOKUP($B94,master!$B$3:$S$600,17,0)</f>
        <v>085640834965</v>
      </c>
      <c r="I94" s="67" t="str">
        <f>VLOOKUP($B94,master!$B$3:$S$600,8,0)</f>
        <v>GUNTURAN</v>
      </c>
      <c r="J94" s="67" t="str">
        <f>VLOOKUP($B94,master!$B$3:$S$600,9,0)</f>
        <v>3</v>
      </c>
      <c r="K94" s="67" t="str">
        <f>VLOOKUP($B94,master!$B$3:$S$600,11,0)</f>
        <v>TRIHARJO</v>
      </c>
      <c r="L94" s="67" t="str">
        <f>VLOOKUP($B94,master!$B$3:$S$600,12,0)</f>
        <v>PANDAK</v>
      </c>
      <c r="M94" s="67" t="str">
        <f>VLOOKUP($B94,master!$B$3:$S$600,6,0)</f>
        <v>SLAMET SUPRIYADI / PAMUNGKAS WIJAYANTI</v>
      </c>
      <c r="N94" s="82" t="str">
        <f>VLOOKUP($B94,master!$B$3:$S$600,15,0)</f>
        <v>SMP UNGGULAN AISYIYAH</v>
      </c>
      <c r="O94" s="82" t="str">
        <f>VLOOKUP($B94,master!$B$3:$S$600,4,0)</f>
        <v>30-12-2008</v>
      </c>
    </row>
    <row r="95" spans="1:15" ht="15.75" customHeight="1" x14ac:dyDescent="0.25">
      <c r="A95" s="80" t="s">
        <v>738</v>
      </c>
      <c r="B95" s="11" t="s">
        <v>725</v>
      </c>
      <c r="C95" s="11" t="s">
        <v>4542</v>
      </c>
      <c r="D95" s="11" t="s">
        <v>27</v>
      </c>
      <c r="E95" s="65" t="str">
        <f>VLOOKUP(D95,Total!$C$2:$D$518,2,0)</f>
        <v>11 TAV</v>
      </c>
      <c r="F95" s="65" t="str">
        <f>VLOOKUP(C95,Total!$B$2:$F$514,5,0)</f>
        <v>AKTIF</v>
      </c>
      <c r="G95" s="67" t="str">
        <f>VLOOKUP($B95,master!$B$3:$S$600,16,0)</f>
        <v>083895368270</v>
      </c>
      <c r="H95" s="67" t="str">
        <f>VLOOKUP($B95,master!$B$3:$S$600,17,0)</f>
        <v>083149680364</v>
      </c>
      <c r="I95" s="67" t="str">
        <f>VLOOKUP($B95,master!$B$3:$S$600,8,0)</f>
        <v>JATEN</v>
      </c>
      <c r="J95" s="67" t="str">
        <f>VLOOKUP($B95,master!$B$3:$S$600,9,0)</f>
        <v>1</v>
      </c>
      <c r="K95" s="67" t="str">
        <f>VLOOKUP($B95,master!$B$3:$S$600,11,0)</f>
        <v>TRIHARJO</v>
      </c>
      <c r="L95" s="67" t="str">
        <f>VLOOKUP($B95,master!$B$3:$S$600,12,0)</f>
        <v>PANDAK</v>
      </c>
      <c r="M95" s="67" t="str">
        <f>VLOOKUP($B95,master!$B$3:$S$600,6,0)</f>
        <v>HANATIQ</v>
      </c>
      <c r="N95" s="82" t="str">
        <f>VLOOKUP($B95,master!$B$3:$S$600,15,0)</f>
        <v>SMP N 4 PANDAK</v>
      </c>
      <c r="O95" s="82" t="str">
        <f>VLOOKUP($B95,master!$B$3:$S$600,4,0)</f>
        <v>23-07-2006</v>
      </c>
    </row>
    <row r="96" spans="1:15" ht="15.75" customHeight="1" x14ac:dyDescent="0.25">
      <c r="A96" s="80" t="s">
        <v>740</v>
      </c>
      <c r="B96" s="11" t="s">
        <v>727</v>
      </c>
      <c r="C96" s="11" t="s">
        <v>4543</v>
      </c>
      <c r="D96" s="11" t="s">
        <v>28</v>
      </c>
      <c r="E96" s="65" t="str">
        <f>VLOOKUP(D96,Total!$C$2:$D$518,2,0)</f>
        <v>11 TAV</v>
      </c>
      <c r="F96" s="65" t="str">
        <f>VLOOKUP(C96,Total!$B$2:$F$514,5,0)</f>
        <v>AKTIF</v>
      </c>
      <c r="G96" s="67" t="str">
        <f>VLOOKUP($B96,master!$B$3:$S$600,16,0)</f>
        <v>083131675526</v>
      </c>
      <c r="H96" s="67" t="str">
        <f>VLOOKUP($B96,master!$B$3:$S$600,17,0)</f>
        <v>083159126625</v>
      </c>
      <c r="I96" s="67" t="str">
        <f>VLOOKUP($B96,master!$B$3:$S$600,8,0)</f>
        <v>CEME</v>
      </c>
      <c r="J96" s="67" t="str">
        <f>VLOOKUP($B96,master!$B$3:$S$600,9,0)</f>
        <v>002</v>
      </c>
      <c r="K96" s="67" t="str">
        <f>VLOOKUP($B96,master!$B$3:$S$600,11,0)</f>
        <v>SRIGADING</v>
      </c>
      <c r="L96" s="67" t="str">
        <f>VLOOKUP($B96,master!$B$3:$S$600,12,0)</f>
        <v>SA NDEN</v>
      </c>
      <c r="M96" s="67" t="str">
        <f>VLOOKUP($B96,master!$B$3:$S$600,6,0)</f>
        <v>NURYANTO</v>
      </c>
      <c r="N96" s="82" t="str">
        <f>VLOOKUP($B96,master!$B$3:$S$600,15,0)</f>
        <v>SMP N 2 SANDEN</v>
      </c>
      <c r="O96" s="82" t="str">
        <f>VLOOKUP($B96,master!$B$3:$S$600,4,0)</f>
        <v>5-04-2009</v>
      </c>
    </row>
    <row r="97" spans="1:15" ht="15.75" customHeight="1" x14ac:dyDescent="0.25">
      <c r="A97" s="80" t="s">
        <v>742</v>
      </c>
      <c r="B97" s="11" t="s">
        <v>729</v>
      </c>
      <c r="C97" s="11" t="s">
        <v>4544</v>
      </c>
      <c r="D97" s="11" t="s">
        <v>29</v>
      </c>
      <c r="E97" s="65" t="str">
        <f>VLOOKUP(D97,Total!$C$2:$D$518,2,0)</f>
        <v>11 TAV</v>
      </c>
      <c r="F97" s="65" t="str">
        <f>VLOOKUP(C97,Total!$B$2:$F$514,5,0)</f>
        <v>AKTIF</v>
      </c>
      <c r="G97" s="67" t="str">
        <f>VLOOKUP($B97,master!$B$3:$S$600,16,0)</f>
        <v>087843111421</v>
      </c>
      <c r="H97" s="67" t="str">
        <f>VLOOKUP($B97,master!$B$3:$S$600,17,0)</f>
        <v>089510777654</v>
      </c>
      <c r="I97" s="67" t="str">
        <f>VLOOKUP($B97,master!$B$3:$S$600,8,0)</f>
        <v>KWENI</v>
      </c>
      <c r="J97" s="67" t="str">
        <f>VLOOKUP($B97,master!$B$3:$S$600,9,0)</f>
        <v>2</v>
      </c>
      <c r="K97" s="67" t="str">
        <f>VLOOKUP($B97,master!$B$3:$S$600,11,0)</f>
        <v>PANGGUNGHARJO</v>
      </c>
      <c r="L97" s="67" t="str">
        <f>VLOOKUP($B97,master!$B$3:$S$600,12,0)</f>
        <v>SEWON</v>
      </c>
      <c r="M97" s="67" t="str">
        <f>VLOOKUP($B97,master!$B$3:$S$600,6,0)</f>
        <v>SUKARTINI</v>
      </c>
      <c r="N97" s="82" t="str">
        <f>VLOOKUP($B97,master!$B$3:$S$600,15,0)</f>
        <v>SMP MUHAMMADIYAH SEWON</v>
      </c>
      <c r="O97" s="82" t="str">
        <f>VLOOKUP($B97,master!$B$3:$S$600,4,0)</f>
        <v>7-05-2008</v>
      </c>
    </row>
    <row r="98" spans="1:15" ht="15.75" customHeight="1" x14ac:dyDescent="0.25">
      <c r="A98" s="80" t="s">
        <v>744</v>
      </c>
      <c r="B98" s="11" t="s">
        <v>731</v>
      </c>
      <c r="C98" s="11" t="s">
        <v>4545</v>
      </c>
      <c r="D98" s="11" t="s">
        <v>30</v>
      </c>
      <c r="E98" s="65" t="str">
        <f>VLOOKUP(D98,Total!$C$2:$D$518,2,0)</f>
        <v>11 TAV</v>
      </c>
      <c r="F98" s="65" t="str">
        <f>VLOOKUP(C98,Total!$B$2:$F$514,5,0)</f>
        <v>AKTIF</v>
      </c>
      <c r="G98" s="67" t="str">
        <f>VLOOKUP($B98,master!$B$3:$S$600,16,0)</f>
        <v>085725911032</v>
      </c>
      <c r="H98" s="67" t="str">
        <f>VLOOKUP($B98,master!$B$3:$S$600,17,0)</f>
        <v>0882008145851</v>
      </c>
      <c r="I98" s="67" t="str">
        <f>VLOOKUP($B98,master!$B$3:$S$600,8,0)</f>
        <v>DUKUH</v>
      </c>
      <c r="J98" s="67" t="str">
        <f>VLOOKUP($B98,master!$B$3:$S$600,9,0)</f>
        <v>4</v>
      </c>
      <c r="K98" s="67" t="str">
        <f>VLOOKUP($B98,master!$B$3:$S$600,11,0)</f>
        <v>SELOHARJO</v>
      </c>
      <c r="L98" s="67" t="str">
        <f>VLOOKUP($B98,master!$B$3:$S$600,12,0)</f>
        <v>PUNDONG</v>
      </c>
      <c r="M98" s="67" t="str">
        <f>VLOOKUP($B98,master!$B$3:$S$600,6,0)</f>
        <v>LOTIJAN</v>
      </c>
      <c r="N98" s="82" t="str">
        <f>VLOOKUP($B98,master!$B$3:$S$600,15,0)</f>
        <v>SMP MUHAMMADIYAH KALASAN</v>
      </c>
      <c r="O98" s="82" t="str">
        <f>VLOOKUP($B98,master!$B$3:$S$600,4,0)</f>
        <v>13-12-2006</v>
      </c>
    </row>
    <row r="99" spans="1:15" ht="15.75" customHeight="1" x14ac:dyDescent="0.25">
      <c r="A99" s="80" t="s">
        <v>746</v>
      </c>
      <c r="B99" s="11" t="s">
        <v>733</v>
      </c>
      <c r="C99" s="11" t="s">
        <v>4546</v>
      </c>
      <c r="D99" s="11" t="s">
        <v>31</v>
      </c>
      <c r="E99" s="65" t="str">
        <f>VLOOKUP(D99,Total!$C$2:$D$518,2,0)</f>
        <v>11 TAV</v>
      </c>
      <c r="F99" s="65" t="str">
        <f>VLOOKUP(C99,Total!$B$2:$F$514,5,0)</f>
        <v>AKTIF</v>
      </c>
      <c r="G99" s="67" t="str">
        <f>VLOOKUP($B99,master!$B$3:$S$600,16,0)</f>
        <v>085158852289</v>
      </c>
      <c r="H99" s="67" t="str">
        <f>VLOOKUP($B99,master!$B$3:$S$600,17,0)</f>
        <v>0895379139524</v>
      </c>
      <c r="I99" s="67" t="str">
        <f>VLOOKUP($B99,master!$B$3:$S$600,8,0)</f>
        <v>JURON</v>
      </c>
      <c r="J99" s="67" t="str">
        <f>VLOOKUP($B99,master!$B$3:$S$600,9,0)</f>
        <v>19</v>
      </c>
      <c r="K99" s="67" t="str">
        <f>VLOOKUP($B99,master!$B$3:$S$600,11,0)</f>
        <v>PENDOWOHARJO</v>
      </c>
      <c r="L99" s="67" t="str">
        <f>VLOOKUP($B99,master!$B$3:$S$600,12,0)</f>
        <v>SEWON</v>
      </c>
      <c r="M99" s="67" t="str">
        <f>VLOOKUP($B99,master!$B$3:$S$600,6,0)</f>
        <v>AFRIZAL ZASKY</v>
      </c>
      <c r="N99" s="82" t="str">
        <f>VLOOKUP($B99,master!$B$3:$S$600,15,0)</f>
        <v>MTS N 4 BANTUL</v>
      </c>
      <c r="O99" s="82" t="str">
        <f>VLOOKUP($B99,master!$B$3:$S$600,4,0)</f>
        <v>22-01-2009</v>
      </c>
    </row>
    <row r="100" spans="1:15" ht="15.75" customHeight="1" x14ac:dyDescent="0.25">
      <c r="A100" s="80" t="s">
        <v>748</v>
      </c>
      <c r="B100" s="11" t="s">
        <v>735</v>
      </c>
      <c r="C100" s="11" t="s">
        <v>4547</v>
      </c>
      <c r="D100" s="11" t="s">
        <v>32</v>
      </c>
      <c r="E100" s="65" t="str">
        <f>VLOOKUP(D100,Total!$C$2:$D$518,2,0)</f>
        <v>11 TAV</v>
      </c>
      <c r="F100" s="65" t="str">
        <f>VLOOKUP(C100,Total!$B$2:$F$514,5,0)</f>
        <v>AKTIF</v>
      </c>
      <c r="G100" s="67" t="str">
        <f>VLOOKUP($B100,master!$B$3:$S$600,16,0)</f>
        <v>085868828119</v>
      </c>
      <c r="H100" s="67" t="str">
        <f>VLOOKUP($B100,master!$B$3:$S$600,17,0)</f>
        <v>085868828119</v>
      </c>
      <c r="I100" s="67" t="str">
        <f>VLOOKUP($B100,master!$B$3:$S$600,8,0)</f>
        <v>Banyudono</v>
      </c>
      <c r="J100" s="67" t="str">
        <f>VLOOKUP($B100,master!$B$3:$S$600,9,0)</f>
        <v>04</v>
      </c>
      <c r="K100" s="67" t="str">
        <f>VLOOKUP($B100,master!$B$3:$S$600,11,0)</f>
        <v>Canden</v>
      </c>
      <c r="L100" s="67" t="str">
        <f>VLOOKUP($B100,master!$B$3:$S$600,12,0)</f>
        <v>Jetis</v>
      </c>
      <c r="M100" s="67" t="str">
        <f>VLOOKUP($B100,master!$B$3:$S$600,6,0)</f>
        <v>Siti Wahyuni</v>
      </c>
      <c r="N100" s="82" t="str">
        <f>VLOOKUP($B100,master!$B$3:$S$600,15,0)</f>
        <v>SMP Negeri 3 Jetis</v>
      </c>
      <c r="O100" s="82" t="str">
        <f>VLOOKUP($B100,master!$B$3:$S$600,4,0)</f>
        <v>18-11-2008</v>
      </c>
    </row>
    <row r="101" spans="1:15" ht="15.75" customHeight="1" x14ac:dyDescent="0.25">
      <c r="A101" s="80" t="s">
        <v>750</v>
      </c>
      <c r="B101" s="11" t="s">
        <v>737</v>
      </c>
      <c r="C101" s="11" t="s">
        <v>4548</v>
      </c>
      <c r="D101" s="11" t="s">
        <v>33</v>
      </c>
      <c r="E101" s="65" t="str">
        <f>VLOOKUP(D101,Total!$C$2:$D$518,2,0)</f>
        <v>11 TAV</v>
      </c>
      <c r="F101" s="65" t="str">
        <f>VLOOKUP(C101,Total!$B$2:$F$514,5,0)</f>
        <v>AKTIF</v>
      </c>
      <c r="G101" s="67" t="str">
        <f>VLOOKUP($B101,master!$B$3:$S$600,16,0)</f>
        <v>0895320882517</v>
      </c>
      <c r="H101" s="67" t="str">
        <f>VLOOKUP($B101,master!$B$3:$S$600,17,0)</f>
        <v>0895320882517</v>
      </c>
      <c r="I101" s="67" t="str">
        <f>VLOOKUP($B101,master!$B$3:$S$600,8,0)</f>
        <v>JEJERAN 1</v>
      </c>
      <c r="J101" s="67" t="str">
        <f>VLOOKUP($B101,master!$B$3:$S$600,9,0)</f>
        <v>03</v>
      </c>
      <c r="K101" s="67" t="str">
        <f>VLOOKUP($B101,master!$B$3:$S$600,11,0)</f>
        <v>WONOKROMO</v>
      </c>
      <c r="L101" s="67" t="str">
        <f>VLOOKUP($B101,master!$B$3:$S$600,12,0)</f>
        <v>PLERET</v>
      </c>
      <c r="M101" s="67" t="str">
        <f>VLOOKUP($B101,master!$B$3:$S$600,6,0)</f>
        <v>TRI ZULIYANTI</v>
      </c>
      <c r="N101" s="82" t="str">
        <f>VLOOKUP($B101,master!$B$3:$S$600,15,0)</f>
        <v>SMP N 1 PLERET</v>
      </c>
      <c r="O101" s="82" t="str">
        <f>VLOOKUP($B101,master!$B$3:$S$600,4,0)</f>
        <v>30-04-2007</v>
      </c>
    </row>
    <row r="102" spans="1:15" ht="15.75" customHeight="1" x14ac:dyDescent="0.25">
      <c r="A102" s="80" t="s">
        <v>752</v>
      </c>
      <c r="B102" s="11" t="s">
        <v>739</v>
      </c>
      <c r="C102" s="11" t="s">
        <v>4549</v>
      </c>
      <c r="D102" s="11" t="s">
        <v>34</v>
      </c>
      <c r="E102" s="65" t="str">
        <f>VLOOKUP(D102,Total!$C$2:$D$518,2,0)</f>
        <v>11 TAV</v>
      </c>
      <c r="F102" s="65" t="str">
        <f>VLOOKUP(C102,Total!$B$2:$F$514,5,0)</f>
        <v>AKTIF</v>
      </c>
      <c r="G102" s="67" t="str">
        <f>VLOOKUP($B102,master!$B$3:$S$600,16,0)</f>
        <v>088215673385</v>
      </c>
      <c r="H102" s="67" t="str">
        <f>VLOOKUP($B102,master!$B$3:$S$600,17,0)</f>
        <v>088238848765</v>
      </c>
      <c r="I102" s="67" t="str">
        <f>VLOOKUP($B102,master!$B$3:$S$600,8,0)</f>
        <v>JETAK MREDRO</v>
      </c>
      <c r="J102" s="67" t="str">
        <f>VLOOKUP($B102,master!$B$3:$S$600,9,0)</f>
        <v>01</v>
      </c>
      <c r="K102" s="67" t="str">
        <f>VLOOKUP($B102,master!$B$3:$S$600,11,0)</f>
        <v>BANGUNHARJO</v>
      </c>
      <c r="L102" s="67" t="str">
        <f>VLOOKUP($B102,master!$B$3:$S$600,12,0)</f>
        <v>SEWON</v>
      </c>
      <c r="M102" s="67" t="str">
        <f>VLOOKUP($B102,master!$B$3:$S$600,6,0)</f>
        <v>SURATMAT</v>
      </c>
      <c r="N102" s="82" t="str">
        <f>VLOOKUP($B102,master!$B$3:$S$600,15,0)</f>
        <v>SMP ALMA'ARIF BANTUL</v>
      </c>
      <c r="O102" s="82" t="str">
        <f>VLOOKUP($B102,master!$B$3:$S$600,4,0)</f>
        <v>27-05-2008</v>
      </c>
    </row>
    <row r="103" spans="1:15" ht="15.75" customHeight="1" x14ac:dyDescent="0.25">
      <c r="A103" s="80" t="s">
        <v>754</v>
      </c>
      <c r="B103" s="11" t="s">
        <v>741</v>
      </c>
      <c r="C103" s="11" t="s">
        <v>4550</v>
      </c>
      <c r="D103" s="11" t="s">
        <v>35</v>
      </c>
      <c r="E103" s="65" t="str">
        <f>VLOOKUP(D103,Total!$C$2:$D$518,2,0)</f>
        <v>11 TAV</v>
      </c>
      <c r="F103" s="65" t="str">
        <f>VLOOKUP(C103,Total!$B$2:$F$514,5,0)</f>
        <v>AKTIF</v>
      </c>
      <c r="G103" s="67" t="str">
        <f>VLOOKUP($B103,master!$B$3:$S$600,16,0)</f>
        <v>089608576500</v>
      </c>
      <c r="H103" s="67" t="str">
        <f>VLOOKUP($B103,master!$B$3:$S$600,17,0)</f>
        <v>0895375009500</v>
      </c>
      <c r="I103" s="67" t="str">
        <f>VLOOKUP($B103,master!$B$3:$S$600,8,0)</f>
        <v>KARANGTALUN</v>
      </c>
      <c r="J103" s="67" t="str">
        <f>VLOOKUP($B103,master!$B$3:$S$600,9,0)</f>
        <v>01</v>
      </c>
      <c r="K103" s="67" t="str">
        <f>VLOOKUP($B103,master!$B$3:$S$600,11,0)</f>
        <v>KARANGTALUN</v>
      </c>
      <c r="L103" s="67" t="str">
        <f>VLOOKUP($B103,master!$B$3:$S$600,12,0)</f>
        <v>IMOGIRI</v>
      </c>
      <c r="M103" s="67" t="str">
        <f>VLOOKUP($B103,master!$B$3:$S$600,6,0)</f>
        <v>Supriyo</v>
      </c>
      <c r="N103" s="82" t="str">
        <f>VLOOKUP($B103,master!$B$3:$S$600,15,0)</f>
        <v>SMP N 1 IMOGIRI</v>
      </c>
      <c r="O103" s="82" t="str">
        <f>VLOOKUP($B103,master!$B$3:$S$600,4,0)</f>
        <v>30-12-2008</v>
      </c>
    </row>
    <row r="104" spans="1:15" ht="15.75" customHeight="1" x14ac:dyDescent="0.25">
      <c r="A104" s="80" t="s">
        <v>756</v>
      </c>
      <c r="B104" s="11" t="s">
        <v>743</v>
      </c>
      <c r="C104" s="11" t="s">
        <v>4551</v>
      </c>
      <c r="D104" s="11" t="s">
        <v>36</v>
      </c>
      <c r="E104" s="65" t="str">
        <f>VLOOKUP(D104,Total!$C$2:$D$518,2,0)</f>
        <v>11 TAV</v>
      </c>
      <c r="F104" s="65" t="str">
        <f>VLOOKUP(C104,Total!$B$2:$F$514,5,0)</f>
        <v>AKTIF</v>
      </c>
      <c r="G104" s="67" t="str">
        <f>VLOOKUP($B104,master!$B$3:$S$600,16,0)</f>
        <v>081224623568</v>
      </c>
      <c r="H104" s="67" t="str">
        <f>VLOOKUP($B104,master!$B$3:$S$600,17,0)</f>
        <v>0895630376364</v>
      </c>
      <c r="I104" s="67" t="str">
        <f>VLOOKUP($B104,master!$B$3:$S$600,8,0)</f>
        <v>Sumberagung</v>
      </c>
      <c r="J104" s="67" t="str">
        <f>VLOOKUP($B104,master!$B$3:$S$600,9,0)</f>
        <v>04</v>
      </c>
      <c r="K104" s="67" t="str">
        <f>VLOOKUP($B104,master!$B$3:$S$600,11,0)</f>
        <v>Pule</v>
      </c>
      <c r="L104" s="67" t="str">
        <f>VLOOKUP($B104,master!$B$3:$S$600,12,0)</f>
        <v>Jetis</v>
      </c>
      <c r="M104" s="67" t="str">
        <f>VLOOKUP($B104,master!$B$3:$S$600,6,0)</f>
        <v>Tukijan</v>
      </c>
      <c r="N104" s="82" t="str">
        <f>VLOOKUP($B104,master!$B$3:$S$600,15,0)</f>
        <v>SMP Negeri 2 Jetis</v>
      </c>
      <c r="O104" s="82" t="str">
        <f>VLOOKUP($B104,master!$B$3:$S$600,4,0)</f>
        <v>9-09-2008</v>
      </c>
    </row>
    <row r="105" spans="1:15" ht="15.75" customHeight="1" x14ac:dyDescent="0.25">
      <c r="A105" s="80" t="s">
        <v>758</v>
      </c>
      <c r="B105" s="11" t="s">
        <v>745</v>
      </c>
      <c r="C105" s="11" t="s">
        <v>4552</v>
      </c>
      <c r="D105" s="11" t="s">
        <v>37</v>
      </c>
      <c r="E105" s="65" t="str">
        <f>VLOOKUP(D105,Total!$C$2:$D$518,2,0)</f>
        <v>11 TAV</v>
      </c>
      <c r="F105" s="65" t="str">
        <f>VLOOKUP(C105,Total!$B$2:$F$514,5,0)</f>
        <v>AKTIF</v>
      </c>
      <c r="G105" s="67" t="str">
        <f>VLOOKUP($B105,master!$B$3:$S$600,16,0)</f>
        <v>088232301249</v>
      </c>
      <c r="H105" s="67" t="str">
        <f>VLOOKUP($B105,master!$B$3:$S$600,17,0)</f>
        <v>-</v>
      </c>
      <c r="I105" s="67" t="str">
        <f>VLOOKUP($B105,master!$B$3:$S$600,8,0)</f>
        <v>JEDIGAN</v>
      </c>
      <c r="J105" s="67" t="str">
        <f>VLOOKUP($B105,master!$B$3:$S$600,9,0)</f>
        <v>3</v>
      </c>
      <c r="K105" s="67" t="str">
        <f>VLOOKUP($B105,master!$B$3:$S$600,11,0)</f>
        <v>TRIRENGGO</v>
      </c>
      <c r="L105" s="67" t="str">
        <f>VLOOKUP($B105,master!$B$3:$S$600,12,0)</f>
        <v>BANTUL</v>
      </c>
      <c r="M105" s="67" t="str">
        <f>VLOOKUP($B105,master!$B$3:$S$600,6,0)</f>
        <v>ASRI ROHMANI</v>
      </c>
      <c r="N105" s="82" t="str">
        <f>VLOOKUP($B105,master!$B$3:$S$600,15,0)</f>
        <v>SMP MUHAMMADIYAH BANTUL</v>
      </c>
      <c r="O105" s="82" t="str">
        <f>VLOOKUP($B105,master!$B$3:$S$600,4,0)</f>
        <v>23-03-2009</v>
      </c>
    </row>
    <row r="106" spans="1:15" ht="15.75" customHeight="1" x14ac:dyDescent="0.25">
      <c r="A106" s="80" t="s">
        <v>760</v>
      </c>
      <c r="B106" s="11" t="s">
        <v>747</v>
      </c>
      <c r="C106" s="11" t="s">
        <v>4553</v>
      </c>
      <c r="D106" s="11" t="s">
        <v>38</v>
      </c>
      <c r="E106" s="65" t="str">
        <f>VLOOKUP(D106,Total!$C$2:$D$518,2,0)</f>
        <v>11 TAV</v>
      </c>
      <c r="F106" s="65" t="str">
        <f>VLOOKUP(C106,Total!$B$2:$F$514,5,0)</f>
        <v>AKTIF</v>
      </c>
      <c r="G106" s="67" t="str">
        <f>VLOOKUP($B106,master!$B$3:$S$600,16,0)</f>
        <v>087731056553</v>
      </c>
      <c r="H106" s="67" t="str">
        <f>VLOOKUP($B106,master!$B$3:$S$600,17,0)</f>
        <v>087888761615</v>
      </c>
      <c r="I106" s="67" t="str">
        <f>VLOOKUP($B106,master!$B$3:$S$600,8,0)</f>
        <v>KERSAN</v>
      </c>
      <c r="J106" s="67" t="str">
        <f>VLOOKUP($B106,master!$B$3:$S$600,9,0)</f>
        <v>005</v>
      </c>
      <c r="K106" s="67" t="str">
        <f>VLOOKUP($B106,master!$B$3:$S$600,11,0)</f>
        <v>TIRTONIRMOLO</v>
      </c>
      <c r="L106" s="67" t="str">
        <f>VLOOKUP($B106,master!$B$3:$S$600,12,0)</f>
        <v>KASIHAN</v>
      </c>
      <c r="M106" s="67" t="str">
        <f>VLOOKUP($B106,master!$B$3:$S$600,6,0)</f>
        <v>SUBIMAN</v>
      </c>
      <c r="N106" s="82" t="str">
        <f>VLOOKUP($B106,master!$B$3:$S$600,15,0)</f>
        <v>SMP MUHAMMADIYAH KASIHAN</v>
      </c>
      <c r="O106" s="82" t="str">
        <f>VLOOKUP($B106,master!$B$3:$S$600,4,0)</f>
        <v>5-10-2008</v>
      </c>
    </row>
    <row r="107" spans="1:15" ht="15.75" customHeight="1" x14ac:dyDescent="0.25">
      <c r="A107" s="80" t="s">
        <v>762</v>
      </c>
      <c r="B107" s="11" t="s">
        <v>749</v>
      </c>
      <c r="C107" s="11" t="s">
        <v>4554</v>
      </c>
      <c r="D107" s="11" t="s">
        <v>39</v>
      </c>
      <c r="E107" s="65" t="str">
        <f>VLOOKUP(D107,Total!$C$2:$D$518,2,0)</f>
        <v>11 TAV</v>
      </c>
      <c r="F107" s="65" t="str">
        <f>VLOOKUP(C107,Total!$B$2:$F$514,5,0)</f>
        <v>AKTIF</v>
      </c>
      <c r="G107" s="67" t="str">
        <f>VLOOKUP($B107,master!$B$3:$S$600,16,0)</f>
        <v>081990413393</v>
      </c>
      <c r="H107" s="67" t="str">
        <f>VLOOKUP($B107,master!$B$3:$S$600,17,0)</f>
        <v>08895520181</v>
      </c>
      <c r="I107" s="67" t="str">
        <f>VLOOKUP($B107,master!$B$3:$S$600,8,0)</f>
        <v>Dukuh</v>
      </c>
      <c r="J107" s="67" t="str">
        <f>VLOOKUP($B107,master!$B$3:$S$600,9,0)</f>
        <v>02</v>
      </c>
      <c r="K107" s="67" t="str">
        <f>VLOOKUP($B107,master!$B$3:$S$600,11,0)</f>
        <v>SELOHARJO</v>
      </c>
      <c r="L107" s="67" t="str">
        <f>VLOOKUP($B107,master!$B$3:$S$600,12,0)</f>
        <v>PUNDONG</v>
      </c>
      <c r="M107" s="67" t="str">
        <f>VLOOKUP($B107,master!$B$3:$S$600,6,0)</f>
        <v>Sri Juliani</v>
      </c>
      <c r="N107" s="82" t="str">
        <f>VLOOKUP($B107,master!$B$3:$S$600,15,0)</f>
        <v>SMP N 2 PUNDONG</v>
      </c>
      <c r="O107" s="82" t="str">
        <f>VLOOKUP($B107,master!$B$3:$S$600,4,0)</f>
        <v>17-02-2008</v>
      </c>
    </row>
    <row r="108" spans="1:15" ht="15.75" customHeight="1" x14ac:dyDescent="0.25">
      <c r="A108" s="80" t="s">
        <v>764</v>
      </c>
      <c r="B108" s="11" t="s">
        <v>751</v>
      </c>
      <c r="C108" s="11" t="s">
        <v>4555</v>
      </c>
      <c r="D108" s="11" t="s">
        <v>40</v>
      </c>
      <c r="E108" s="65" t="str">
        <f>VLOOKUP(D108,Total!$C$2:$D$518,2,0)</f>
        <v>11 TAV</v>
      </c>
      <c r="F108" s="65" t="str">
        <f>VLOOKUP(C108,Total!$B$2:$F$514,5,0)</f>
        <v>AKTIF</v>
      </c>
      <c r="G108" s="67" t="str">
        <f>VLOOKUP($B108,master!$B$3:$S$600,16,0)</f>
        <v>083154542685</v>
      </c>
      <c r="H108" s="67" t="str">
        <f>VLOOKUP($B108,master!$B$3:$S$600,17,0)</f>
        <v>083154542685</v>
      </c>
      <c r="I108" s="67" t="str">
        <f>VLOOKUP($B108,master!$B$3:$S$600,8,0)</f>
        <v>DIRO</v>
      </c>
      <c r="J108" s="67" t="str">
        <f>VLOOKUP($B108,master!$B$3:$S$600,9,0)</f>
        <v>61</v>
      </c>
      <c r="K108" s="67" t="str">
        <f>VLOOKUP($B108,master!$B$3:$S$600,11,0)</f>
        <v>PENDOWOHARJO</v>
      </c>
      <c r="L108" s="67" t="str">
        <f>VLOOKUP($B108,master!$B$3:$S$600,12,0)</f>
        <v>SEWON</v>
      </c>
      <c r="M108" s="67" t="str">
        <f>VLOOKUP($B108,master!$B$3:$S$600,6,0)</f>
        <v>NUR CAHYO NOVIANTO</v>
      </c>
      <c r="N108" s="82" t="str">
        <f>VLOOKUP($B108,master!$B$3:$S$600,15,0)</f>
        <v>SMP MUHAMMADIYAH SEWON</v>
      </c>
      <c r="O108" s="82" t="str">
        <f>VLOOKUP($B108,master!$B$3:$S$600,4,0)</f>
        <v>13-01-2008</v>
      </c>
    </row>
    <row r="109" spans="1:15" ht="15.75" customHeight="1" x14ac:dyDescent="0.25">
      <c r="A109" s="80" t="s">
        <v>766</v>
      </c>
      <c r="B109" s="11" t="s">
        <v>753</v>
      </c>
      <c r="C109" s="11" t="s">
        <v>4556</v>
      </c>
      <c r="D109" s="11" t="s">
        <v>41</v>
      </c>
      <c r="E109" s="65" t="str">
        <f>VLOOKUP(D109,Total!$C$2:$D$518,2,0)</f>
        <v>11 TAV</v>
      </c>
      <c r="F109" s="65" t="str">
        <f>VLOOKUP(C109,Total!$B$2:$F$514,5,0)</f>
        <v>AKTIF</v>
      </c>
      <c r="G109" s="67" t="str">
        <f>VLOOKUP($B109,master!$B$3:$S$600,16,0)</f>
        <v>082134835099</v>
      </c>
      <c r="H109" s="67" t="str">
        <f>VLOOKUP($B109,master!$B$3:$S$600,17,0)</f>
        <v>082134835099</v>
      </c>
      <c r="I109" s="67" t="str">
        <f>VLOOKUP($B109,master!$B$3:$S$600,8,0)</f>
        <v>KARANGANYAR</v>
      </c>
      <c r="J109" s="67" t="str">
        <f>VLOOKUP($B109,master!$B$3:$S$600,9,0)</f>
        <v>002</v>
      </c>
      <c r="K109" s="67" t="str">
        <f>VLOOKUP($B109,master!$B$3:$S$600,11,0)</f>
        <v>GADINGHARJO</v>
      </c>
      <c r="L109" s="67" t="str">
        <f>VLOOKUP($B109,master!$B$3:$S$600,12,0)</f>
        <v>SANDEN</v>
      </c>
      <c r="M109" s="67" t="str">
        <f>VLOOKUP($B109,master!$B$3:$S$600,6,0)</f>
        <v>MUKIBAR</v>
      </c>
      <c r="N109" s="82" t="str">
        <f>VLOOKUP($B109,master!$B$3:$S$600,15,0)</f>
        <v>SMP N 2 SANDEN</v>
      </c>
      <c r="O109" s="82" t="str">
        <f>VLOOKUP($B109,master!$B$3:$S$600,4,0)</f>
        <v>13-11-2006</v>
      </c>
    </row>
    <row r="110" spans="1:15" ht="15.75" customHeight="1" x14ac:dyDescent="0.25">
      <c r="A110" s="80" t="s">
        <v>768</v>
      </c>
      <c r="B110" s="11" t="s">
        <v>755</v>
      </c>
      <c r="C110" s="11" t="s">
        <v>4557</v>
      </c>
      <c r="D110" s="11" t="s">
        <v>42</v>
      </c>
      <c r="E110" s="65" t="str">
        <f>VLOOKUP(D110,Total!$C$2:$D$518,2,0)</f>
        <v>11 TAV</v>
      </c>
      <c r="F110" s="65" t="str">
        <f>VLOOKUP(C110,Total!$B$2:$F$514,5,0)</f>
        <v>AKTIF</v>
      </c>
      <c r="G110" s="67" t="str">
        <f>VLOOKUP($B110,master!$B$3:$S$600,16,0)</f>
        <v>083892198552</v>
      </c>
      <c r="H110" s="67" t="str">
        <f>VLOOKUP($B110,master!$B$3:$S$600,17,0)</f>
        <v>083114823539</v>
      </c>
      <c r="I110" s="67" t="str">
        <f>VLOOKUP($B110,master!$B$3:$S$600,8,0)</f>
        <v>NOGOSARI 1</v>
      </c>
      <c r="J110" s="67" t="str">
        <f>VLOOKUP($B110,master!$B$3:$S$600,9,0)</f>
        <v>04</v>
      </c>
      <c r="K110" s="67" t="str">
        <f>VLOOKUP($B110,master!$B$3:$S$600,11,0)</f>
        <v>WUKIRSARI</v>
      </c>
      <c r="L110" s="67" t="str">
        <f>VLOOKUP($B110,master!$B$3:$S$600,12,0)</f>
        <v>BANTUL</v>
      </c>
      <c r="M110" s="67" t="str">
        <f>VLOOKUP($B110,master!$B$3:$S$600,6,0)</f>
        <v>SUPOMO</v>
      </c>
      <c r="N110" s="82" t="str">
        <f>VLOOKUP($B110,master!$B$3:$S$600,15,0)</f>
        <v>SMP N 1 IMOGIRI</v>
      </c>
      <c r="O110" s="82" t="str">
        <f>VLOOKUP($B110,master!$B$3:$S$600,4,0)</f>
        <v>17-10-2007</v>
      </c>
    </row>
    <row r="111" spans="1:15" ht="15.75" customHeight="1" x14ac:dyDescent="0.25">
      <c r="A111" s="80" t="s">
        <v>770</v>
      </c>
      <c r="B111" s="11" t="s">
        <v>757</v>
      </c>
      <c r="C111" s="11" t="s">
        <v>4558</v>
      </c>
      <c r="D111" s="11" t="s">
        <v>43</v>
      </c>
      <c r="E111" s="65" t="str">
        <f>VLOOKUP(D111,Total!$C$2:$D$518,2,0)</f>
        <v>11 TAV</v>
      </c>
      <c r="F111" s="65" t="str">
        <f>VLOOKUP(C111,Total!$B$2:$F$514,5,0)</f>
        <v>AKTIF</v>
      </c>
      <c r="G111" s="67" t="str">
        <f>VLOOKUP($B111,master!$B$3:$S$600,16,0)</f>
        <v>89617780005</v>
      </c>
      <c r="H111" s="67" t="str">
        <f>VLOOKUP($B111,master!$B$3:$S$600,17,0)</f>
        <v>0</v>
      </c>
      <c r="I111" s="67" t="str">
        <f>VLOOKUP($B111,master!$B$3:$S$600,8,0)</f>
        <v>MANDING</v>
      </c>
      <c r="J111" s="67" t="str">
        <f>VLOOKUP($B111,master!$B$3:$S$600,9,0)</f>
        <v>6</v>
      </c>
      <c r="K111" s="67" t="str">
        <f>VLOOKUP($B111,master!$B$3:$S$600,11,0)</f>
        <v>SABDODADI</v>
      </c>
      <c r="L111" s="67" t="str">
        <f>VLOOKUP($B111,master!$B$3:$S$600,12,0)</f>
        <v>BANTUL</v>
      </c>
      <c r="M111" s="67" t="str">
        <f>VLOOKUP($B111,master!$B$3:$S$600,6,0)</f>
        <v>ISRAHADI</v>
      </c>
      <c r="N111" s="82" t="str">
        <f>VLOOKUP($B111,master!$B$3:$S$600,15,0)</f>
        <v>SMP MUHAMMADIYAH BANTUL</v>
      </c>
      <c r="O111" s="82" t="str">
        <f>VLOOKUP($B111,master!$B$3:$S$600,4,0)</f>
        <v>5-06-2008</v>
      </c>
    </row>
    <row r="112" spans="1:15" ht="15.75" customHeight="1" x14ac:dyDescent="0.25">
      <c r="A112" s="80" t="s">
        <v>772</v>
      </c>
      <c r="B112" s="11" t="s">
        <v>759</v>
      </c>
      <c r="C112" s="11" t="s">
        <v>4559</v>
      </c>
      <c r="D112" s="11" t="s">
        <v>5136</v>
      </c>
      <c r="E112" s="65" t="str">
        <f>VLOOKUP(D112,Total!$C$2:$D$518,2,0)</f>
        <v>11 TAV</v>
      </c>
      <c r="F112" s="65" t="str">
        <f>VLOOKUP(C112,Total!$B$2:$F$514,5,0)</f>
        <v>AKTIF</v>
      </c>
      <c r="G112" s="67" t="str">
        <f>VLOOKUP($B112,master!$B$3:$S$600,16,0)</f>
        <v>085150770297</v>
      </c>
      <c r="H112" s="67" t="str">
        <f>VLOOKUP($B112,master!$B$3:$S$600,17,0)</f>
        <v>085157145332</v>
      </c>
      <c r="I112" s="67" t="str">
        <f>VLOOKUP($B112,master!$B$3:$S$600,8,0)</f>
        <v>KERSAN</v>
      </c>
      <c r="J112" s="67" t="str">
        <f>VLOOKUP($B112,master!$B$3:$S$600,9,0)</f>
        <v>4</v>
      </c>
      <c r="K112" s="67" t="str">
        <f>VLOOKUP($B112,master!$B$3:$S$600,11,0)</f>
        <v>TIRTONIRMOLO</v>
      </c>
      <c r="L112" s="67" t="str">
        <f>VLOOKUP($B112,master!$B$3:$S$600,12,0)</f>
        <v>KASIHAN</v>
      </c>
      <c r="M112" s="67" t="str">
        <f>VLOOKUP($B112,master!$B$3:$S$600,6,0)</f>
        <v>Waldiyana/adik lestari</v>
      </c>
      <c r="N112" s="82" t="str">
        <f>VLOOKUP($B112,master!$B$3:$S$600,15,0)</f>
        <v>SMP MUHAMMADIYAH KASIHAN</v>
      </c>
      <c r="O112" s="82" t="str">
        <f>VLOOKUP($B112,master!$B$3:$S$600,4,0)</f>
        <v>31-07-2009</v>
      </c>
    </row>
    <row r="113" spans="1:15" ht="15.75" customHeight="1" x14ac:dyDescent="0.25">
      <c r="A113" s="80" t="s">
        <v>774</v>
      </c>
      <c r="B113" s="11" t="s">
        <v>761</v>
      </c>
      <c r="C113" s="11" t="s">
        <v>4560</v>
      </c>
      <c r="D113" s="11" t="s">
        <v>44</v>
      </c>
      <c r="E113" s="65" t="str">
        <f>VLOOKUP(D113,Total!$C$2:$D$518,2,0)</f>
        <v>11 TAV</v>
      </c>
      <c r="F113" s="65" t="str">
        <f>VLOOKUP(C113,Total!$B$2:$F$514,5,0)</f>
        <v>AKTIF</v>
      </c>
      <c r="G113" s="67" t="str">
        <f>VLOOKUP($B113,master!$B$3:$S$600,16,0)</f>
        <v>083154712589/083117403914</v>
      </c>
      <c r="H113" s="67" t="str">
        <f>VLOOKUP($B113,master!$B$3:$S$600,17,0)</f>
        <v>0895417647444</v>
      </c>
      <c r="I113" s="67" t="str">
        <f>VLOOKUP($B113,master!$B$3:$S$600,8,0)</f>
        <v>WARUNG PRING</v>
      </c>
      <c r="J113" s="67" t="str">
        <f>VLOOKUP($B113,master!$B$3:$S$600,9,0)</f>
        <v>1</v>
      </c>
      <c r="K113" s="67" t="str">
        <f>VLOOKUP($B113,master!$B$3:$S$600,11,0)</f>
        <v>MULYODADI</v>
      </c>
      <c r="L113" s="67" t="str">
        <f>VLOOKUP($B113,master!$B$3:$S$600,12,0)</f>
        <v>BAMBANGLIPURO</v>
      </c>
      <c r="M113" s="67" t="str">
        <f>VLOOKUP($B113,master!$B$3:$S$600,6,0)</f>
        <v>SUKIRMAN</v>
      </c>
      <c r="N113" s="82" t="str">
        <f>VLOOKUP($B113,master!$B$3:$S$600,15,0)</f>
        <v>SMP MUHAMMADIYAH 1 BAMBANG LIPURO</v>
      </c>
      <c r="O113" s="82" t="str">
        <f>VLOOKUP($B113,master!$B$3:$S$600,4,0)</f>
        <v>11-11-2008</v>
      </c>
    </row>
    <row r="114" spans="1:15" ht="15.75" customHeight="1" x14ac:dyDescent="0.25">
      <c r="A114" s="80" t="s">
        <v>776</v>
      </c>
      <c r="B114" s="11" t="s">
        <v>763</v>
      </c>
      <c r="C114" s="11" t="s">
        <v>4561</v>
      </c>
      <c r="D114" s="11" t="s">
        <v>45</v>
      </c>
      <c r="E114" s="65" t="str">
        <f>VLOOKUP(D114,Total!$C$2:$D$518,2,0)</f>
        <v>11 TAV</v>
      </c>
      <c r="F114" s="65" t="str">
        <f>VLOOKUP(C114,Total!$B$2:$F$514,5,0)</f>
        <v>AKTIF</v>
      </c>
      <c r="G114" s="67" t="str">
        <f>VLOOKUP($B114,master!$B$3:$S$600,16,0)</f>
        <v>085742032031</v>
      </c>
      <c r="H114" s="67" t="str">
        <f>VLOOKUP($B114,master!$B$3:$S$600,17,0)</f>
        <v>-</v>
      </c>
      <c r="I114" s="67" t="str">
        <f>VLOOKUP($B114,master!$B$3:$S$600,8,0)</f>
        <v>JLAMPRANG LOR</v>
      </c>
      <c r="J114" s="67" t="str">
        <f>VLOOKUP($B114,master!$B$3:$S$600,9,0)</f>
        <v>4</v>
      </c>
      <c r="K114" s="67" t="str">
        <f>VLOOKUP($B114,master!$B$3:$S$600,11,0)</f>
        <v>JAMBIDAN</v>
      </c>
      <c r="L114" s="67" t="str">
        <f>VLOOKUP($B114,master!$B$3:$S$600,12,0)</f>
        <v>BANGUNTAPAN</v>
      </c>
      <c r="M114" s="67" t="str">
        <f>VLOOKUP($B114,master!$B$3:$S$600,6,0)</f>
        <v>ERNI PRIHATIN</v>
      </c>
      <c r="N114" s="82" t="str">
        <f>VLOOKUP($B114,master!$B$3:$S$600,15,0)</f>
        <v>SMP MUHAMMADIYAH PLERET</v>
      </c>
      <c r="O114" s="82" t="str">
        <f>VLOOKUP($B114,master!$B$3:$S$600,4,0)</f>
        <v>16-08-2008</v>
      </c>
    </row>
    <row r="115" spans="1:15" ht="15.75" customHeight="1" x14ac:dyDescent="0.25">
      <c r="A115" s="80" t="s">
        <v>778</v>
      </c>
      <c r="B115" s="11" t="s">
        <v>765</v>
      </c>
      <c r="C115" s="11" t="s">
        <v>4562</v>
      </c>
      <c r="D115" s="11" t="s">
        <v>46</v>
      </c>
      <c r="E115" s="65" t="str">
        <f>VLOOKUP(D115,Total!$C$2:$D$518,2,0)</f>
        <v>11 TAV</v>
      </c>
      <c r="F115" s="65" t="str">
        <f>VLOOKUP(C115,Total!$B$2:$F$514,5,0)</f>
        <v>AKTIF</v>
      </c>
      <c r="G115" s="67" t="str">
        <f>VLOOKUP($B115,master!$B$3:$S$600,16,0)</f>
        <v>0895336745371</v>
      </c>
      <c r="H115" s="67" t="str">
        <f>VLOOKUP($B115,master!$B$3:$S$600,17,0)</f>
        <v>089652272122</v>
      </c>
      <c r="I115" s="67" t="str">
        <f>VLOOKUP($B115,master!$B$3:$S$600,8,0)</f>
        <v>BALAKAN</v>
      </c>
      <c r="J115" s="67" t="str">
        <f>VLOOKUP($B115,master!$B$3:$S$600,9,0)</f>
        <v>6</v>
      </c>
      <c r="K115" s="67" t="str">
        <f>VLOOKUP($B115,master!$B$3:$S$600,11,0)</f>
        <v>SUMBERAGUNG</v>
      </c>
      <c r="L115" s="67" t="str">
        <f>VLOOKUP($B115,master!$B$3:$S$600,12,0)</f>
        <v>JETIS</v>
      </c>
      <c r="M115" s="67" t="str">
        <f>VLOOKUP($B115,master!$B$3:$S$600,6,0)</f>
        <v>HERUTOMO</v>
      </c>
      <c r="N115" s="82" t="str">
        <f>VLOOKUP($B115,master!$B$3:$S$600,15,0)</f>
        <v>SMP N 3 JETIS</v>
      </c>
      <c r="O115" s="82" t="str">
        <f>VLOOKUP($B115,master!$B$3:$S$600,4,0)</f>
        <v>16-09-2008</v>
      </c>
    </row>
    <row r="116" spans="1:15" ht="15.75" customHeight="1" x14ac:dyDescent="0.25">
      <c r="A116" s="80" t="s">
        <v>780</v>
      </c>
      <c r="B116" s="11" t="s">
        <v>767</v>
      </c>
      <c r="C116" s="11" t="s">
        <v>4563</v>
      </c>
      <c r="D116" s="11" t="s">
        <v>47</v>
      </c>
      <c r="E116" s="65" t="str">
        <f>VLOOKUP(D116,Total!$C$2:$D$518,2,0)</f>
        <v>11 TAV</v>
      </c>
      <c r="F116" s="65" t="str">
        <f>VLOOKUP(C116,Total!$B$2:$F$514,5,0)</f>
        <v>AKTIF</v>
      </c>
      <c r="G116" s="67" t="str">
        <f>VLOOKUP($B116,master!$B$3:$S$600,16,0)</f>
        <v>081903745594</v>
      </c>
      <c r="H116" s="67" t="str">
        <f>VLOOKUP($B116,master!$B$3:$S$600,17,0)</f>
        <v>081292397612</v>
      </c>
      <c r="I116" s="67" t="str">
        <f>VLOOKUP($B116,master!$B$3:$S$600,8,0)</f>
        <v>BAKALAN LOR SAWAHAN</v>
      </c>
      <c r="J116" s="67" t="str">
        <f>VLOOKUP($B116,master!$B$3:$S$600,9,0)</f>
        <v>051</v>
      </c>
      <c r="K116" s="67" t="str">
        <f>VLOOKUP($B116,master!$B$3:$S$600,11,0)</f>
        <v>PENDOWOHARJO</v>
      </c>
      <c r="L116" s="67" t="str">
        <f>VLOOKUP($B116,master!$B$3:$S$600,12,0)</f>
        <v>SEWON</v>
      </c>
      <c r="M116" s="67" t="str">
        <f>VLOOKUP($B116,master!$B$3:$S$600,6,0)</f>
        <v>SUJAT MARWANTO</v>
      </c>
      <c r="N116" s="82" t="str">
        <f>VLOOKUP($B116,master!$B$3:$S$600,15,0)</f>
        <v>SMP MUHAMMADIYAH SEWON</v>
      </c>
      <c r="O116" s="82" t="str">
        <f>VLOOKUP($B116,master!$B$3:$S$600,4,0)</f>
        <v>15-06-2008</v>
      </c>
    </row>
    <row r="117" spans="1:15" ht="15.75" customHeight="1" x14ac:dyDescent="0.25">
      <c r="A117" s="80" t="s">
        <v>782</v>
      </c>
      <c r="B117" s="11" t="s">
        <v>769</v>
      </c>
      <c r="C117" s="11" t="s">
        <v>4564</v>
      </c>
      <c r="D117" s="11" t="s">
        <v>48</v>
      </c>
      <c r="E117" s="65" t="str">
        <f>VLOOKUP(D117,Total!$C$2:$D$518,2,0)</f>
        <v>11 TAV</v>
      </c>
      <c r="F117" s="65" t="str">
        <f>VLOOKUP(C117,Total!$B$2:$F$514,5,0)</f>
        <v>AKTIF</v>
      </c>
      <c r="G117" s="67" t="str">
        <f>VLOOKUP($B117,master!$B$3:$S$600,16,0)</f>
        <v>0821-4271-0990</v>
      </c>
      <c r="H117" s="67" t="str">
        <f>VLOOKUP($B117,master!$B$3:$S$600,17,0)</f>
        <v>081228746506</v>
      </c>
      <c r="I117" s="67" t="str">
        <f>VLOOKUP($B117,master!$B$3:$S$600,8,0)</f>
        <v>DUKUHAN</v>
      </c>
      <c r="J117" s="67" t="str">
        <f>VLOOKUP($B117,master!$B$3:$S$600,9,0)</f>
        <v>008</v>
      </c>
      <c r="K117" s="67" t="str">
        <f>VLOOKUP($B117,master!$B$3:$S$600,11,0)</f>
        <v>TIMBULHARJO</v>
      </c>
      <c r="L117" s="67" t="str">
        <f>VLOOKUP($B117,master!$B$3:$S$600,12,0)</f>
        <v>SEWON</v>
      </c>
      <c r="M117" s="67" t="str">
        <f>VLOOKUP($B117,master!$B$3:$S$600,6,0)</f>
        <v>Ratu Langi</v>
      </c>
      <c r="N117" s="82" t="str">
        <f>VLOOKUP($B117,master!$B$3:$S$600,15,0)</f>
        <v>MTS N 2 BANTUL</v>
      </c>
      <c r="O117" s="82" t="str">
        <f>VLOOKUP($B117,master!$B$3:$S$600,4,0)</f>
        <v>23-07-2009</v>
      </c>
    </row>
    <row r="118" spans="1:15" ht="15.75" customHeight="1" x14ac:dyDescent="0.25">
      <c r="A118" s="80" t="s">
        <v>784</v>
      </c>
      <c r="B118" s="11" t="s">
        <v>771</v>
      </c>
      <c r="C118" s="11" t="s">
        <v>4565</v>
      </c>
      <c r="D118" s="11" t="s">
        <v>49</v>
      </c>
      <c r="E118" s="65" t="str">
        <f>VLOOKUP(D118,Total!$C$2:$D$518,2,0)</f>
        <v>11 TAV</v>
      </c>
      <c r="F118" s="65" t="str">
        <f>VLOOKUP(C118,Total!$B$2:$F$514,5,0)</f>
        <v>AKTIF</v>
      </c>
      <c r="G118" s="67" t="str">
        <f>VLOOKUP($B118,master!$B$3:$S$600,16,0)</f>
        <v>08995537995</v>
      </c>
      <c r="H118" s="67" t="str">
        <f>VLOOKUP($B118,master!$B$3:$S$600,17,0)</f>
        <v>0895403147733</v>
      </c>
      <c r="I118" s="67" t="str">
        <f>VLOOKUP($B118,master!$B$3:$S$600,8,0)</f>
        <v>GEDONGAN</v>
      </c>
      <c r="J118" s="67" t="str">
        <f>VLOOKUP($B118,master!$B$3:$S$600,9,0)</f>
        <v>02</v>
      </c>
      <c r="K118" s="67" t="str">
        <f>VLOOKUP($B118,master!$B$3:$S$600,11,0)</f>
        <v>TRIRENGGO</v>
      </c>
      <c r="L118" s="67" t="str">
        <f>VLOOKUP($B118,master!$B$3:$S$600,12,0)</f>
        <v>BANTUL</v>
      </c>
      <c r="M118" s="67" t="str">
        <f>VLOOKUP($B118,master!$B$3:$S$600,6,0)</f>
        <v>CHOIRUL MUSTAQIM</v>
      </c>
      <c r="N118" s="82" t="str">
        <f>VLOOKUP($B118,master!$B$3:$S$600,15,0)</f>
        <v>SMP MUHAMMADIYAH BANTUL</v>
      </c>
      <c r="O118" s="82" t="str">
        <f>VLOOKUP($B118,master!$B$3:$S$600,4,0)</f>
        <v>9-04-2008</v>
      </c>
    </row>
    <row r="119" spans="1:15" ht="15.75" customHeight="1" x14ac:dyDescent="0.25">
      <c r="A119" s="80" t="s">
        <v>786</v>
      </c>
      <c r="B119" s="11" t="s">
        <v>773</v>
      </c>
      <c r="C119" s="11" t="s">
        <v>4811</v>
      </c>
      <c r="D119" s="11" t="s">
        <v>304</v>
      </c>
      <c r="E119" s="65" t="str">
        <f>VLOOKUP(D119,Total!$C$2:$D$518,2,0)</f>
        <v>11 TSM 1</v>
      </c>
      <c r="F119" s="65" t="str">
        <f>VLOOKUP(C119,Total!$B$2:$F$514,5,0)</f>
        <v>AKTIF</v>
      </c>
      <c r="G119" s="67" t="str">
        <f>VLOOKUP($B119,master!$B$3:$S$600,16,0)</f>
        <v>0895330758656</v>
      </c>
      <c r="H119" s="67" t="str">
        <f>VLOOKUP($B119,master!$B$3:$S$600,17,0)</f>
        <v>0895330758656</v>
      </c>
      <c r="I119" s="67" t="str">
        <f>VLOOKUP($B119,master!$B$3:$S$600,8,0)</f>
        <v>KUWON</v>
      </c>
      <c r="J119" s="67" t="str">
        <f>VLOOKUP($B119,master!$B$3:$S$600,9,0)</f>
        <v>003</v>
      </c>
      <c r="K119" s="67" t="str">
        <f>VLOOKUP($B119,master!$B$3:$S$600,11,0)</f>
        <v>SIDOMULYO</v>
      </c>
      <c r="L119" s="67" t="str">
        <f>VLOOKUP($B119,master!$B$3:$S$600,12,0)</f>
        <v>BAMBANGLIPURO</v>
      </c>
      <c r="M119" s="67" t="str">
        <f>VLOOKUP($B119,master!$B$3:$S$600,6,0)</f>
        <v>Suroto</v>
      </c>
      <c r="N119" s="82" t="str">
        <f>VLOOKUP($B119,master!$B$3:$S$600,15,0)</f>
        <v>SMP IT AL MULTAZAM 2 KUNINGAN</v>
      </c>
      <c r="O119" s="82" t="str">
        <f>VLOOKUP($B119,master!$B$3:$S$600,4,0)</f>
        <v>7-03-2003</v>
      </c>
    </row>
    <row r="120" spans="1:15" ht="15.75" customHeight="1" x14ac:dyDescent="0.25">
      <c r="A120" s="80" t="s">
        <v>788</v>
      </c>
      <c r="B120" s="11" t="s">
        <v>775</v>
      </c>
      <c r="C120" s="11" t="s">
        <v>4812</v>
      </c>
      <c r="D120" s="11" t="s">
        <v>305</v>
      </c>
      <c r="E120" s="65" t="str">
        <f>VLOOKUP(D120,Total!$C$2:$D$518,2,0)</f>
        <v>11 TSM 1</v>
      </c>
      <c r="F120" s="65" t="str">
        <f>VLOOKUP(C120,Total!$B$2:$F$514,5,0)</f>
        <v>KELUAR</v>
      </c>
      <c r="G120" s="67" t="str">
        <f>VLOOKUP($B120,master!$B$3:$S$600,16,0)</f>
        <v>087812419780</v>
      </c>
      <c r="H120" s="67" t="str">
        <f>VLOOKUP($B120,master!$B$3:$S$600,17,0)</f>
        <v>0882008278919</v>
      </c>
      <c r="I120" s="67" t="str">
        <f>VLOOKUP($B120,master!$B$3:$S$600,8,0)</f>
        <v>KARANG</v>
      </c>
      <c r="J120" s="67" t="str">
        <f>VLOOKUP($B120,master!$B$3:$S$600,9,0)</f>
        <v>3</v>
      </c>
      <c r="K120" s="67" t="str">
        <f>VLOOKUP($B120,master!$B$3:$S$600,11,0)</f>
        <v>SINGOSAREN</v>
      </c>
      <c r="L120" s="67" t="str">
        <f>VLOOKUP($B120,master!$B$3:$S$600,12,0)</f>
        <v>BANGUNTAPAN</v>
      </c>
      <c r="M120" s="67" t="str">
        <f>VLOOKUP($B120,master!$B$3:$S$600,6,0)</f>
        <v>RUBIYANTO</v>
      </c>
      <c r="N120" s="82" t="str">
        <f>VLOOKUP($B120,master!$B$3:$S$600,15,0)</f>
        <v>MTS N 1 BANTUL</v>
      </c>
      <c r="O120" s="82" t="str">
        <f>VLOOKUP($B120,master!$B$3:$S$600,4,0)</f>
        <v>6-05-2007</v>
      </c>
    </row>
    <row r="121" spans="1:15" ht="15.75" customHeight="1" x14ac:dyDescent="0.25">
      <c r="A121" s="80" t="s">
        <v>790</v>
      </c>
      <c r="B121" s="11" t="s">
        <v>777</v>
      </c>
      <c r="C121" s="11" t="s">
        <v>4813</v>
      </c>
      <c r="D121" s="11" t="s">
        <v>5092</v>
      </c>
      <c r="E121" s="65" t="str">
        <f>VLOOKUP(D121,Total!$C$2:$D$518,2,0)</f>
        <v>11 TSM 1</v>
      </c>
      <c r="F121" s="65" t="str">
        <f>VLOOKUP(C121,Total!$B$2:$F$514,5,0)</f>
        <v>KELUAR</v>
      </c>
      <c r="G121" s="67" t="str">
        <f>VLOOKUP($B121,master!$B$3:$S$600,16,0)</f>
        <v>088215785169</v>
      </c>
      <c r="H121" s="67" t="str">
        <f>VLOOKUP($B121,master!$B$3:$S$600,17,0)</f>
        <v>088295362802</v>
      </c>
      <c r="I121" s="67" t="str">
        <f>VLOOKUP($B121,master!$B$3:$S$600,8,0)</f>
        <v>BUTUH KIDUL</v>
      </c>
      <c r="J121" s="67" t="str">
        <f>VLOOKUP($B121,master!$B$3:$S$600,9,0)</f>
        <v>04</v>
      </c>
      <c r="K121" s="67" t="str">
        <f>VLOOKUP($B121,master!$B$3:$S$600,11,0)</f>
        <v>TRIWIDADI</v>
      </c>
      <c r="L121" s="67" t="str">
        <f>VLOOKUP($B121,master!$B$3:$S$600,12,0)</f>
        <v>PAJANGAN</v>
      </c>
      <c r="M121" s="67" t="str">
        <f>VLOOKUP($B121,master!$B$3:$S$600,6,0)</f>
        <v>Murtini</v>
      </c>
      <c r="N121" s="82" t="str">
        <f>VLOOKUP($B121,master!$B$3:$S$600,15,0)</f>
        <v>SMP N 2 PAJANGAN</v>
      </c>
      <c r="O121" s="82" t="str">
        <f>VLOOKUP($B121,master!$B$3:$S$600,4,0)</f>
        <v>19-06-2008</v>
      </c>
    </row>
    <row r="122" spans="1:15" ht="15.75" customHeight="1" x14ac:dyDescent="0.25">
      <c r="A122" s="80" t="s">
        <v>792</v>
      </c>
      <c r="B122" s="11" t="s">
        <v>779</v>
      </c>
      <c r="C122" s="11" t="s">
        <v>4814</v>
      </c>
      <c r="D122" s="11" t="s">
        <v>306</v>
      </c>
      <c r="E122" s="65" t="str">
        <f>VLOOKUP(D122,Total!$C$2:$D$518,2,0)</f>
        <v>11 TSM 1</v>
      </c>
      <c r="F122" s="65" t="str">
        <f>VLOOKUP(C122,Total!$B$2:$F$514,5,0)</f>
        <v>AKTIF</v>
      </c>
      <c r="G122" s="67" t="str">
        <f>VLOOKUP($B122,master!$B$3:$S$600,16,0)</f>
        <v>087838517582</v>
      </c>
      <c r="H122" s="67" t="str">
        <f>VLOOKUP($B122,master!$B$3:$S$600,17,0)</f>
        <v>-</v>
      </c>
      <c r="I122" s="67" t="str">
        <f>VLOOKUP($B122,master!$B$3:$S$600,8,0)</f>
        <v>PANDAK</v>
      </c>
      <c r="J122" s="67" t="str">
        <f>VLOOKUP($B122,master!$B$3:$S$600,9,0)</f>
        <v>1</v>
      </c>
      <c r="K122" s="67" t="str">
        <f>VLOOKUP($B122,master!$B$3:$S$600,11,0)</f>
        <v>WIJIREJO</v>
      </c>
      <c r="L122" s="67" t="str">
        <f>VLOOKUP($B122,master!$B$3:$S$600,12,0)</f>
        <v>PANDAK</v>
      </c>
      <c r="M122" s="67" t="str">
        <f>VLOOKUP($B122,master!$B$3:$S$600,6,0)</f>
        <v>KAMSUGUWARSA</v>
      </c>
      <c r="N122" s="82" t="str">
        <f>VLOOKUP($B122,master!$B$3:$S$600,15,0)</f>
        <v>SMP N 4 PANDAK</v>
      </c>
      <c r="O122" s="82" t="str">
        <f>VLOOKUP($B122,master!$B$3:$S$600,4,0)</f>
        <v>8-11-2008</v>
      </c>
    </row>
    <row r="123" spans="1:15" ht="15.75" customHeight="1" x14ac:dyDescent="0.25">
      <c r="A123" s="80" t="s">
        <v>794</v>
      </c>
      <c r="B123" s="11" t="s">
        <v>781</v>
      </c>
      <c r="C123" s="11" t="s">
        <v>4815</v>
      </c>
      <c r="D123" s="11" t="s">
        <v>307</v>
      </c>
      <c r="E123" s="65" t="str">
        <f>VLOOKUP(D123,Total!$C$2:$D$518,2,0)</f>
        <v>11 TSM 1</v>
      </c>
      <c r="F123" s="65" t="str">
        <f>VLOOKUP(C123,Total!$B$2:$F$514,5,0)</f>
        <v>AKTIF</v>
      </c>
      <c r="G123" s="67" t="str">
        <f>VLOOKUP($B123,master!$B$3:$S$600,16,0)</f>
        <v>88239623063</v>
      </c>
      <c r="H123" s="67" t="str">
        <f>VLOOKUP($B123,master!$B$3:$S$600,17,0)</f>
        <v>0</v>
      </c>
      <c r="I123" s="67" t="str">
        <f>VLOOKUP($B123,master!$B$3:$S$600,8,0)</f>
        <v>NGAMBAH</v>
      </c>
      <c r="J123" s="67" t="str">
        <f>VLOOKUP($B123,master!$B$3:$S$600,9,0)</f>
        <v>5</v>
      </c>
      <c r="K123" s="67" t="str">
        <f>VLOOKUP($B123,master!$B$3:$S$600,11,0)</f>
        <v>MULYODADI</v>
      </c>
      <c r="L123" s="67" t="str">
        <f>VLOOKUP($B123,master!$B$3:$S$600,12,0)</f>
        <v>BAMBANGLIPURO</v>
      </c>
      <c r="M123" s="67" t="str">
        <f>VLOOKUP($B123,master!$B$3:$S$600,6,0)</f>
        <v>NGADIYONO</v>
      </c>
      <c r="N123" s="82" t="str">
        <f>VLOOKUP($B123,master!$B$3:$S$600,15,0)</f>
        <v>SMP MUHAMMADIYAH 1 BAMBANGLIPURO</v>
      </c>
      <c r="O123" s="82" t="str">
        <f>VLOOKUP($B123,master!$B$3:$S$600,4,0)</f>
        <v>20-03-2009</v>
      </c>
    </row>
    <row r="124" spans="1:15" ht="15.75" customHeight="1" x14ac:dyDescent="0.25">
      <c r="A124" s="80" t="s">
        <v>796</v>
      </c>
      <c r="B124" s="67" t="s">
        <v>4523</v>
      </c>
      <c r="C124" s="11" t="s">
        <v>4816</v>
      </c>
      <c r="D124" s="67" t="s">
        <v>4524</v>
      </c>
      <c r="E124" s="65" t="str">
        <f>VLOOKUP(D124,Total!$C$2:$D$518,2,0)</f>
        <v>11 TSM 1</v>
      </c>
      <c r="F124" s="65" t="str">
        <f>VLOOKUP(C124,Total!$B$2:$F$514,5,0)</f>
        <v>AKTIF</v>
      </c>
      <c r="G124" s="67" t="str">
        <f>VLOOKUP($B124,master!$B$3:$S$600,16,0)</f>
        <v>082326668116</v>
      </c>
      <c r="H124" s="67" t="str">
        <f>VLOOKUP($B124,master!$B$3:$S$600,17,0)</f>
        <v>087786363883</v>
      </c>
      <c r="I124" s="67" t="str">
        <f>VLOOKUP($B124,master!$B$3:$S$600,8,0)</f>
        <v>SUNGAPAN</v>
      </c>
      <c r="J124" s="67" t="str">
        <f>VLOOKUP($B124,master!$B$3:$S$600,9,0)</f>
        <v>3</v>
      </c>
      <c r="K124" s="67" t="str">
        <f>VLOOKUP($B124,master!$B$3:$S$600,11,0)</f>
        <v>SRIHARJO</v>
      </c>
      <c r="L124" s="67" t="str">
        <f>VLOOKUP($B124,master!$B$3:$S$600,12,0)</f>
        <v>IMOGIRI</v>
      </c>
      <c r="M124" s="67" t="str">
        <f>VLOOKUP($B124,master!$B$3:$S$600,6,0)</f>
        <v>DWI PURWANTO</v>
      </c>
      <c r="N124" s="82" t="str">
        <f>VLOOKUP($B124,master!$B$3:$S$600,15,0)</f>
        <v>SMP N 2 IMOGIRI</v>
      </c>
      <c r="O124" s="82" t="str">
        <f>VLOOKUP($B124,master!$B$3:$S$600,4,0)</f>
        <v>31-10-2007</v>
      </c>
    </row>
    <row r="125" spans="1:15" ht="15.75" customHeight="1" x14ac:dyDescent="0.25">
      <c r="A125" s="80" t="s">
        <v>798</v>
      </c>
      <c r="B125" s="11" t="s">
        <v>783</v>
      </c>
      <c r="C125" s="11" t="s">
        <v>4817</v>
      </c>
      <c r="D125" s="11" t="s">
        <v>308</v>
      </c>
      <c r="E125" s="65" t="str">
        <f>VLOOKUP(D125,Total!$C$2:$D$518,2,0)</f>
        <v>11 TSM 1</v>
      </c>
      <c r="F125" s="65" t="str">
        <f>VLOOKUP(C125,Total!$B$2:$F$514,5,0)</f>
        <v>AKTIF</v>
      </c>
      <c r="G125" s="67" t="str">
        <f>VLOOKUP($B125,master!$B$3:$S$600,16,0)</f>
        <v>83105113905</v>
      </c>
      <c r="H125" s="67" t="str">
        <f>VLOOKUP($B125,master!$B$3:$S$600,17,0)</f>
        <v>0</v>
      </c>
      <c r="I125" s="67" t="str">
        <f>VLOOKUP($B125,master!$B$3:$S$600,8,0)</f>
        <v>BAYURAN</v>
      </c>
      <c r="J125" s="67" t="str">
        <f>VLOOKUP($B125,master!$B$3:$S$600,9,0)</f>
        <v>2</v>
      </c>
      <c r="K125" s="67" t="str">
        <f>VLOOKUP($B125,master!$B$3:$S$600,11,0)</f>
        <v>PONCOSARI</v>
      </c>
      <c r="L125" s="67" t="str">
        <f>VLOOKUP($B125,master!$B$3:$S$600,12,0)</f>
        <v>SRANDAKAN</v>
      </c>
      <c r="M125" s="67" t="str">
        <f>VLOOKUP($B125,master!$B$3:$S$600,6,0)</f>
        <v>AGUS SETIAWAN</v>
      </c>
      <c r="N125" s="82" t="str">
        <f>VLOOKUP($B125,master!$B$3:$S$600,15,0)</f>
        <v>SMP N 1 SRANDAKAN</v>
      </c>
      <c r="O125" s="82" t="str">
        <f>VLOOKUP($B125,master!$B$3:$S$600,4,0)</f>
        <v>10-05-2009</v>
      </c>
    </row>
    <row r="126" spans="1:15" ht="15.75" customHeight="1" x14ac:dyDescent="0.25">
      <c r="A126" s="80" t="s">
        <v>800</v>
      </c>
      <c r="B126" s="11" t="s">
        <v>785</v>
      </c>
      <c r="C126" s="11" t="s">
        <v>4818</v>
      </c>
      <c r="D126" s="11" t="s">
        <v>309</v>
      </c>
      <c r="E126" s="65" t="str">
        <f>VLOOKUP(D126,Total!$C$2:$D$518,2,0)</f>
        <v>11 TSM 1</v>
      </c>
      <c r="F126" s="65" t="str">
        <f>VLOOKUP(C126,Total!$B$2:$F$514,5,0)</f>
        <v>AKTIF</v>
      </c>
      <c r="G126" s="67" t="str">
        <f>VLOOKUP($B126,master!$B$3:$S$600,16,0)</f>
        <v>085228491405</v>
      </c>
      <c r="H126" s="67" t="str">
        <f>VLOOKUP($B126,master!$B$3:$S$600,17,0)</f>
        <v>08507638982</v>
      </c>
      <c r="I126" s="67" t="str">
        <f>VLOOKUP($B126,master!$B$3:$S$600,8,0)</f>
        <v>NGAGLIK</v>
      </c>
      <c r="J126" s="67" t="str">
        <f>VLOOKUP($B126,master!$B$3:$S$600,9,0)</f>
        <v>32</v>
      </c>
      <c r="K126" s="67" t="str">
        <f>VLOOKUP($B126,master!$B$3:$S$600,11,0)</f>
        <v>PENDOWOHARJO</v>
      </c>
      <c r="L126" s="67" t="str">
        <f>VLOOKUP($B126,master!$B$3:$S$600,12,0)</f>
        <v>SEWON</v>
      </c>
      <c r="M126" s="67" t="str">
        <f>VLOOKUP($B126,master!$B$3:$S$600,6,0)</f>
        <v>MUHAMMAD GUNARTO</v>
      </c>
      <c r="N126" s="82" t="str">
        <f>VLOOKUP($B126,master!$B$3:$S$600,15,0)</f>
        <v>SMP MUHAMMADIYAH SEWON</v>
      </c>
      <c r="O126" s="82" t="str">
        <f>VLOOKUP($B126,master!$B$3:$S$600,4,0)</f>
        <v>30-11-2008</v>
      </c>
    </row>
    <row r="127" spans="1:15" ht="15.75" customHeight="1" x14ac:dyDescent="0.25">
      <c r="A127" s="80" t="s">
        <v>802</v>
      </c>
      <c r="B127" s="11" t="s">
        <v>787</v>
      </c>
      <c r="C127" s="11" t="s">
        <v>4819</v>
      </c>
      <c r="D127" s="11" t="s">
        <v>310</v>
      </c>
      <c r="E127" s="65" t="str">
        <f>VLOOKUP(D127,Total!$C$2:$D$518,2,0)</f>
        <v>11 TSM 1</v>
      </c>
      <c r="F127" s="65" t="str">
        <f>VLOOKUP(C127,Total!$B$2:$F$514,5,0)</f>
        <v>AKTIF</v>
      </c>
      <c r="G127" s="67" t="str">
        <f>VLOOKUP($B127,master!$B$3:$S$600,16,0)</f>
        <v>0895379684803</v>
      </c>
      <c r="H127" s="67" t="str">
        <f>VLOOKUP($B127,master!$B$3:$S$600,17,0)</f>
        <v>082003529073</v>
      </c>
      <c r="I127" s="67" t="str">
        <f>VLOOKUP($B127,master!$B$3:$S$600,8,0)</f>
        <v>JETIS GLONDONG</v>
      </c>
      <c r="J127" s="67" t="str">
        <f>VLOOKUP($B127,master!$B$3:$S$600,9,0)</f>
        <v>08</v>
      </c>
      <c r="K127" s="67" t="str">
        <f>VLOOKUP($B127,master!$B$3:$S$600,11,0)</f>
        <v>PANGGUNGHARJO</v>
      </c>
      <c r="L127" s="67" t="str">
        <f>VLOOKUP($B127,master!$B$3:$S$600,12,0)</f>
        <v>SEWON</v>
      </c>
      <c r="M127" s="67" t="str">
        <f>VLOOKUP($B127,master!$B$3:$S$600,6,0)</f>
        <v>DANI SETIAWAN</v>
      </c>
      <c r="N127" s="82" t="str">
        <f>VLOOKUP($B127,master!$B$3:$S$600,15,0)</f>
        <v>SMP MUHAMMADIYAH SEWON</v>
      </c>
      <c r="O127" s="82" t="str">
        <f>VLOOKUP($B127,master!$B$3:$S$600,4,0)</f>
        <v>28-12-2008</v>
      </c>
    </row>
    <row r="128" spans="1:15" ht="15.75" customHeight="1" x14ac:dyDescent="0.25">
      <c r="A128" s="80" t="s">
        <v>804</v>
      </c>
      <c r="B128" s="11" t="s">
        <v>789</v>
      </c>
      <c r="C128" s="11" t="s">
        <v>4820</v>
      </c>
      <c r="D128" s="11" t="s">
        <v>311</v>
      </c>
      <c r="E128" s="65" t="str">
        <f>VLOOKUP(D128,Total!$C$2:$D$518,2,0)</f>
        <v>11 TSM 1</v>
      </c>
      <c r="F128" s="65" t="str">
        <f>VLOOKUP(C128,Total!$B$2:$F$514,5,0)</f>
        <v>AKTIF</v>
      </c>
      <c r="G128" s="67" t="str">
        <f>VLOOKUP($B128,master!$B$3:$S$600,16,0)</f>
        <v>089527073044</v>
      </c>
      <c r="H128" s="67" t="str">
        <f>VLOOKUP($B128,master!$B$3:$S$600,17,0)</f>
        <v>089636855773</v>
      </c>
      <c r="I128" s="67" t="str">
        <f>VLOOKUP($B128,master!$B$3:$S$600,8,0)</f>
        <v>PANDES</v>
      </c>
      <c r="J128" s="67" t="str">
        <f>VLOOKUP($B128,master!$B$3:$S$600,9,0)</f>
        <v>1</v>
      </c>
      <c r="K128" s="67" t="str">
        <f>VLOOKUP($B128,master!$B$3:$S$600,11,0)</f>
        <v>PANGGUNGHARJO</v>
      </c>
      <c r="L128" s="67" t="str">
        <f>VLOOKUP($B128,master!$B$3:$S$600,12,0)</f>
        <v>SEWON</v>
      </c>
      <c r="M128" s="67" t="str">
        <f>VLOOKUP($B128,master!$B$3:$S$600,6,0)</f>
        <v>NUR NANANG HERMANTO</v>
      </c>
      <c r="N128" s="82" t="str">
        <f>VLOOKUP($B128,master!$B$3:$S$600,15,0)</f>
        <v>SMP MUHAMMADIYAH SEWON</v>
      </c>
      <c r="O128" s="82" t="str">
        <f>VLOOKUP($B128,master!$B$3:$S$600,4,0)</f>
        <v>27-07-2008</v>
      </c>
    </row>
    <row r="129" spans="1:15" ht="15.75" customHeight="1" x14ac:dyDescent="0.25">
      <c r="A129" s="80" t="s">
        <v>806</v>
      </c>
      <c r="B129" s="11" t="s">
        <v>791</v>
      </c>
      <c r="C129" s="11" t="s">
        <v>4821</v>
      </c>
      <c r="D129" s="11" t="s">
        <v>312</v>
      </c>
      <c r="E129" s="65" t="str">
        <f>VLOOKUP(D129,Total!$C$2:$D$518,2,0)</f>
        <v>11 TSM 1</v>
      </c>
      <c r="F129" s="65" t="str">
        <f>VLOOKUP(C129,Total!$B$2:$F$514,5,0)</f>
        <v>AKTIF</v>
      </c>
      <c r="G129" s="67" t="str">
        <f>VLOOKUP($B129,master!$B$3:$S$600,16,0)</f>
        <v>087838561950</v>
      </c>
      <c r="H129" s="67" t="str">
        <f>VLOOKUP($B129,master!$B$3:$S$600,17,0)</f>
        <v>083123723640</v>
      </c>
      <c r="I129" s="67" t="str">
        <f>VLOOKUP($B129,master!$B$3:$S$600,8,0)</f>
        <v>JOMBLANG NGIRENGIREN</v>
      </c>
      <c r="J129" s="67" t="str">
        <f>VLOOKUP($B129,master!$B$3:$S$600,9,0)</f>
        <v>07</v>
      </c>
      <c r="K129" s="67" t="str">
        <f>VLOOKUP($B129,master!$B$3:$S$600,11,0)</f>
        <v>PANGGUNGHARJO</v>
      </c>
      <c r="L129" s="67" t="str">
        <f>VLOOKUP($B129,master!$B$3:$S$600,12,0)</f>
        <v>SEWON</v>
      </c>
      <c r="M129" s="67" t="str">
        <f>VLOOKUP($B129,master!$B$3:$S$600,6,0)</f>
        <v>RUMIJO</v>
      </c>
      <c r="N129" s="82" t="str">
        <f>VLOOKUP($B129,master!$B$3:$S$600,15,0)</f>
        <v>SMP MUHAMMADIYAH SEWON</v>
      </c>
      <c r="O129" s="82" t="str">
        <f>VLOOKUP($B129,master!$B$3:$S$600,4,0)</f>
        <v>14-10-2008</v>
      </c>
    </row>
    <row r="130" spans="1:15" ht="15.75" customHeight="1" x14ac:dyDescent="0.25">
      <c r="A130" s="80" t="s">
        <v>808</v>
      </c>
      <c r="B130" s="11" t="s">
        <v>793</v>
      </c>
      <c r="C130" s="11" t="s">
        <v>4822</v>
      </c>
      <c r="D130" s="11" t="s">
        <v>313</v>
      </c>
      <c r="E130" s="65" t="str">
        <f>VLOOKUP(D130,Total!$C$2:$D$518,2,0)</f>
        <v>11 TSM 1</v>
      </c>
      <c r="F130" s="65" t="str">
        <f>VLOOKUP(C130,Total!$B$2:$F$514,5,0)</f>
        <v>AKTIF</v>
      </c>
      <c r="G130" s="67" t="str">
        <f>VLOOKUP($B130,master!$B$3:$S$600,16,0)</f>
        <v>083893325428</v>
      </c>
      <c r="H130" s="67" t="str">
        <f>VLOOKUP($B130,master!$B$3:$S$600,17,0)</f>
        <v>082324405759</v>
      </c>
      <c r="I130" s="67" t="str">
        <f>VLOOKUP($B130,master!$B$3:$S$600,8,0)</f>
        <v>BARAN</v>
      </c>
      <c r="J130" s="67" t="str">
        <f>VLOOKUP($B130,master!$B$3:$S$600,9,0)</f>
        <v>004</v>
      </c>
      <c r="K130" s="67" t="str">
        <f>VLOOKUP($B130,master!$B$3:$S$600,11,0)</f>
        <v>SRIHARDONO</v>
      </c>
      <c r="L130" s="67" t="str">
        <f>VLOOKUP($B130,master!$B$3:$S$600,12,0)</f>
        <v>PUNDONG</v>
      </c>
      <c r="M130" s="67" t="str">
        <f>VLOOKUP($B130,master!$B$3:$S$600,6,0)</f>
        <v>Pracaya</v>
      </c>
      <c r="N130" s="82" t="str">
        <f>VLOOKUP($B130,master!$B$3:$S$600,15,0)</f>
        <v>SMP N 2 PUNDONG</v>
      </c>
      <c r="O130" s="82" t="str">
        <f>VLOOKUP($B130,master!$B$3:$S$600,4,0)</f>
        <v>25-02-2009</v>
      </c>
    </row>
    <row r="131" spans="1:15" ht="15.75" customHeight="1" x14ac:dyDescent="0.25">
      <c r="A131" s="80" t="s">
        <v>810</v>
      </c>
      <c r="B131" s="11" t="s">
        <v>797</v>
      </c>
      <c r="C131" s="11" t="s">
        <v>4823</v>
      </c>
      <c r="D131" s="11" t="s">
        <v>315</v>
      </c>
      <c r="E131" s="65" t="str">
        <f>VLOOKUP(D131,Total!$C$2:$D$518,2,0)</f>
        <v>11 TSM 1</v>
      </c>
      <c r="F131" s="65" t="str">
        <f>VLOOKUP(C131,Total!$B$2:$F$514,5,0)</f>
        <v>AKTIF</v>
      </c>
      <c r="G131" s="67" t="str">
        <f>VLOOKUP($B131,master!$B$3:$S$600,16,0)</f>
        <v>085712072420</v>
      </c>
      <c r="H131" s="67" t="str">
        <f>VLOOKUP($B131,master!$B$3:$S$600,17,0)</f>
        <v>08895049878</v>
      </c>
      <c r="I131" s="67" t="str">
        <f>VLOOKUP($B131,master!$B$3:$S$600,8,0)</f>
        <v>NGABEAN</v>
      </c>
      <c r="J131" s="67" t="str">
        <f>VLOOKUP($B131,master!$B$3:$S$600,9,0)</f>
        <v>01</v>
      </c>
      <c r="K131" s="67" t="str">
        <f>VLOOKUP($B131,master!$B$3:$S$600,11,0)</f>
        <v>TRIHARJO</v>
      </c>
      <c r="L131" s="67" t="str">
        <f>VLOOKUP($B131,master!$B$3:$S$600,12,0)</f>
        <v>PANDAK</v>
      </c>
      <c r="M131" s="67" t="str">
        <f>VLOOKUP($B131,master!$B$3:$S$600,6,0)</f>
        <v>WARDOYO</v>
      </c>
      <c r="N131" s="82" t="str">
        <f>VLOOKUP($B131,master!$B$3:$S$600,15,0)</f>
        <v>sMP N 4 PANDAK</v>
      </c>
      <c r="O131" s="82" t="str">
        <f>VLOOKUP($B131,master!$B$3:$S$600,4,0)</f>
        <v>1-05-2009</v>
      </c>
    </row>
    <row r="132" spans="1:15" ht="15.75" customHeight="1" x14ac:dyDescent="0.25">
      <c r="A132" s="80" t="s">
        <v>812</v>
      </c>
      <c r="B132" s="11" t="s">
        <v>799</v>
      </c>
      <c r="C132" s="11" t="s">
        <v>4824</v>
      </c>
      <c r="D132" s="11" t="s">
        <v>316</v>
      </c>
      <c r="E132" s="65" t="str">
        <f>VLOOKUP(D132,Total!$C$2:$D$518,2,0)</f>
        <v>11 TSM 1</v>
      </c>
      <c r="F132" s="65" t="str">
        <f>VLOOKUP(C132,Total!$B$2:$F$514,5,0)</f>
        <v>AKTIF</v>
      </c>
      <c r="G132" s="67" t="str">
        <f>VLOOKUP($B132,master!$B$3:$S$600,16,0)</f>
        <v>089675721155</v>
      </c>
      <c r="H132" s="67" t="str">
        <f>VLOOKUP($B132,master!$B$3:$S$600,17,0)</f>
        <v>-</v>
      </c>
      <c r="I132" s="67" t="str">
        <f>VLOOKUP($B132,master!$B$3:$S$600,8,0)</f>
        <v>TARUNGAN</v>
      </c>
      <c r="J132" s="67" t="str">
        <f>VLOOKUP($B132,master!$B$3:$S$600,9,0)</f>
        <v>3</v>
      </c>
      <c r="K132" s="67" t="str">
        <f>VLOOKUP($B132,master!$B$3:$S$600,11,0)</f>
        <v>PANJANGREJO</v>
      </c>
      <c r="L132" s="67" t="str">
        <f>VLOOKUP($B132,master!$B$3:$S$600,12,0)</f>
        <v>PUNDONG</v>
      </c>
      <c r="M132" s="67" t="str">
        <f>VLOOKUP($B132,master!$B$3:$S$600,6,0)</f>
        <v>SUSANTO</v>
      </c>
      <c r="N132" s="82" t="str">
        <f>VLOOKUP($B132,master!$B$3:$S$600,15,0)</f>
        <v>SMP N 2 PUNDONG</v>
      </c>
      <c r="O132" s="82" t="str">
        <f>VLOOKUP($B132,master!$B$3:$S$600,4,0)</f>
        <v>18-09-2008</v>
      </c>
    </row>
    <row r="133" spans="1:15" ht="15.75" customHeight="1" x14ac:dyDescent="0.25">
      <c r="A133" s="80" t="s">
        <v>814</v>
      </c>
      <c r="B133" s="11" t="s">
        <v>801</v>
      </c>
      <c r="C133" s="11" t="s">
        <v>4825</v>
      </c>
      <c r="D133" s="11" t="s">
        <v>317</v>
      </c>
      <c r="E133" s="65" t="str">
        <f>VLOOKUP(D133,Total!$C$2:$D$518,2,0)</f>
        <v>11 TSM 1</v>
      </c>
      <c r="F133" s="65" t="str">
        <f>VLOOKUP(C133,Total!$B$2:$F$514,5,0)</f>
        <v>AKTIF</v>
      </c>
      <c r="G133" s="67" t="str">
        <f>VLOOKUP($B133,master!$B$3:$S$600,16,0)</f>
        <v>083137333331</v>
      </c>
      <c r="H133" s="67" t="str">
        <f>VLOOKUP($B133,master!$B$3:$S$600,17,0)</f>
        <v>083890218414</v>
      </c>
      <c r="I133" s="67" t="str">
        <f>VLOOKUP($B133,master!$B$3:$S$600,8,0)</f>
        <v>GANGIN</v>
      </c>
      <c r="J133" s="67" t="str">
        <f>VLOOKUP($B133,master!$B$3:$S$600,9,0)</f>
        <v>2</v>
      </c>
      <c r="K133" s="67" t="str">
        <f>VLOOKUP($B133,master!$B$3:$S$600,11,0)</f>
        <v>TAMANTIRTO</v>
      </c>
      <c r="L133" s="67" t="str">
        <f>VLOOKUP($B133,master!$B$3:$S$600,12,0)</f>
        <v>KASIHAN</v>
      </c>
      <c r="M133" s="67" t="str">
        <f>VLOOKUP($B133,master!$B$3:$S$600,6,0)</f>
        <v>PARJIMAN</v>
      </c>
      <c r="N133" s="82" t="str">
        <f>VLOOKUP($B133,master!$B$3:$S$600,15,0)</f>
        <v>MTS MUHAMMADIYAH KASIHAN</v>
      </c>
      <c r="O133" s="82" t="str">
        <f>VLOOKUP($B133,master!$B$3:$S$600,4,0)</f>
        <v>2-02-2009</v>
      </c>
    </row>
    <row r="134" spans="1:15" ht="15.75" customHeight="1" x14ac:dyDescent="0.25">
      <c r="A134" s="80" t="s">
        <v>816</v>
      </c>
      <c r="B134" s="11" t="s">
        <v>803</v>
      </c>
      <c r="C134" s="11" t="s">
        <v>4826</v>
      </c>
      <c r="D134" s="11" t="s">
        <v>318</v>
      </c>
      <c r="E134" s="65" t="str">
        <f>VLOOKUP(D134,Total!$C$2:$D$518,2,0)</f>
        <v>11 TSM 1</v>
      </c>
      <c r="F134" s="65" t="str">
        <f>VLOOKUP(C134,Total!$B$2:$F$514,5,0)</f>
        <v>AKTIF</v>
      </c>
      <c r="G134" s="67" t="str">
        <f>VLOOKUP($B134,master!$B$3:$S$600,16,0)</f>
        <v>089512562441</v>
      </c>
      <c r="H134" s="67" t="str">
        <f>VLOOKUP($B134,master!$B$3:$S$600,17,0)</f>
        <v>0895385373885</v>
      </c>
      <c r="I134" s="67" t="str">
        <f>VLOOKUP($B134,master!$B$3:$S$600,8,0)</f>
        <v>MUTIHAN</v>
      </c>
      <c r="J134" s="67" t="str">
        <f>VLOOKUP($B134,master!$B$3:$S$600,9,0)</f>
        <v>01</v>
      </c>
      <c r="K134" s="67" t="str">
        <f>VLOOKUP($B134,master!$B$3:$S$600,11,0)</f>
        <v>WIROKERTEN</v>
      </c>
      <c r="L134" s="67" t="str">
        <f>VLOOKUP($B134,master!$B$3:$S$600,12,0)</f>
        <v>BANGUNTAPAN</v>
      </c>
      <c r="M134" s="67" t="str">
        <f>VLOOKUP($B134,master!$B$3:$S$600,6,0)</f>
        <v>SULISTIOWATI</v>
      </c>
      <c r="N134" s="82" t="str">
        <f>VLOOKUP($B134,master!$B$3:$S$600,15,0)</f>
        <v>MTS N 6 BANTUL</v>
      </c>
      <c r="O134" s="82" t="str">
        <f>VLOOKUP($B134,master!$B$3:$S$600,4,0)</f>
        <v>29-09-2008</v>
      </c>
    </row>
    <row r="135" spans="1:15" ht="15.75" customHeight="1" x14ac:dyDescent="0.25">
      <c r="A135" s="80" t="s">
        <v>818</v>
      </c>
      <c r="B135" s="11" t="s">
        <v>805</v>
      </c>
      <c r="C135" s="11" t="s">
        <v>4827</v>
      </c>
      <c r="D135" s="11" t="s">
        <v>319</v>
      </c>
      <c r="E135" s="65" t="str">
        <f>VLOOKUP(D135,Total!$C$2:$D$518,2,0)</f>
        <v>11 TSM 1</v>
      </c>
      <c r="F135" s="65" t="str">
        <f>VLOOKUP(C135,Total!$B$2:$F$514,5,0)</f>
        <v>AKTIF</v>
      </c>
      <c r="G135" s="67" t="str">
        <f>VLOOKUP($B135,master!$B$3:$S$600,16,0)</f>
        <v>089636700122</v>
      </c>
      <c r="H135" s="67" t="str">
        <f>VLOOKUP($B135,master!$B$3:$S$600,17,0)</f>
        <v>08989228699</v>
      </c>
      <c r="I135" s="67" t="str">
        <f>VLOOKUP($B135,master!$B$3:$S$600,8,0)</f>
        <v>SEMAIL</v>
      </c>
      <c r="J135" s="67" t="str">
        <f>VLOOKUP($B135,master!$B$3:$S$600,9,0)</f>
        <v>2</v>
      </c>
      <c r="K135" s="67" t="str">
        <f>VLOOKUP($B135,master!$B$3:$S$600,11,0)</f>
        <v>BANGUNHARJO</v>
      </c>
      <c r="L135" s="67" t="str">
        <f>VLOOKUP($B135,master!$B$3:$S$600,12,0)</f>
        <v>SEWON</v>
      </c>
      <c r="M135" s="67" t="str">
        <f>VLOOKUP($B135,master!$B$3:$S$600,6,0)</f>
        <v>RINI ASTUTI</v>
      </c>
      <c r="N135" s="82" t="str">
        <f>VLOOKUP($B135,master!$B$3:$S$600,15,0)</f>
        <v>SMP MUHAMMADIYAH 9 YOGYAKARTA</v>
      </c>
      <c r="O135" s="82" t="str">
        <f>VLOOKUP($B135,master!$B$3:$S$600,4,0)</f>
        <v>15-10-2008</v>
      </c>
    </row>
    <row r="136" spans="1:15" ht="15.75" customHeight="1" x14ac:dyDescent="0.25">
      <c r="A136" s="80" t="s">
        <v>820</v>
      </c>
      <c r="B136" s="11" t="s">
        <v>807</v>
      </c>
      <c r="C136" s="11" t="s">
        <v>4828</v>
      </c>
      <c r="D136" s="11" t="s">
        <v>320</v>
      </c>
      <c r="E136" s="65" t="str">
        <f>VLOOKUP(D136,Total!$C$2:$D$518,2,0)</f>
        <v>11 TSM 1</v>
      </c>
      <c r="F136" s="65" t="str">
        <f>VLOOKUP(C136,Total!$B$2:$F$514,5,0)</f>
        <v>AKTIF</v>
      </c>
      <c r="G136" s="67" t="str">
        <f>VLOOKUP($B136,master!$B$3:$S$600,16,0)</f>
        <v>081238028465</v>
      </c>
      <c r="H136" s="67" t="str">
        <f>VLOOKUP($B136,master!$B$3:$S$600,17,0)</f>
        <v>082134932186</v>
      </c>
      <c r="I136" s="67" t="str">
        <f>VLOOKUP($B136,master!$B$3:$S$600,8,0)</f>
        <v>Metes</v>
      </c>
      <c r="J136" s="67" t="str">
        <f>VLOOKUP($B136,master!$B$3:$S$600,9,0)</f>
        <v>47</v>
      </c>
      <c r="K136" s="67" t="str">
        <f>VLOOKUP($B136,master!$B$3:$S$600,11,0)</f>
        <v>ARGOREJO</v>
      </c>
      <c r="L136" s="67" t="str">
        <f>VLOOKUP($B136,master!$B$3:$S$600,12,0)</f>
        <v>SEDAYU</v>
      </c>
      <c r="M136" s="67" t="str">
        <f>VLOOKUP($B136,master!$B$3:$S$600,6,0)</f>
        <v>Tentrem</v>
      </c>
      <c r="N136" s="82" t="str">
        <f>VLOOKUP($B136,master!$B$3:$S$600,15,0)</f>
        <v>SMP N 2 SEDAYU</v>
      </c>
      <c r="O136" s="82" t="str">
        <f>VLOOKUP($B136,master!$B$3:$S$600,4,0)</f>
        <v>11-06-2007</v>
      </c>
    </row>
    <row r="137" spans="1:15" ht="15.75" customHeight="1" x14ac:dyDescent="0.25">
      <c r="A137" s="80" t="s">
        <v>822</v>
      </c>
      <c r="B137" s="11" t="s">
        <v>809</v>
      </c>
      <c r="C137" s="11" t="s">
        <v>4829</v>
      </c>
      <c r="D137" s="11" t="s">
        <v>321</v>
      </c>
      <c r="E137" s="65" t="str">
        <f>VLOOKUP(D137,Total!$C$2:$D$518,2,0)</f>
        <v>11 TSM 1</v>
      </c>
      <c r="F137" s="65" t="str">
        <f>VLOOKUP(C137,Total!$B$2:$F$514,5,0)</f>
        <v>AKTIF</v>
      </c>
      <c r="G137" s="67" t="str">
        <f>VLOOKUP($B137,master!$B$3:$S$600,16,0)</f>
        <v>081327921173</v>
      </c>
      <c r="H137" s="67" t="str">
        <f>VLOOKUP($B137,master!$B$3:$S$600,17,0)</f>
        <v>082335825034</v>
      </c>
      <c r="I137" s="67" t="str">
        <f>VLOOKUP($B137,master!$B$3:$S$600,8,0)</f>
        <v>NGIJO</v>
      </c>
      <c r="J137" s="67" t="str">
        <f>VLOOKUP($B137,master!$B$3:$S$600,9,0)</f>
        <v>004</v>
      </c>
      <c r="K137" s="67" t="str">
        <f>VLOOKUP($B137,master!$B$3:$S$600,11,0)</f>
        <v>PANGGUNGHARJO</v>
      </c>
      <c r="L137" s="67" t="str">
        <f>VLOOKUP($B137,master!$B$3:$S$600,12,0)</f>
        <v>SEWON</v>
      </c>
      <c r="M137" s="67" t="str">
        <f>VLOOKUP($B137,master!$B$3:$S$600,6,0)</f>
        <v>Sayyidatissorayya Primastuti</v>
      </c>
      <c r="N137" s="82" t="str">
        <f>VLOOKUP($B137,master!$B$3:$S$600,15,0)</f>
        <v>SMP N 2 SEWON</v>
      </c>
      <c r="O137" s="82" t="str">
        <f>VLOOKUP($B137,master!$B$3:$S$600,4,0)</f>
        <v>28-02-2009</v>
      </c>
    </row>
    <row r="138" spans="1:15" ht="15.75" customHeight="1" x14ac:dyDescent="0.25">
      <c r="A138" s="80" t="s">
        <v>824</v>
      </c>
      <c r="B138" s="11" t="s">
        <v>811</v>
      </c>
      <c r="C138" s="11" t="s">
        <v>4830</v>
      </c>
      <c r="D138" s="11" t="s">
        <v>322</v>
      </c>
      <c r="E138" s="65" t="str">
        <f>VLOOKUP(D138,Total!$C$2:$D$518,2,0)</f>
        <v>11 TSM 1</v>
      </c>
      <c r="F138" s="65" t="str">
        <f>VLOOKUP(C138,Total!$B$2:$F$514,5,0)</f>
        <v>AKTIF</v>
      </c>
      <c r="G138" s="67" t="str">
        <f>VLOOKUP($B138,master!$B$3:$S$600,16,0)</f>
        <v>081548559688</v>
      </c>
      <c r="H138" s="67" t="str">
        <f>VLOOKUP($B138,master!$B$3:$S$600,17,0)</f>
        <v>085779563233</v>
      </c>
      <c r="I138" s="67" t="str">
        <f>VLOOKUP($B138,master!$B$3:$S$600,8,0)</f>
        <v>Nogosari</v>
      </c>
      <c r="J138" s="67" t="str">
        <f>VLOOKUP($B138,master!$B$3:$S$600,9,0)</f>
        <v>004</v>
      </c>
      <c r="K138" s="67" t="str">
        <f>VLOOKUP($B138,master!$B$3:$S$600,11,0)</f>
        <v>Trirenggo</v>
      </c>
      <c r="L138" s="67" t="str">
        <f>VLOOKUP($B138,master!$B$3:$S$600,12,0)</f>
        <v>Bantul</v>
      </c>
      <c r="M138" s="67" t="str">
        <f>VLOOKUP($B138,master!$B$3:$S$600,6,0)</f>
        <v>DARTO</v>
      </c>
      <c r="N138" s="82" t="str">
        <f>VLOOKUP($B138,master!$B$3:$S$600,15,0)</f>
        <v>SMP NEGERI 1 BANTUL</v>
      </c>
      <c r="O138" s="82" t="str">
        <f>VLOOKUP($B138,master!$B$3:$S$600,4,0)</f>
        <v>2-07-2008</v>
      </c>
    </row>
    <row r="139" spans="1:15" ht="15.75" customHeight="1" x14ac:dyDescent="0.25">
      <c r="A139" s="80" t="s">
        <v>826</v>
      </c>
      <c r="B139" s="11" t="s">
        <v>813</v>
      </c>
      <c r="C139" s="11" t="s">
        <v>4831</v>
      </c>
      <c r="D139" s="11" t="s">
        <v>323</v>
      </c>
      <c r="E139" s="65" t="str">
        <f>VLOOKUP(D139,Total!$C$2:$D$518,2,0)</f>
        <v>11 TSM 1</v>
      </c>
      <c r="F139" s="65" t="str">
        <f>VLOOKUP(C139,Total!$B$2:$F$514,5,0)</f>
        <v>AKTIF</v>
      </c>
      <c r="G139" s="67" t="str">
        <f>VLOOKUP($B139,master!$B$3:$S$600,16,0)</f>
        <v>+62 878-3950-7574</v>
      </c>
      <c r="H139" s="67" t="str">
        <f>VLOOKUP($B139,master!$B$3:$S$600,17,0)</f>
        <v>+62 878-3950-75</v>
      </c>
      <c r="I139" s="67" t="str">
        <f>VLOOKUP($B139,master!$B$3:$S$600,8,0)</f>
        <v>PONGGOK I</v>
      </c>
      <c r="J139" s="67" t="str">
        <f>VLOOKUP($B139,master!$B$3:$S$600,9,0)</f>
        <v>007</v>
      </c>
      <c r="K139" s="67" t="str">
        <f>VLOOKUP($B139,master!$B$3:$S$600,11,0)</f>
        <v>TRIMULYO</v>
      </c>
      <c r="L139" s="67" t="str">
        <f>VLOOKUP($B139,master!$B$3:$S$600,12,0)</f>
        <v>JETIS</v>
      </c>
      <c r="M139" s="67" t="str">
        <f>VLOOKUP($B139,master!$B$3:$S$600,6,0)</f>
        <v>Jamirin</v>
      </c>
      <c r="N139" s="82" t="str">
        <f>VLOOKUP($B139,master!$B$3:$S$600,15,0)</f>
        <v>SMP N 1 JETIS</v>
      </c>
      <c r="O139" s="82" t="str">
        <f>VLOOKUP($B139,master!$B$3:$S$600,4,0)</f>
        <v>13-10-2008</v>
      </c>
    </row>
    <row r="140" spans="1:15" ht="15.75" customHeight="1" x14ac:dyDescent="0.25">
      <c r="A140" s="80" t="s">
        <v>828</v>
      </c>
      <c r="B140" s="11" t="s">
        <v>815</v>
      </c>
      <c r="C140" s="11" t="s">
        <v>4832</v>
      </c>
      <c r="D140" s="11" t="s">
        <v>324</v>
      </c>
      <c r="E140" s="65" t="str">
        <f>VLOOKUP(D140,Total!$C$2:$D$518,2,0)</f>
        <v>11 TSM 1</v>
      </c>
      <c r="F140" s="65" t="str">
        <f>VLOOKUP(C140,Total!$B$2:$F$514,5,0)</f>
        <v>KELUAR</v>
      </c>
      <c r="G140" s="67" t="str">
        <f>VLOOKUP($B140,master!$B$3:$S$600,16,0)</f>
        <v>0895325442806</v>
      </c>
      <c r="H140" s="67" t="str">
        <f>VLOOKUP($B140,master!$B$3:$S$600,17,0)</f>
        <v>0882003405812</v>
      </c>
      <c r="I140" s="67" t="str">
        <f>VLOOKUP($B140,master!$B$3:$S$600,8,0)</f>
        <v>DERESAN</v>
      </c>
      <c r="J140" s="67" t="str">
        <f>VLOOKUP($B140,master!$B$3:$S$600,9,0)</f>
        <v>1</v>
      </c>
      <c r="K140" s="67" t="str">
        <f>VLOOKUP($B140,master!$B$3:$S$600,11,0)</f>
        <v>RINGINHARJO</v>
      </c>
      <c r="L140" s="67" t="str">
        <f>VLOOKUP($B140,master!$B$3:$S$600,12,0)</f>
        <v>BANTUL</v>
      </c>
      <c r="M140" s="67" t="str">
        <f>VLOOKUP($B140,master!$B$3:$S$600,6,0)</f>
        <v>CHOIRUL HUDA</v>
      </c>
      <c r="N140" s="82" t="str">
        <f>VLOOKUP($B140,master!$B$3:$S$600,15,0)</f>
        <v>SMP N 3 BANTUL</v>
      </c>
      <c r="O140" s="82" t="str">
        <f>VLOOKUP($B140,master!$B$3:$S$600,4,0)</f>
        <v>18-02-2009</v>
      </c>
    </row>
    <row r="141" spans="1:15" ht="15.75" customHeight="1" x14ac:dyDescent="0.25">
      <c r="A141" s="80" t="s">
        <v>830</v>
      </c>
      <c r="B141" s="11" t="s">
        <v>817</v>
      </c>
      <c r="C141" s="11" t="s">
        <v>4833</v>
      </c>
      <c r="D141" s="11" t="s">
        <v>325</v>
      </c>
      <c r="E141" s="65" t="str">
        <f>VLOOKUP(D141,Total!$C$2:$D$518,2,0)</f>
        <v>11 TSM 1</v>
      </c>
      <c r="F141" s="65" t="str">
        <f>VLOOKUP(C141,Total!$B$2:$F$514,5,0)</f>
        <v>AKTIF</v>
      </c>
      <c r="G141" s="67" t="str">
        <f>VLOOKUP($B141,master!$B$3:$S$600,16,0)</f>
        <v>083867150505</v>
      </c>
      <c r="H141" s="67" t="str">
        <f>VLOOKUP($B141,master!$B$3:$S$600,17,0)</f>
        <v>083867150505</v>
      </c>
      <c r="I141" s="67" t="str">
        <f>VLOOKUP($B141,master!$B$3:$S$600,8,0)</f>
        <v>WEDUSAN</v>
      </c>
      <c r="J141" s="67" t="str">
        <f>VLOOKUP($B141,master!$B$3:$S$600,9,0)</f>
        <v>4</v>
      </c>
      <c r="K141" s="67" t="str">
        <f>VLOOKUP($B141,master!$B$3:$S$600,11,0)</f>
        <v>MURTIGADING</v>
      </c>
      <c r="L141" s="67" t="str">
        <f>VLOOKUP($B141,master!$B$3:$S$600,12,0)</f>
        <v>SANDEN</v>
      </c>
      <c r="M141" s="67" t="str">
        <f>VLOOKUP($B141,master!$B$3:$S$600,6,0)</f>
        <v>DANUN</v>
      </c>
      <c r="N141" s="82" t="str">
        <f>VLOOKUP($B141,master!$B$3:$S$600,15,0)</f>
        <v>SMP N 1 SANDEN</v>
      </c>
      <c r="O141" s="82" t="str">
        <f>VLOOKUP($B141,master!$B$3:$S$600,4,0)</f>
        <v>29-04-2009</v>
      </c>
    </row>
    <row r="142" spans="1:15" ht="15.75" customHeight="1" x14ac:dyDescent="0.25">
      <c r="A142" s="80" t="s">
        <v>832</v>
      </c>
      <c r="B142" s="11" t="s">
        <v>819</v>
      </c>
      <c r="C142" s="11" t="s">
        <v>4834</v>
      </c>
      <c r="D142" s="11" t="s">
        <v>326</v>
      </c>
      <c r="E142" s="65" t="str">
        <f>VLOOKUP(D142,Total!$C$2:$D$518,2,0)</f>
        <v>11 TSM 1</v>
      </c>
      <c r="F142" s="65" t="str">
        <f>VLOOKUP(C142,Total!$B$2:$F$514,5,0)</f>
        <v>AKTIF</v>
      </c>
      <c r="G142" s="67" t="str">
        <f>VLOOKUP($B142,master!$B$3:$S$600,16,0)</f>
        <v>081328652083</v>
      </c>
      <c r="H142" s="67" t="str">
        <f>VLOOKUP($B142,master!$B$3:$S$600,17,0)</f>
        <v>081233465030</v>
      </c>
      <c r="I142" s="67" t="str">
        <f>VLOOKUP($B142,master!$B$3:$S$600,8,0)</f>
        <v>PANDES II</v>
      </c>
      <c r="J142" s="67" t="str">
        <f>VLOOKUP($B142,master!$B$3:$S$600,9,0)</f>
        <v>3</v>
      </c>
      <c r="K142" s="67" t="str">
        <f>VLOOKUP($B142,master!$B$3:$S$600,11,0)</f>
        <v>WONOKROMO</v>
      </c>
      <c r="L142" s="67" t="str">
        <f>VLOOKUP($B142,master!$B$3:$S$600,12,0)</f>
        <v>PLERET</v>
      </c>
      <c r="M142" s="67" t="str">
        <f>VLOOKUP($B142,master!$B$3:$S$600,6,0)</f>
        <v>SLAMET RIYADI</v>
      </c>
      <c r="N142" s="82" t="str">
        <f>VLOOKUP($B142,master!$B$3:$S$600,15,0)</f>
        <v>SMP N 1 PLERET</v>
      </c>
      <c r="O142" s="82" t="str">
        <f>VLOOKUP($B142,master!$B$3:$S$600,4,0)</f>
        <v>10-09-2008</v>
      </c>
    </row>
    <row r="143" spans="1:15" ht="15.75" customHeight="1" x14ac:dyDescent="0.25">
      <c r="A143" s="80" t="s">
        <v>834</v>
      </c>
      <c r="B143" s="11" t="s">
        <v>821</v>
      </c>
      <c r="C143" s="11" t="s">
        <v>4835</v>
      </c>
      <c r="D143" s="11" t="s">
        <v>327</v>
      </c>
      <c r="E143" s="65" t="str">
        <f>VLOOKUP(D143,Total!$C$2:$D$518,2,0)</f>
        <v>11 TSM 1</v>
      </c>
      <c r="F143" s="65" t="str">
        <f>VLOOKUP(C143,Total!$B$2:$F$514,5,0)</f>
        <v>AKTIF</v>
      </c>
      <c r="G143" s="67" t="str">
        <f>VLOOKUP($B143,master!$B$3:$S$600,16,0)</f>
        <v>085793374213</v>
      </c>
      <c r="H143" s="67" t="str">
        <f>VLOOKUP($B143,master!$B$3:$S$600,17,0)</f>
        <v>085869668077</v>
      </c>
      <c r="I143" s="67" t="str">
        <f>VLOOKUP($B143,master!$B$3:$S$600,8,0)</f>
        <v>sanden DK. XV</v>
      </c>
      <c r="J143" s="67" t="str">
        <f>VLOOKUP($B143,master!$B$3:$S$600,9,0)</f>
        <v>02</v>
      </c>
      <c r="K143" s="67" t="str">
        <f>VLOOKUP($B143,master!$B$3:$S$600,11,0)</f>
        <v>MURTIGADING</v>
      </c>
      <c r="L143" s="67" t="str">
        <f>VLOOKUP($B143,master!$B$3:$S$600,12,0)</f>
        <v>SANDEN</v>
      </c>
      <c r="M143" s="67" t="str">
        <f>VLOOKUP($B143,master!$B$3:$S$600,6,0)</f>
        <v>Dwi yuniastuti</v>
      </c>
      <c r="N143" s="82" t="str">
        <f>VLOOKUP($B143,master!$B$3:$S$600,15,0)</f>
        <v>SMP N 2 SANDEN</v>
      </c>
      <c r="O143" s="82" t="str">
        <f>VLOOKUP($B143,master!$B$3:$S$600,4,0)</f>
        <v>28-11-2008</v>
      </c>
    </row>
    <row r="144" spans="1:15" ht="15.75" customHeight="1" x14ac:dyDescent="0.25">
      <c r="A144" s="80" t="s">
        <v>836</v>
      </c>
      <c r="B144" s="11" t="s">
        <v>823</v>
      </c>
      <c r="C144" s="11" t="s">
        <v>4836</v>
      </c>
      <c r="D144" s="11" t="s">
        <v>328</v>
      </c>
      <c r="E144" s="65" t="str">
        <f>VLOOKUP(D144,Total!$C$2:$D$518,2,0)</f>
        <v>11 TSM 1</v>
      </c>
      <c r="F144" s="65" t="str">
        <f>VLOOKUP(C144,Total!$B$2:$F$514,5,0)</f>
        <v>AKTIF</v>
      </c>
      <c r="G144" s="67" t="str">
        <f>VLOOKUP($B144,master!$B$3:$S$600,16,0)</f>
        <v>088902968426</v>
      </c>
      <c r="H144" s="67" t="str">
        <f>VLOOKUP($B144,master!$B$3:$S$600,17,0)</f>
        <v>0882003986232</v>
      </c>
      <c r="I144" s="67" t="str">
        <f>VLOOKUP($B144,master!$B$3:$S$600,8,0)</f>
        <v>NGENTAK</v>
      </c>
      <c r="J144" s="67" t="str">
        <f>VLOOKUP($B144,master!$B$3:$S$600,9,0)</f>
        <v>1</v>
      </c>
      <c r="K144" s="67" t="str">
        <f>VLOOKUP($B144,master!$B$3:$S$600,11,0)</f>
        <v>PONCOSARI</v>
      </c>
      <c r="L144" s="67" t="str">
        <f>VLOOKUP($B144,master!$B$3:$S$600,12,0)</f>
        <v>SRANDAKAN</v>
      </c>
      <c r="M144" s="67" t="str">
        <f>VLOOKUP($B144,master!$B$3:$S$600,6,0)</f>
        <v>KRISWANDARI</v>
      </c>
      <c r="N144" s="82" t="str">
        <f>VLOOKUP($B144,master!$B$3:$S$600,15,0)</f>
        <v>SMP N 1 SRANDAKAN</v>
      </c>
      <c r="O144" s="82" t="str">
        <f>VLOOKUP($B144,master!$B$3:$S$600,4,0)</f>
        <v>10-10-2008</v>
      </c>
    </row>
    <row r="145" spans="1:15" ht="15.75" customHeight="1" x14ac:dyDescent="0.25">
      <c r="A145" s="80" t="s">
        <v>838</v>
      </c>
      <c r="B145" s="11" t="s">
        <v>825</v>
      </c>
      <c r="C145" s="11" t="s">
        <v>4837</v>
      </c>
      <c r="D145" s="11" t="s">
        <v>329</v>
      </c>
      <c r="E145" s="65" t="str">
        <f>VLOOKUP(D145,Total!$C$2:$D$518,2,0)</f>
        <v>11 TSM 1</v>
      </c>
      <c r="F145" s="65" t="str">
        <f>VLOOKUP(C145,Total!$B$2:$F$514,5,0)</f>
        <v>AKTIF</v>
      </c>
      <c r="G145" s="67" t="str">
        <f>VLOOKUP($B145,master!$B$3:$S$600,16,0)</f>
        <v>085878500874</v>
      </c>
      <c r="H145" s="67" t="str">
        <f>VLOOKUP($B145,master!$B$3:$S$600,17,0)</f>
        <v>085641093226</v>
      </c>
      <c r="I145" s="67" t="str">
        <f>VLOOKUP($B145,master!$B$3:$S$600,8,0)</f>
        <v>JIPANGAN</v>
      </c>
      <c r="J145" s="67" t="str">
        <f>VLOOKUP($B145,master!$B$3:$S$600,9,0)</f>
        <v>03</v>
      </c>
      <c r="K145" s="67" t="str">
        <f>VLOOKUP($B145,master!$B$3:$S$600,11,0)</f>
        <v>BANGUNJIWO</v>
      </c>
      <c r="L145" s="67" t="str">
        <f>VLOOKUP($B145,master!$B$3:$S$600,12,0)</f>
        <v>KASIHAN</v>
      </c>
      <c r="M145" s="67" t="str">
        <f>VLOOKUP($B145,master!$B$3:$S$600,6,0)</f>
        <v>RAJAB</v>
      </c>
      <c r="N145" s="82" t="str">
        <f>VLOOKUP($B145,master!$B$3:$S$600,15,0)</f>
        <v>MTS MUHAMMADIYAH KASIHAN</v>
      </c>
      <c r="O145" s="82" t="str">
        <f>VLOOKUP($B145,master!$B$3:$S$600,4,0)</f>
        <v>29-12-2008</v>
      </c>
    </row>
    <row r="146" spans="1:15" ht="15.75" customHeight="1" x14ac:dyDescent="0.25">
      <c r="A146" s="80" t="s">
        <v>840</v>
      </c>
      <c r="B146" s="11" t="s">
        <v>827</v>
      </c>
      <c r="C146" s="11" t="s">
        <v>4838</v>
      </c>
      <c r="D146" s="11" t="s">
        <v>5091</v>
      </c>
      <c r="E146" s="65" t="str">
        <f>VLOOKUP(D146,Total!$C$2:$D$518,2,0)</f>
        <v>11 TSM 1</v>
      </c>
      <c r="F146" s="65" t="str">
        <f>VLOOKUP(C146,Total!$B$2:$F$514,5,0)</f>
        <v>KELUAR</v>
      </c>
      <c r="G146" s="67" t="str">
        <f>VLOOKUP($B146,master!$B$3:$S$600,16,0)</f>
        <v>085600473224</v>
      </c>
      <c r="H146" s="67" t="str">
        <f>VLOOKUP($B146,master!$B$3:$S$600,17,0)</f>
        <v>-</v>
      </c>
      <c r="I146" s="67" t="str">
        <f>VLOOKUP($B146,master!$B$3:$S$600,8,0)</f>
        <v>NGAMBAH</v>
      </c>
      <c r="J146" s="67" t="str">
        <f>VLOOKUP($B146,master!$B$3:$S$600,9,0)</f>
        <v>4</v>
      </c>
      <c r="K146" s="67" t="str">
        <f>VLOOKUP($B146,master!$B$3:$S$600,11,0)</f>
        <v>MULYODADI</v>
      </c>
      <c r="L146" s="67" t="str">
        <f>VLOOKUP($B146,master!$B$3:$S$600,12,0)</f>
        <v>BAMBANGLIPURO</v>
      </c>
      <c r="M146" s="67" t="str">
        <f>VLOOKUP($B146,master!$B$3:$S$600,6,0)</f>
        <v>EMA SEPTIANA</v>
      </c>
      <c r="N146" s="82" t="str">
        <f>VLOOKUP($B146,master!$B$3:$S$600,15,0)</f>
        <v>SMP MUHAMMADIYAH 1 BAMBANGLIPURO</v>
      </c>
      <c r="O146" s="82" t="str">
        <f>VLOOKUP($B146,master!$B$3:$S$600,4,0)</f>
        <v>16-04-2009</v>
      </c>
    </row>
    <row r="147" spans="1:15" ht="15.75" customHeight="1" x14ac:dyDescent="0.25">
      <c r="A147" s="80" t="s">
        <v>842</v>
      </c>
      <c r="B147" s="11" t="s">
        <v>829</v>
      </c>
      <c r="C147" s="11" t="s">
        <v>4839</v>
      </c>
      <c r="D147" s="11" t="s">
        <v>330</v>
      </c>
      <c r="E147" s="65" t="str">
        <f>VLOOKUP(D147,Total!$C$2:$D$518,2,0)</f>
        <v>11 TSM 1</v>
      </c>
      <c r="F147" s="65" t="str">
        <f>VLOOKUP(C147,Total!$B$2:$F$514,5,0)</f>
        <v>AKTIF</v>
      </c>
      <c r="G147" s="67" t="str">
        <f>VLOOKUP($B147,master!$B$3:$S$600,16,0)</f>
        <v>+6288221828604</v>
      </c>
      <c r="H147" s="67" t="str">
        <f>VLOOKUP($B147,master!$B$3:$S$600,17,0)</f>
        <v>081215088719</v>
      </c>
      <c r="I147" s="67" t="str">
        <f>VLOOKUP($B147,master!$B$3:$S$600,8,0)</f>
        <v>Cempluk</v>
      </c>
      <c r="J147" s="67" t="str">
        <f>VLOOKUP($B147,master!$B$3:$S$600,9,0)</f>
        <v>05</v>
      </c>
      <c r="K147" s="67" t="str">
        <f>VLOOKUP($B147,master!$B$3:$S$600,11,0)</f>
        <v>MANGUNAN</v>
      </c>
      <c r="L147" s="67" t="str">
        <f>VLOOKUP($B147,master!$B$3:$S$600,12,0)</f>
        <v>DLINGO</v>
      </c>
      <c r="M147" s="67" t="str">
        <f>VLOOKUP($B147,master!$B$3:$S$600,6,0)</f>
        <v>RIYANTO</v>
      </c>
      <c r="N147" s="82" t="str">
        <f>VLOOKUP($B147,master!$B$3:$S$600,15,0)</f>
        <v>SMP N 2 DLINGO</v>
      </c>
      <c r="O147" s="82" t="str">
        <f>VLOOKUP($B147,master!$B$3:$S$600,4,0)</f>
        <v>22-07-2009</v>
      </c>
    </row>
    <row r="148" spans="1:15" ht="15.75" customHeight="1" x14ac:dyDescent="0.25">
      <c r="A148" s="80" t="s">
        <v>844</v>
      </c>
      <c r="B148" s="11" t="s">
        <v>831</v>
      </c>
      <c r="C148" s="11" t="s">
        <v>4840</v>
      </c>
      <c r="D148" s="11" t="s">
        <v>331</v>
      </c>
      <c r="E148" s="65" t="str">
        <f>VLOOKUP(D148,Total!$C$2:$D$518,2,0)</f>
        <v>11 TSM 1</v>
      </c>
      <c r="F148" s="65" t="str">
        <f>VLOOKUP(C148,Total!$B$2:$F$514,5,0)</f>
        <v>AKTIF</v>
      </c>
      <c r="G148" s="67" t="str">
        <f>VLOOKUP($B148,master!$B$3:$S$600,16,0)</f>
        <v>0895381506786</v>
      </c>
      <c r="H148" s="67" t="str">
        <f>VLOOKUP($B148,master!$B$3:$S$600,17,0)</f>
        <v>0895377301416</v>
      </c>
      <c r="I148" s="67" t="str">
        <f>VLOOKUP($B148,master!$B$3:$S$600,8,0)</f>
        <v>MASAHAN</v>
      </c>
      <c r="J148" s="67" t="str">
        <f>VLOOKUP($B148,master!$B$3:$S$600,9,0)</f>
        <v>4</v>
      </c>
      <c r="K148" s="67" t="str">
        <f>VLOOKUP($B148,master!$B$3:$S$600,11,0)</f>
        <v>TRIRENGGO</v>
      </c>
      <c r="L148" s="67" t="str">
        <f>VLOOKUP($B148,master!$B$3:$S$600,12,0)</f>
        <v>BANTUL</v>
      </c>
      <c r="M148" s="67" t="str">
        <f>VLOOKUP($B148,master!$B$3:$S$600,6,0)</f>
        <v>Sugeng Riswanto</v>
      </c>
      <c r="N148" s="82" t="str">
        <f>VLOOKUP($B148,master!$B$3:$S$600,15,0)</f>
        <v>SMP N 1 BANTUL</v>
      </c>
      <c r="O148" s="82" t="str">
        <f>VLOOKUP($B148,master!$B$3:$S$600,4,0)</f>
        <v>28-11-2008</v>
      </c>
    </row>
    <row r="149" spans="1:15" ht="15.75" customHeight="1" x14ac:dyDescent="0.25">
      <c r="A149" s="80" t="s">
        <v>846</v>
      </c>
      <c r="B149" s="11" t="s">
        <v>833</v>
      </c>
      <c r="C149" s="11" t="s">
        <v>4841</v>
      </c>
      <c r="D149" s="11" t="s">
        <v>332</v>
      </c>
      <c r="E149" s="65" t="str">
        <f>VLOOKUP(D149,Total!$C$2:$D$518,2,0)</f>
        <v>11 TSM 1</v>
      </c>
      <c r="F149" s="65" t="str">
        <f>VLOOKUP(C149,Total!$B$2:$F$514,5,0)</f>
        <v>AKTIF</v>
      </c>
      <c r="G149" s="67" t="str">
        <f>VLOOKUP($B149,master!$B$3:$S$600,16,0)</f>
        <v>83145593109</v>
      </c>
      <c r="H149" s="67" t="str">
        <f>VLOOKUP($B149,master!$B$3:$S$600,17,0)</f>
        <v>0</v>
      </c>
      <c r="I149" s="67" t="str">
        <f>VLOOKUP($B149,master!$B$3:$S$600,8,0)</f>
        <v>PIRING</v>
      </c>
      <c r="J149" s="67" t="str">
        <f>VLOOKUP($B149,master!$B$3:$S$600,9,0)</f>
        <v>1</v>
      </c>
      <c r="K149" s="67" t="str">
        <f>VLOOKUP($B149,master!$B$3:$S$600,11,0)</f>
        <v>SRIHARDONO</v>
      </c>
      <c r="L149" s="67" t="str">
        <f>VLOOKUP($B149,master!$B$3:$S$600,12,0)</f>
        <v>PUNDONG</v>
      </c>
      <c r="M149" s="67" t="str">
        <f>VLOOKUP($B149,master!$B$3:$S$600,6,0)</f>
        <v>SURAMIN</v>
      </c>
      <c r="N149" s="82" t="str">
        <f>VLOOKUP($B149,master!$B$3:$S$600,15,0)</f>
        <v>SMP N 1 PUNDONG</v>
      </c>
      <c r="O149" s="82" t="str">
        <f>VLOOKUP($B149,master!$B$3:$S$600,4,0)</f>
        <v>13-04-2009</v>
      </c>
    </row>
    <row r="150" spans="1:15" ht="15.75" customHeight="1" x14ac:dyDescent="0.25">
      <c r="A150" s="80" t="s">
        <v>848</v>
      </c>
      <c r="B150" s="11" t="s">
        <v>835</v>
      </c>
      <c r="C150" s="11" t="s">
        <v>4842</v>
      </c>
      <c r="D150" s="11" t="s">
        <v>333</v>
      </c>
      <c r="E150" s="65" t="str">
        <f>VLOOKUP(D150,Total!$C$2:$D$518,2,0)</f>
        <v>11 TSM 1</v>
      </c>
      <c r="F150" s="65" t="str">
        <f>VLOOKUP(C150,Total!$B$2:$F$514,5,0)</f>
        <v>AKTIF</v>
      </c>
      <c r="G150" s="67" t="str">
        <f>VLOOKUP($B150,master!$B$3:$S$600,16,0)</f>
        <v>088216069698</v>
      </c>
      <c r="H150" s="67" t="str">
        <f>VLOOKUP($B150,master!$B$3:$S$600,17,0)</f>
        <v>0895807476090</v>
      </c>
      <c r="I150" s="67" t="str">
        <f>VLOOKUP($B150,master!$B$3:$S$600,8,0)</f>
        <v>MENAYU KULON</v>
      </c>
      <c r="J150" s="67" t="str">
        <f>VLOOKUP($B150,master!$B$3:$S$600,9,0)</f>
        <v>6</v>
      </c>
      <c r="K150" s="67" t="str">
        <f>VLOOKUP($B150,master!$B$3:$S$600,11,0)</f>
        <v>TIRTONIRMOLO</v>
      </c>
      <c r="L150" s="67" t="str">
        <f>VLOOKUP($B150,master!$B$3:$S$600,12,0)</f>
        <v>KASIHAN</v>
      </c>
      <c r="M150" s="67" t="str">
        <f>VLOOKUP($B150,master!$B$3:$S$600,6,0)</f>
        <v>ROHADI</v>
      </c>
      <c r="N150" s="82" t="str">
        <f>VLOOKUP($B150,master!$B$3:$S$600,15,0)</f>
        <v>MTS N 4 BANTUL</v>
      </c>
      <c r="O150" s="82" t="str">
        <f>VLOOKUP($B150,master!$B$3:$S$600,4,0)</f>
        <v>14-09-2009</v>
      </c>
    </row>
    <row r="151" spans="1:15" ht="15.75" customHeight="1" x14ac:dyDescent="0.25">
      <c r="A151" s="80" t="s">
        <v>850</v>
      </c>
      <c r="B151" s="11" t="s">
        <v>837</v>
      </c>
      <c r="C151" s="11" t="s">
        <v>4843</v>
      </c>
      <c r="D151" s="11" t="s">
        <v>334</v>
      </c>
      <c r="E151" s="65" t="str">
        <f>VLOOKUP(D151,Total!$C$2:$D$518,2,0)</f>
        <v>11 TSM 1</v>
      </c>
      <c r="F151" s="65" t="str">
        <f>VLOOKUP(C151,Total!$B$2:$F$514,5,0)</f>
        <v>AKTIF</v>
      </c>
      <c r="G151" s="67" t="str">
        <f>VLOOKUP($B151,master!$B$3:$S$600,16,0)</f>
        <v>087852070143/087852070143</v>
      </c>
      <c r="H151" s="67" t="str">
        <f>VLOOKUP($B151,master!$B$3:$S$600,17,0)</f>
        <v>089527603733</v>
      </c>
      <c r="I151" s="67" t="str">
        <f>VLOOKUP($B151,master!$B$3:$S$600,8,0)</f>
        <v>MIRI</v>
      </c>
      <c r="J151" s="67" t="str">
        <f>VLOOKUP($B151,master!$B$3:$S$600,9,0)</f>
        <v>27</v>
      </c>
      <c r="K151" s="67" t="str">
        <f>VLOOKUP($B151,master!$B$3:$S$600,11,0)</f>
        <v>PENDOWOHARJO</v>
      </c>
      <c r="L151" s="67" t="str">
        <f>VLOOKUP($B151,master!$B$3:$S$600,12,0)</f>
        <v>SEWON</v>
      </c>
      <c r="M151" s="67" t="str">
        <f>VLOOKUP($B151,master!$B$3:$S$600,6,0)</f>
        <v>Ami warifah</v>
      </c>
      <c r="N151" s="82" t="str">
        <f>VLOOKUP($B151,master!$B$3:$S$600,15,0)</f>
        <v>SMP MUHAMMADIYAH SEWON</v>
      </c>
      <c r="O151" s="82" t="str">
        <f>VLOOKUP($B151,master!$B$3:$S$600,4,0)</f>
        <v>18-01-2009</v>
      </c>
    </row>
    <row r="152" spans="1:15" ht="15.75" customHeight="1" x14ac:dyDescent="0.25">
      <c r="A152" s="80" t="s">
        <v>852</v>
      </c>
      <c r="B152" s="11" t="s">
        <v>839</v>
      </c>
      <c r="C152" s="11" t="s">
        <v>4844</v>
      </c>
      <c r="D152" s="11" t="s">
        <v>335</v>
      </c>
      <c r="E152" s="65" t="str">
        <f>VLOOKUP(D152,Total!$C$2:$D$518,2,0)</f>
        <v>11 TSM 1</v>
      </c>
      <c r="F152" s="65" t="str">
        <f>VLOOKUP(C152,Total!$B$2:$F$514,5,0)</f>
        <v>AKTIF</v>
      </c>
      <c r="G152" s="67" t="str">
        <f>VLOOKUP($B152,master!$B$3:$S$600,16,0)</f>
        <v>089672221636</v>
      </c>
      <c r="H152" s="67" t="str">
        <f>VLOOKUP($B152,master!$B$3:$S$600,17,0)</f>
        <v>0</v>
      </c>
      <c r="I152" s="67" t="str">
        <f>VLOOKUP($B152,master!$B$3:$S$600,8,0)</f>
        <v>BUNGAS</v>
      </c>
      <c r="J152" s="67" t="str">
        <f>VLOOKUP($B152,master!$B$3:$S$600,9,0)</f>
        <v>5</v>
      </c>
      <c r="K152" s="67" t="str">
        <f>VLOOKUP($B152,master!$B$3:$S$600,11,0)</f>
        <v>SUMBERAGUNG</v>
      </c>
      <c r="L152" s="67" t="str">
        <f>VLOOKUP($B152,master!$B$3:$S$600,12,0)</f>
        <v>JETIS</v>
      </c>
      <c r="M152" s="67" t="str">
        <f>VLOOKUP($B152,master!$B$3:$S$600,6,0)</f>
        <v>SUBARJONO</v>
      </c>
      <c r="N152" s="82" t="str">
        <f>VLOOKUP($B152,master!$B$3:$S$600,15,0)</f>
        <v>SMP N 2 JETIS</v>
      </c>
      <c r="O152" s="82" t="str">
        <f>VLOOKUP($B152,master!$B$3:$S$600,4,0)</f>
        <v>14-12-2008</v>
      </c>
    </row>
    <row r="153" spans="1:15" ht="15.75" customHeight="1" x14ac:dyDescent="0.25">
      <c r="A153" s="80" t="s">
        <v>854</v>
      </c>
      <c r="B153" s="11" t="s">
        <v>841</v>
      </c>
      <c r="C153" s="11" t="s">
        <v>4845</v>
      </c>
      <c r="D153" s="11" t="s">
        <v>336</v>
      </c>
      <c r="E153" s="65" t="str">
        <f>VLOOKUP(D153,Total!$C$2:$D$518,2,0)</f>
        <v>11 TSM 1</v>
      </c>
      <c r="F153" s="65" t="str">
        <f>VLOOKUP(C153,Total!$B$2:$F$514,5,0)</f>
        <v>AKTIF</v>
      </c>
      <c r="G153" s="67" t="str">
        <f>VLOOKUP($B153,master!$B$3:$S$600,16,0)</f>
        <v>083871847878</v>
      </c>
      <c r="H153" s="67" t="str">
        <f>VLOOKUP($B153,master!$B$3:$S$600,17,0)</f>
        <v>083164924767</v>
      </c>
      <c r="I153" s="67" t="str">
        <f>VLOOKUP($B153,master!$B$3:$S$600,8,0)</f>
        <v>NGAGLIK</v>
      </c>
      <c r="J153" s="67" t="str">
        <f>VLOOKUP($B153,master!$B$3:$S$600,9,0)</f>
        <v>11</v>
      </c>
      <c r="K153" s="67" t="str">
        <f>VLOOKUP($B153,master!$B$3:$S$600,11,0)</f>
        <v>PATALAN</v>
      </c>
      <c r="L153" s="67" t="str">
        <f>VLOOKUP($B153,master!$B$3:$S$600,12,0)</f>
        <v>JETIS</v>
      </c>
      <c r="M153" s="67" t="str">
        <f>VLOOKUP($B153,master!$B$3:$S$600,6,0)</f>
        <v>FITRIA NASTITI</v>
      </c>
      <c r="N153" s="82" t="str">
        <f>VLOOKUP($B153,master!$B$3:$S$600,15,0)</f>
        <v>SMP MUHAMMADIYAH IMOGIRI</v>
      </c>
      <c r="O153" s="82" t="str">
        <f>VLOOKUP($B153,master!$B$3:$S$600,4,0)</f>
        <v>17-05-2008</v>
      </c>
    </row>
    <row r="154" spans="1:15" ht="15.75" customHeight="1" x14ac:dyDescent="0.25">
      <c r="A154" s="80" t="s">
        <v>856</v>
      </c>
      <c r="B154" s="11" t="s">
        <v>843</v>
      </c>
      <c r="C154" s="11" t="s">
        <v>4846</v>
      </c>
      <c r="D154" s="11" t="s">
        <v>337</v>
      </c>
      <c r="E154" s="65" t="str">
        <f>VLOOKUP(D154,Total!$C$2:$D$518,2,0)</f>
        <v>11 TSM 1</v>
      </c>
      <c r="F154" s="65" t="str">
        <f>VLOOKUP(C154,Total!$B$2:$F$514,5,0)</f>
        <v>AKTIF</v>
      </c>
      <c r="G154" s="67" t="str">
        <f>VLOOKUP($B154,master!$B$3:$S$600,16,0)</f>
        <v>088216270664</v>
      </c>
      <c r="H154" s="67" t="str">
        <f>VLOOKUP($B154,master!$B$3:$S$600,17,0)</f>
        <v>082216270664</v>
      </c>
      <c r="I154" s="67" t="str">
        <f>VLOOKUP($B154,master!$B$3:$S$600,8,0)</f>
        <v>LANTENG 1</v>
      </c>
      <c r="J154" s="67" t="str">
        <f>VLOOKUP($B154,master!$B$3:$S$600,9,0)</f>
        <v>02</v>
      </c>
      <c r="K154" s="67" t="str">
        <f>VLOOKUP($B154,master!$B$3:$S$600,11,0)</f>
        <v>SELOPAMIORO</v>
      </c>
      <c r="L154" s="67" t="str">
        <f>VLOOKUP($B154,master!$B$3:$S$600,12,0)</f>
        <v>IMOGIRI</v>
      </c>
      <c r="M154" s="67" t="str">
        <f>VLOOKUP($B154,master!$B$3:$S$600,6,0)</f>
        <v>ARIFIN SUSANTO</v>
      </c>
      <c r="N154" s="82" t="str">
        <f>VLOOKUP($B154,master!$B$3:$S$600,15,0)</f>
        <v>MTS TQ ARRISALLAH</v>
      </c>
      <c r="O154" s="82" t="str">
        <f>VLOOKUP($B154,master!$B$3:$S$600,4,0)</f>
        <v>8-04-2009</v>
      </c>
    </row>
    <row r="155" spans="1:15" ht="15.75" customHeight="1" x14ac:dyDescent="0.25">
      <c r="A155" s="80" t="s">
        <v>858</v>
      </c>
      <c r="B155" s="11" t="s">
        <v>845</v>
      </c>
      <c r="C155" s="11" t="s">
        <v>4847</v>
      </c>
      <c r="D155" s="11" t="s">
        <v>338</v>
      </c>
      <c r="E155" s="65" t="str">
        <f>VLOOKUP(D155,Total!$C$2:$D$518,2,0)</f>
        <v>11 TSM 1</v>
      </c>
      <c r="F155" s="65" t="str">
        <f>VLOOKUP(C155,Total!$B$2:$F$514,5,0)</f>
        <v>AKTIF</v>
      </c>
      <c r="G155" s="67" t="str">
        <f>VLOOKUP($B155,master!$B$3:$S$600,16,0)</f>
        <v>085643433205</v>
      </c>
      <c r="H155" s="67" t="str">
        <f>VLOOKUP($B155,master!$B$3:$S$600,17,0)</f>
        <v>-</v>
      </c>
      <c r="I155" s="67" t="str">
        <f>VLOOKUP($B155,master!$B$3:$S$600,8,0)</f>
        <v>JETIS</v>
      </c>
      <c r="J155" s="67" t="str">
        <f>VLOOKUP($B155,master!$B$3:$S$600,9,0)</f>
        <v>4</v>
      </c>
      <c r="K155" s="67" t="str">
        <f>VLOOKUP($B155,master!$B$3:$S$600,11,0)</f>
        <v>TIRTOMULYO</v>
      </c>
      <c r="L155" s="67" t="str">
        <f>VLOOKUP($B155,master!$B$3:$S$600,12,0)</f>
        <v>KRETEK</v>
      </c>
      <c r="M155" s="67" t="str">
        <f>VLOOKUP($B155,master!$B$3:$S$600,6,0)</f>
        <v>WALUYO ATMOJO</v>
      </c>
      <c r="N155" s="82" t="str">
        <f>VLOOKUP($B155,master!$B$3:$S$600,15,0)</f>
        <v>SMP N 1 KRETEK</v>
      </c>
      <c r="O155" s="82" t="str">
        <f>VLOOKUP($B155,master!$B$3:$S$600,4,0)</f>
        <v>6-04-2009</v>
      </c>
    </row>
    <row r="156" spans="1:15" ht="15.75" customHeight="1" x14ac:dyDescent="0.25">
      <c r="A156" s="80" t="s">
        <v>860</v>
      </c>
      <c r="B156" s="11" t="s">
        <v>847</v>
      </c>
      <c r="C156" s="11" t="s">
        <v>4848</v>
      </c>
      <c r="D156" s="11" t="s">
        <v>339</v>
      </c>
      <c r="E156" s="65" t="str">
        <f>VLOOKUP(D156,Total!$C$2:$D$518,2,0)</f>
        <v>11 TSM 2</v>
      </c>
      <c r="F156" s="65" t="str">
        <f>VLOOKUP(C156,Total!$B$2:$F$514,5,0)</f>
        <v>AKTIF</v>
      </c>
      <c r="G156" s="67" t="str">
        <f>VLOOKUP($B156,master!$B$3:$S$600,16,0)</f>
        <v>085803789981</v>
      </c>
      <c r="H156" s="67" t="str">
        <f>VLOOKUP($B156,master!$B$3:$S$600,17,0)</f>
        <v>082137755475</v>
      </c>
      <c r="I156" s="67" t="str">
        <f>VLOOKUP($B156,master!$B$3:$S$600,8,0)</f>
        <v>PANDEYAN</v>
      </c>
      <c r="J156" s="67" t="str">
        <f>VLOOKUP($B156,master!$B$3:$S$600,9,0)</f>
        <v>5</v>
      </c>
      <c r="K156" s="67" t="str">
        <f>VLOOKUP($B156,master!$B$3:$S$600,11,0)</f>
        <v>BANGUNHARJO</v>
      </c>
      <c r="L156" s="67" t="str">
        <f>VLOOKUP($B156,master!$B$3:$S$600,12,0)</f>
        <v>SEWON</v>
      </c>
      <c r="M156" s="67" t="str">
        <f>VLOOKUP($B156,master!$B$3:$S$600,6,0)</f>
        <v>YULIANTO</v>
      </c>
      <c r="N156" s="82" t="str">
        <f>VLOOKUP($B156,master!$B$3:$S$600,15,0)</f>
        <v>SMP MUHAMMADIYAH 9 YOGYAKARTA</v>
      </c>
      <c r="O156" s="82" t="str">
        <f>VLOOKUP($B156,master!$B$3:$S$600,4,0)</f>
        <v>1-11-2008</v>
      </c>
    </row>
    <row r="157" spans="1:15" ht="15.75" customHeight="1" x14ac:dyDescent="0.25">
      <c r="A157" s="80" t="s">
        <v>862</v>
      </c>
      <c r="B157" s="11" t="s">
        <v>849</v>
      </c>
      <c r="C157" s="11" t="s">
        <v>4849</v>
      </c>
      <c r="D157" s="11" t="s">
        <v>340</v>
      </c>
      <c r="E157" s="65" t="str">
        <f>VLOOKUP(D157,Total!$C$2:$D$518,2,0)</f>
        <v>11 TSM 2</v>
      </c>
      <c r="F157" s="65" t="str">
        <f>VLOOKUP(C157,Total!$B$2:$F$514,5,0)</f>
        <v>AKTIF</v>
      </c>
      <c r="G157" s="67" t="str">
        <f>VLOOKUP($B157,master!$B$3:$S$600,16,0)</f>
        <v>089658504144</v>
      </c>
      <c r="H157" s="67" t="str">
        <f>VLOOKUP($B157,master!$B$3:$S$600,17,0)</f>
        <v>0895391383831</v>
      </c>
      <c r="I157" s="67" t="str">
        <f>VLOOKUP($B157,master!$B$3:$S$600,8,0)</f>
        <v>Sulang Lor</v>
      </c>
      <c r="J157" s="67" t="str">
        <f>VLOOKUP($B157,master!$B$3:$S$600,9,0)</f>
        <v>054</v>
      </c>
      <c r="K157" s="67" t="str">
        <f>VLOOKUP($B157,master!$B$3:$S$600,11,0)</f>
        <v>PATALAN</v>
      </c>
      <c r="L157" s="67" t="str">
        <f>VLOOKUP($B157,master!$B$3:$S$600,12,0)</f>
        <v>JETIS</v>
      </c>
      <c r="M157" s="67" t="str">
        <f>VLOOKUP($B157,master!$B$3:$S$600,6,0)</f>
        <v>Gito Widodo</v>
      </c>
      <c r="N157" s="82" t="str">
        <f>VLOOKUP($B157,master!$B$3:$S$600,15,0)</f>
        <v>MTS N 5 BANTUL</v>
      </c>
      <c r="O157" s="82" t="str">
        <f>VLOOKUP($B157,master!$B$3:$S$600,4,0)</f>
        <v>20-09-2008</v>
      </c>
    </row>
    <row r="158" spans="1:15" ht="15.75" customHeight="1" x14ac:dyDescent="0.25">
      <c r="A158" s="80" t="s">
        <v>864</v>
      </c>
      <c r="B158" s="11" t="s">
        <v>851</v>
      </c>
      <c r="C158" s="11" t="s">
        <v>4850</v>
      </c>
      <c r="D158" s="11" t="s">
        <v>341</v>
      </c>
      <c r="E158" s="65" t="str">
        <f>VLOOKUP(D158,Total!$C$2:$D$518,2,0)</f>
        <v>11 TSM 2</v>
      </c>
      <c r="F158" s="65" t="str">
        <f>VLOOKUP(C158,Total!$B$2:$F$514,5,0)</f>
        <v>AKTIF</v>
      </c>
      <c r="G158" s="67" t="str">
        <f>VLOOKUP($B158,master!$B$3:$S$600,16,0)</f>
        <v>+62 895-3590-47244</v>
      </c>
      <c r="H158" s="67" t="str">
        <f>VLOOKUP($B158,master!$B$3:$S$600,17,0)</f>
        <v>+62 898-9240-66</v>
      </c>
      <c r="I158" s="67" t="str">
        <f>VLOOKUP($B158,master!$B$3:$S$600,8,0)</f>
        <v>TEMUWUH KIDUL</v>
      </c>
      <c r="J158" s="67" t="str">
        <f>VLOOKUP($B158,master!$B$3:$S$600,9,0)</f>
        <v>007</v>
      </c>
      <c r="K158" s="67" t="str">
        <f>VLOOKUP($B158,master!$B$3:$S$600,11,0)</f>
        <v>BALECATUR</v>
      </c>
      <c r="L158" s="67" t="str">
        <f>VLOOKUP($B158,master!$B$3:$S$600,12,0)</f>
        <v>GAMPING</v>
      </c>
      <c r="M158" s="67" t="str">
        <f>VLOOKUP($B158,master!$B$3:$S$600,6,0)</f>
        <v>Bambang wijanarko</v>
      </c>
      <c r="N158" s="82" t="str">
        <f>VLOOKUP($B158,master!$B$3:$S$600,15,0)</f>
        <v>MTS AL HADI II</v>
      </c>
      <c r="O158" s="82" t="str">
        <f>VLOOKUP($B158,master!$B$3:$S$600,4,0)</f>
        <v>12-08-2008</v>
      </c>
    </row>
    <row r="159" spans="1:15" ht="15.75" customHeight="1" x14ac:dyDescent="0.25">
      <c r="A159" s="80" t="s">
        <v>866</v>
      </c>
      <c r="B159" s="11" t="s">
        <v>853</v>
      </c>
      <c r="C159" s="11" t="s">
        <v>4851</v>
      </c>
      <c r="D159" s="11" t="s">
        <v>1717</v>
      </c>
      <c r="E159" s="65" t="str">
        <f>VLOOKUP(D159,Total!$C$2:$D$518,2,0)</f>
        <v>11 TSM 2</v>
      </c>
      <c r="F159" s="65" t="str">
        <f>VLOOKUP(C159,Total!$B$2:$F$514,5,0)</f>
        <v>AKTIF</v>
      </c>
      <c r="G159" s="67" t="str">
        <f>VLOOKUP($B159,master!$B$3:$S$600,16,0)</f>
        <v>083137016645</v>
      </c>
      <c r="H159" s="67" t="str">
        <f>VLOOKUP($B159,master!$B$3:$S$600,17,0)</f>
        <v>083133501959</v>
      </c>
      <c r="I159" s="67" t="str">
        <f>VLOOKUP($B159,master!$B$3:$S$600,8,0)</f>
        <v>GLUNTUNG LOR</v>
      </c>
      <c r="J159" s="67" t="str">
        <f>VLOOKUP($B159,master!$B$3:$S$600,9,0)</f>
        <v>3</v>
      </c>
      <c r="K159" s="67" t="str">
        <f>VLOOKUP($B159,master!$B$3:$S$600,11,0)</f>
        <v>CATURHARJO</v>
      </c>
      <c r="L159" s="67" t="str">
        <f>VLOOKUP($B159,master!$B$3:$S$600,12,0)</f>
        <v>PANDAK</v>
      </c>
      <c r="M159" s="67" t="str">
        <f>VLOOKUP($B159,master!$B$3:$S$600,6,0)</f>
        <v>SUGIMIN</v>
      </c>
      <c r="N159" s="82" t="str">
        <f>VLOOKUP($B159,master!$B$3:$S$600,15,0)</f>
        <v>SMP N 4 PANDAK</v>
      </c>
      <c r="O159" s="82" t="str">
        <f>VLOOKUP($B159,master!$B$3:$S$600,4,0)</f>
        <v>27-04-2009</v>
      </c>
    </row>
    <row r="160" spans="1:15" ht="15.75" customHeight="1" x14ac:dyDescent="0.25">
      <c r="A160" s="80" t="s">
        <v>868</v>
      </c>
      <c r="B160" s="11" t="s">
        <v>855</v>
      </c>
      <c r="C160" s="11" t="s">
        <v>4852</v>
      </c>
      <c r="D160" s="11" t="s">
        <v>342</v>
      </c>
      <c r="E160" s="65" t="str">
        <f>VLOOKUP(D160,Total!$C$2:$D$518,2,0)</f>
        <v>11 TSM 2</v>
      </c>
      <c r="F160" s="65" t="str">
        <f>VLOOKUP(C160,Total!$B$2:$F$514,5,0)</f>
        <v>AKTIF</v>
      </c>
      <c r="G160" s="67" t="str">
        <f>VLOOKUP($B160,master!$B$3:$S$600,16,0)</f>
        <v>81326218861</v>
      </c>
      <c r="H160" s="67" t="str">
        <f>VLOOKUP($B160,master!$B$3:$S$600,17,0)</f>
        <v>0</v>
      </c>
      <c r="I160" s="67" t="str">
        <f>VLOOKUP($B160,master!$B$3:$S$600,8,0)</f>
        <v>KIYARAN</v>
      </c>
      <c r="J160" s="67" t="str">
        <f>VLOOKUP($B160,master!$B$3:$S$600,9,0)</f>
        <v>3</v>
      </c>
      <c r="K160" s="67" t="str">
        <f>VLOOKUP($B160,master!$B$3:$S$600,11,0)</f>
        <v>SUMBERAGUNG</v>
      </c>
      <c r="L160" s="67" t="str">
        <f>VLOOKUP($B160,master!$B$3:$S$600,12,0)</f>
        <v>JETIS</v>
      </c>
      <c r="M160" s="67" t="str">
        <f>VLOOKUP($B160,master!$B$3:$S$600,6,0)</f>
        <v>RUSDI KURNIAWAN</v>
      </c>
      <c r="N160" s="82" t="str">
        <f>VLOOKUP($B160,master!$B$3:$S$600,15,0)</f>
        <v>MTS N 2 BANTUL</v>
      </c>
      <c r="O160" s="82" t="str">
        <f>VLOOKUP($B160,master!$B$3:$S$600,4,0)</f>
        <v>8-10-2008</v>
      </c>
    </row>
    <row r="161" spans="1:15" ht="15.75" customHeight="1" x14ac:dyDescent="0.25">
      <c r="A161" s="80" t="s">
        <v>870</v>
      </c>
      <c r="B161" s="11" t="s">
        <v>857</v>
      </c>
      <c r="C161" s="11" t="s">
        <v>4853</v>
      </c>
      <c r="D161" s="11" t="s">
        <v>343</v>
      </c>
      <c r="E161" s="65" t="str">
        <f>VLOOKUP(D161,Total!$C$2:$D$518,2,0)</f>
        <v>11 TSM 2</v>
      </c>
      <c r="F161" s="65" t="str">
        <f>VLOOKUP(C161,Total!$B$2:$F$514,5,0)</f>
        <v>KELUAR</v>
      </c>
      <c r="G161" s="67" t="str">
        <f>VLOOKUP($B161,master!$B$3:$S$600,16,0)</f>
        <v>088802538488</v>
      </c>
      <c r="H161" s="67" t="str">
        <f>VLOOKUP($B161,master!$B$3:$S$600,17,0)</f>
        <v>089630356477</v>
      </c>
      <c r="I161" s="67" t="str">
        <f>VLOOKUP($B161,master!$B$3:$S$600,8,0)</f>
        <v>DEMANGAN</v>
      </c>
      <c r="J161" s="67" t="str">
        <f>VLOOKUP($B161,master!$B$3:$S$600,9,0)</f>
        <v>3</v>
      </c>
      <c r="K161" s="67" t="str">
        <f>VLOOKUP($B161,master!$B$3:$S$600,11,0)</f>
        <v>WONOKROMO</v>
      </c>
      <c r="L161" s="67" t="str">
        <f>VLOOKUP($B161,master!$B$3:$S$600,12,0)</f>
        <v>PLERET</v>
      </c>
      <c r="M161" s="67" t="str">
        <f>VLOOKUP($B161,master!$B$3:$S$600,6,0)</f>
        <v>BARDIYONO</v>
      </c>
      <c r="N161" s="82" t="str">
        <f>VLOOKUP($B161,master!$B$3:$S$600,15,0)</f>
        <v>SMP N 1 PLERET</v>
      </c>
      <c r="O161" s="82" t="str">
        <f>VLOOKUP($B161,master!$B$3:$S$600,4,0)</f>
        <v>5-01-2009</v>
      </c>
    </row>
    <row r="162" spans="1:15" ht="15.75" customHeight="1" x14ac:dyDescent="0.25">
      <c r="A162" s="80" t="s">
        <v>872</v>
      </c>
      <c r="B162" s="11" t="s">
        <v>859</v>
      </c>
      <c r="C162" s="11" t="s">
        <v>4854</v>
      </c>
      <c r="D162" s="11" t="s">
        <v>344</v>
      </c>
      <c r="E162" s="65" t="str">
        <f>VLOOKUP(D162,Total!$C$2:$D$518,2,0)</f>
        <v>11 TSM 2</v>
      </c>
      <c r="F162" s="65" t="str">
        <f>VLOOKUP(C162,Total!$B$2:$F$514,5,0)</f>
        <v>AKTIF</v>
      </c>
      <c r="G162" s="67" t="str">
        <f>VLOOKUP($B162,master!$B$3:$S$600,16,0)</f>
        <v>081909979649</v>
      </c>
      <c r="H162" s="67" t="str">
        <f>VLOOKUP($B162,master!$B$3:$S$600,17,0)</f>
        <v>0882998947473</v>
      </c>
      <c r="I162" s="67" t="str">
        <f>VLOOKUP($B162,master!$B$3:$S$600,8,0)</f>
        <v>GESIKAN JARANAN</v>
      </c>
      <c r="J162" s="67" t="str">
        <f>VLOOKUP($B162,master!$B$3:$S$600,9,0)</f>
        <v>5</v>
      </c>
      <c r="K162" s="67" t="str">
        <f>VLOOKUP($B162,master!$B$3:$S$600,11,0)</f>
        <v>PANGGUNGHARJO</v>
      </c>
      <c r="L162" s="67" t="str">
        <f>VLOOKUP($B162,master!$B$3:$S$600,12,0)</f>
        <v>SEWON</v>
      </c>
      <c r="M162" s="67" t="str">
        <f>VLOOKUP($B162,master!$B$3:$S$600,6,0)</f>
        <v>MARYATI</v>
      </c>
      <c r="N162" s="82" t="str">
        <f>VLOOKUP($B162,master!$B$3:$S$600,15,0)</f>
        <v>SMP N 4 SEWON</v>
      </c>
      <c r="O162" s="82" t="str">
        <f>VLOOKUP($B162,master!$B$3:$S$600,4,0)</f>
        <v>9-04-2009</v>
      </c>
    </row>
    <row r="163" spans="1:15" ht="15.75" customHeight="1" x14ac:dyDescent="0.25">
      <c r="A163" s="80" t="s">
        <v>874</v>
      </c>
      <c r="B163" s="11" t="s">
        <v>861</v>
      </c>
      <c r="C163" s="11" t="s">
        <v>4855</v>
      </c>
      <c r="D163" s="11" t="s">
        <v>345</v>
      </c>
      <c r="E163" s="65" t="str">
        <f>VLOOKUP(D163,Total!$C$2:$D$518,2,0)</f>
        <v>11 TSM 2</v>
      </c>
      <c r="F163" s="65" t="str">
        <f>VLOOKUP(C163,Total!$B$2:$F$514,5,0)</f>
        <v>AKTIF</v>
      </c>
      <c r="G163" s="67" t="str">
        <f>VLOOKUP($B163,master!$B$3:$S$600,16,0)</f>
        <v>081325168231</v>
      </c>
      <c r="H163" s="67" t="str">
        <f>VLOOKUP($B163,master!$B$3:$S$600,17,0)</f>
        <v>083895363313</v>
      </c>
      <c r="I163" s="67" t="str">
        <f>VLOOKUP($B163,master!$B$3:$S$600,8,0)</f>
        <v>KRINJING</v>
      </c>
      <c r="J163" s="67" t="str">
        <f>VLOOKUP($B163,master!$B$3:$S$600,9,0)</f>
        <v>4</v>
      </c>
      <c r="K163" s="67" t="str">
        <f>VLOOKUP($B163,master!$B$3:$S$600,11,0)</f>
        <v>SELOPAMIORO</v>
      </c>
      <c r="L163" s="67" t="str">
        <f>VLOOKUP($B163,master!$B$3:$S$600,12,0)</f>
        <v>IMOGIRI</v>
      </c>
      <c r="M163" s="67" t="str">
        <f>VLOOKUP($B163,master!$B$3:$S$600,6,0)</f>
        <v>SRI LESTARI</v>
      </c>
      <c r="N163" s="82" t="str">
        <f>VLOOKUP($B163,master!$B$3:$S$600,15,0)</f>
        <v>SMP AL MA'ARIF IMOGIRI</v>
      </c>
      <c r="O163" s="82" t="str">
        <f>VLOOKUP($B163,master!$B$3:$S$600,4,0)</f>
        <v>8-06-2007</v>
      </c>
    </row>
    <row r="164" spans="1:15" ht="15.75" customHeight="1" x14ac:dyDescent="0.25">
      <c r="A164" s="80" t="s">
        <v>876</v>
      </c>
      <c r="B164" s="11" t="s">
        <v>863</v>
      </c>
      <c r="C164" s="11" t="s">
        <v>4856</v>
      </c>
      <c r="D164" s="11" t="s">
        <v>5055</v>
      </c>
      <c r="E164" s="65" t="str">
        <f>VLOOKUP(D164,Total!$C$2:$D$518,2,0)</f>
        <v>11 TSM 2</v>
      </c>
      <c r="F164" s="65" t="str">
        <f>VLOOKUP(C164,Total!$B$2:$F$514,5,0)</f>
        <v>AKTIF</v>
      </c>
      <c r="G164" s="67" t="str">
        <f>VLOOKUP($B164,master!$B$3:$S$600,16,0)</f>
        <v>89674228212</v>
      </c>
      <c r="H164" s="67" t="str">
        <f>VLOOKUP($B164,master!$B$3:$S$600,17,0)</f>
        <v>0</v>
      </c>
      <c r="I164" s="67" t="str">
        <f>VLOOKUP($B164,master!$B$3:$S$600,8,0)</f>
        <v>JOJORAN WETAN</v>
      </c>
      <c r="J164" s="67" t="str">
        <f>VLOOKUP($B164,master!$B$3:$S$600,9,0)</f>
        <v>4</v>
      </c>
      <c r="K164" s="67" t="str">
        <f>VLOOKUP($B164,master!$B$3:$S$600,11,0)</f>
        <v>TRIWIDADI</v>
      </c>
      <c r="L164" s="67" t="str">
        <f>VLOOKUP($B164,master!$B$3:$S$600,12,0)</f>
        <v>PAJANGAN</v>
      </c>
      <c r="M164" s="67" t="str">
        <f>VLOOKUP($B164,master!$B$3:$S$600,6,0)</f>
        <v>UKHIE</v>
      </c>
      <c r="N164" s="82" t="str">
        <f>VLOOKUP($B164,master!$B$3:$S$600,15,0)</f>
        <v>SMP N 3 PAJANGAN</v>
      </c>
      <c r="O164" s="82" t="str">
        <f>VLOOKUP($B164,master!$B$3:$S$600,4,0)</f>
        <v>29-01-2009</v>
      </c>
    </row>
    <row r="165" spans="1:15" ht="15.75" customHeight="1" x14ac:dyDescent="0.25">
      <c r="A165" s="80" t="s">
        <v>878</v>
      </c>
      <c r="B165" s="11" t="s">
        <v>865</v>
      </c>
      <c r="C165" s="11" t="s">
        <v>4857</v>
      </c>
      <c r="D165" s="11" t="s">
        <v>5054</v>
      </c>
      <c r="E165" s="65" t="str">
        <f>VLOOKUP(D165,Total!$C$2:$D$518,2,0)</f>
        <v>11 TSM 2</v>
      </c>
      <c r="F165" s="65" t="str">
        <f>VLOOKUP(C165,Total!$B$2:$F$514,5,0)</f>
        <v>AKTIF</v>
      </c>
      <c r="G165" s="67" t="str">
        <f>VLOOKUP($B165,master!$B$3:$S$600,16,0)</f>
        <v>081568423379</v>
      </c>
      <c r="H165" s="67" t="str">
        <f>VLOOKUP($B165,master!$B$3:$S$600,17,0)</f>
        <v>081568423379</v>
      </c>
      <c r="I165" s="67" t="str">
        <f>VLOOKUP($B165,master!$B$3:$S$600,8,0)</f>
        <v>KERGAN</v>
      </c>
      <c r="J165" s="67" t="str">
        <f>VLOOKUP($B165,master!$B$3:$S$600,9,0)</f>
        <v>01</v>
      </c>
      <c r="K165" s="67" t="str">
        <f>VLOOKUP($B165,master!$B$3:$S$600,11,0)</f>
        <v>TIRTOMULYO</v>
      </c>
      <c r="L165" s="67" t="str">
        <f>VLOOKUP($B165,master!$B$3:$S$600,12,0)</f>
        <v>KRETEK</v>
      </c>
      <c r="M165" s="67" t="str">
        <f>VLOOKUP($B165,master!$B$3:$S$600,6,0)</f>
        <v>Slamet Riyanta</v>
      </c>
      <c r="N165" s="82" t="str">
        <f>VLOOKUP($B165,master!$B$3:$S$600,15,0)</f>
        <v>SMP N 1 KRETEK</v>
      </c>
      <c r="O165" s="82" t="str">
        <f>VLOOKUP($B165,master!$B$3:$S$600,4,0)</f>
        <v>20-01-2009</v>
      </c>
    </row>
    <row r="166" spans="1:15" ht="15.75" customHeight="1" x14ac:dyDescent="0.25">
      <c r="A166" s="80" t="s">
        <v>880</v>
      </c>
      <c r="B166" s="11" t="s">
        <v>867</v>
      </c>
      <c r="C166" s="11" t="s">
        <v>4858</v>
      </c>
      <c r="D166" s="11" t="s">
        <v>346</v>
      </c>
      <c r="E166" s="65" t="str">
        <f>VLOOKUP(D166,Total!$C$2:$D$518,2,0)</f>
        <v>11 TSM 2</v>
      </c>
      <c r="F166" s="65" t="str">
        <f>VLOOKUP(C166,Total!$B$2:$F$514,5,0)</f>
        <v>KELUAR</v>
      </c>
      <c r="G166" s="67" t="str">
        <f>VLOOKUP($B166,master!$B$3:$S$600,16,0)</f>
        <v>081392944077</v>
      </c>
      <c r="H166" s="67" t="str">
        <f>VLOOKUP($B166,master!$B$3:$S$600,17,0)</f>
        <v>-</v>
      </c>
      <c r="I166" s="67" t="str">
        <f>VLOOKUP($B166,master!$B$3:$S$600,8,0)</f>
        <v>BENDO</v>
      </c>
      <c r="J166" s="67" t="str">
        <f>VLOOKUP($B166,master!$B$3:$S$600,9,0)</f>
        <v>103</v>
      </c>
      <c r="K166" s="67" t="str">
        <f>VLOOKUP($B166,master!$B$3:$S$600,11,0)</f>
        <v>TRIMURTI</v>
      </c>
      <c r="L166" s="67" t="str">
        <f>VLOOKUP($B166,master!$B$3:$S$600,12,0)</f>
        <v>SRANDAKAN</v>
      </c>
      <c r="M166" s="67" t="str">
        <f>VLOOKUP($B166,master!$B$3:$S$600,6,0)</f>
        <v>ELIYA ROHKHANIKEN</v>
      </c>
      <c r="N166" s="82" t="str">
        <f>VLOOKUP($B166,master!$B$3:$S$600,15,0)</f>
        <v>SMP MUHAMMADIYAH SANDEN</v>
      </c>
      <c r="O166" s="82" t="str">
        <f>VLOOKUP($B166,master!$B$3:$S$600,4,0)</f>
        <v>1-02-2008</v>
      </c>
    </row>
    <row r="167" spans="1:15" ht="15.75" customHeight="1" x14ac:dyDescent="0.25">
      <c r="A167" s="80" t="s">
        <v>882</v>
      </c>
      <c r="B167" s="11" t="s">
        <v>869</v>
      </c>
      <c r="C167" s="11" t="s">
        <v>4859</v>
      </c>
      <c r="D167" s="11" t="s">
        <v>347</v>
      </c>
      <c r="E167" s="65" t="str">
        <f>VLOOKUP(D167,Total!$C$2:$D$518,2,0)</f>
        <v>11 TSM 2</v>
      </c>
      <c r="F167" s="65" t="str">
        <f>VLOOKUP(C167,Total!$B$2:$F$514,5,0)</f>
        <v>KELUAR</v>
      </c>
      <c r="G167" s="67" t="str">
        <f>VLOOKUP($B167,master!$B$3:$S$600,16,0)</f>
        <v>+62 882-0066-31299</v>
      </c>
      <c r="H167" s="67" t="str">
        <f>VLOOKUP($B167,master!$B$3:$S$600,17,0)</f>
        <v>088215695917</v>
      </c>
      <c r="I167" s="67" t="str">
        <f>VLOOKUP($B167,master!$B$3:$S$600,8,0)</f>
        <v>SAMBENG 1</v>
      </c>
      <c r="J167" s="67" t="str">
        <f>VLOOKUP($B167,master!$B$3:$S$600,9,0)</f>
        <v>01</v>
      </c>
      <c r="K167" s="67" t="str">
        <f>VLOOKUP($B167,master!$B$3:$S$600,11,0)</f>
        <v>PONCOSARI</v>
      </c>
      <c r="L167" s="67" t="str">
        <f>VLOOKUP($B167,master!$B$3:$S$600,12,0)</f>
        <v>SRANDAKAN</v>
      </c>
      <c r="M167" s="67" t="str">
        <f>VLOOKUP($B167,master!$B$3:$S$600,6,0)</f>
        <v>Uci Rambono</v>
      </c>
      <c r="N167" s="82" t="str">
        <f>VLOOKUP($B167,master!$B$3:$S$600,15,0)</f>
        <v>SMP N 2 SRANDAKAN</v>
      </c>
      <c r="O167" s="82" t="str">
        <f>VLOOKUP($B167,master!$B$3:$S$600,4,0)</f>
        <v>10-02-2009</v>
      </c>
    </row>
    <row r="168" spans="1:15" ht="15.75" customHeight="1" x14ac:dyDescent="0.25">
      <c r="A168" s="80" t="s">
        <v>884</v>
      </c>
      <c r="B168" s="11" t="s">
        <v>871</v>
      </c>
      <c r="C168" s="11" t="s">
        <v>4860</v>
      </c>
      <c r="D168" s="11" t="s">
        <v>348</v>
      </c>
      <c r="E168" s="65" t="str">
        <f>VLOOKUP(D168,Total!$C$2:$D$518,2,0)</f>
        <v>11 TSM 2</v>
      </c>
      <c r="F168" s="65" t="str">
        <f>VLOOKUP(C168,Total!$B$2:$F$514,5,0)</f>
        <v>AKTIF</v>
      </c>
      <c r="G168" s="67" t="str">
        <f>VLOOKUP($B168,master!$B$3:$S$600,16,0)</f>
        <v>85848616702</v>
      </c>
      <c r="H168" s="67" t="str">
        <f>VLOOKUP($B168,master!$B$3:$S$600,17,0)</f>
        <v>0</v>
      </c>
      <c r="I168" s="67" t="str">
        <f>VLOOKUP($B168,master!$B$3:$S$600,8,0)</f>
        <v>TIRTO</v>
      </c>
      <c r="J168" s="67" t="str">
        <f>VLOOKUP($B168,master!$B$3:$S$600,9,0)</f>
        <v>5</v>
      </c>
      <c r="K168" s="67" t="str">
        <f>VLOOKUP($B168,master!$B$3:$S$600,11,0)</f>
        <v>BANGUNJIWO</v>
      </c>
      <c r="L168" s="67" t="str">
        <f>VLOOKUP($B168,master!$B$3:$S$600,12,0)</f>
        <v>KASIHAN</v>
      </c>
      <c r="M168" s="67" t="str">
        <f>VLOOKUP($B168,master!$B$3:$S$600,6,0)</f>
        <v>SUJIMAN</v>
      </c>
      <c r="N168" s="82" t="str">
        <f>VLOOKUP($B168,master!$B$3:$S$600,15,0)</f>
        <v>SMP N 4 SEWON</v>
      </c>
      <c r="O168" s="82" t="str">
        <f>VLOOKUP($B168,master!$B$3:$S$600,4,0)</f>
        <v>2-11-2008</v>
      </c>
    </row>
    <row r="169" spans="1:15" ht="15.75" customHeight="1" x14ac:dyDescent="0.25">
      <c r="A169" s="80" t="s">
        <v>886</v>
      </c>
      <c r="B169" s="11" t="s">
        <v>873</v>
      </c>
      <c r="C169" s="11" t="s">
        <v>4861</v>
      </c>
      <c r="D169" s="11" t="s">
        <v>349</v>
      </c>
      <c r="E169" s="65" t="str">
        <f>VLOOKUP(D169,Total!$C$2:$D$518,2,0)</f>
        <v>11 TSM 2</v>
      </c>
      <c r="F169" s="65" t="str">
        <f>VLOOKUP(C169,Total!$B$2:$F$514,5,0)</f>
        <v>AKTIF</v>
      </c>
      <c r="G169" s="67" t="str">
        <f>VLOOKUP($B169,master!$B$3:$S$600,16,0)</f>
        <v>082135305260</v>
      </c>
      <c r="H169" s="67" t="str">
        <f>VLOOKUP($B169,master!$B$3:$S$600,17,0)</f>
        <v>-</v>
      </c>
      <c r="I169" s="67" t="str">
        <f>VLOOKUP($B169,master!$B$3:$S$600,8,0)</f>
        <v>SUMURAN</v>
      </c>
      <c r="J169" s="67" t="str">
        <f>VLOOKUP($B169,master!$B$3:$S$600,9,0)</f>
        <v>1</v>
      </c>
      <c r="K169" s="67" t="str">
        <f>VLOOKUP($B169,master!$B$3:$S$600,11,0)</f>
        <v>PALBAPANG</v>
      </c>
      <c r="L169" s="67" t="str">
        <f>VLOOKUP($B169,master!$B$3:$S$600,12,0)</f>
        <v>BANTUL</v>
      </c>
      <c r="M169" s="67" t="str">
        <f>VLOOKUP($B169,master!$B$3:$S$600,6,0)</f>
        <v>MARIYANI</v>
      </c>
      <c r="N169" s="82" t="str">
        <f>VLOOKUP($B169,master!$B$3:$S$600,15,0)</f>
        <v>SMP N 1 BAMBANGLIPURO</v>
      </c>
      <c r="O169" s="82" t="str">
        <f>VLOOKUP($B169,master!$B$3:$S$600,4,0)</f>
        <v>3-03-2009</v>
      </c>
    </row>
    <row r="170" spans="1:15" ht="15.75" customHeight="1" x14ac:dyDescent="0.25">
      <c r="A170" s="80" t="s">
        <v>888</v>
      </c>
      <c r="B170" s="11" t="s">
        <v>875</v>
      </c>
      <c r="C170" s="11" t="s">
        <v>4862</v>
      </c>
      <c r="D170" s="11" t="s">
        <v>350</v>
      </c>
      <c r="E170" s="65" t="str">
        <f>VLOOKUP(D170,Total!$C$2:$D$518,2,0)</f>
        <v>11 TSM 2</v>
      </c>
      <c r="F170" s="65" t="str">
        <f>VLOOKUP(C170,Total!$B$2:$F$514,5,0)</f>
        <v>AKTIF</v>
      </c>
      <c r="G170" s="67" t="str">
        <f>VLOOKUP($B170,master!$B$3:$S$600,16,0)</f>
        <v>83896594931</v>
      </c>
      <c r="H170" s="67" t="str">
        <f>VLOOKUP($B170,master!$B$3:$S$600,17,0)</f>
        <v>0</v>
      </c>
      <c r="I170" s="67" t="str">
        <f>VLOOKUP($B170,master!$B$3:$S$600,8,0)</f>
        <v>TEGALSEMPU</v>
      </c>
      <c r="J170" s="67" t="str">
        <f>VLOOKUP($B170,master!$B$3:$S$600,9,0)</f>
        <v>2</v>
      </c>
      <c r="K170" s="67" t="str">
        <f>VLOOKUP($B170,master!$B$3:$S$600,11,0)</f>
        <v>CATURHARJO</v>
      </c>
      <c r="L170" s="67" t="str">
        <f>VLOOKUP($B170,master!$B$3:$S$600,12,0)</f>
        <v>PANDAK</v>
      </c>
      <c r="M170" s="67" t="str">
        <f>VLOOKUP($B170,master!$B$3:$S$600,6,0)</f>
        <v>GUNTORO</v>
      </c>
      <c r="N170" s="82" t="str">
        <f>VLOOKUP($B170,master!$B$3:$S$600,15,0)</f>
        <v>SMP N 4 PANDAK</v>
      </c>
      <c r="O170" s="82" t="str">
        <f>VLOOKUP($B170,master!$B$3:$S$600,4,0)</f>
        <v>20-02-2008</v>
      </c>
    </row>
    <row r="171" spans="1:15" ht="15.75" customHeight="1" x14ac:dyDescent="0.25">
      <c r="A171" s="80" t="s">
        <v>890</v>
      </c>
      <c r="B171" s="11" t="s">
        <v>877</v>
      </c>
      <c r="C171" s="11" t="s">
        <v>4863</v>
      </c>
      <c r="D171" s="11" t="s">
        <v>351</v>
      </c>
      <c r="E171" s="65" t="str">
        <f>VLOOKUP(D171,Total!$C$2:$D$518,2,0)</f>
        <v>11 TSM 2</v>
      </c>
      <c r="F171" s="65" t="str">
        <f>VLOOKUP(C171,Total!$B$2:$F$514,5,0)</f>
        <v>KELUAR</v>
      </c>
      <c r="G171" s="67" t="str">
        <f>VLOOKUP($B171,master!$B$3:$S$600,16,0)</f>
        <v>089699568973</v>
      </c>
      <c r="H171" s="67" t="str">
        <f>VLOOKUP($B171,master!$B$3:$S$600,17,0)</f>
        <v>089699568964</v>
      </c>
      <c r="I171" s="67" t="str">
        <f>VLOOKUP($B171,master!$B$3:$S$600,8,0)</f>
        <v>PEPE</v>
      </c>
      <c r="J171" s="67" t="str">
        <f>VLOOKUP($B171,master!$B$3:$S$600,9,0)</f>
        <v>1</v>
      </c>
      <c r="K171" s="67" t="str">
        <f>VLOOKUP($B171,master!$B$3:$S$600,11,0)</f>
        <v>TRIRENGGO</v>
      </c>
      <c r="L171" s="67" t="str">
        <f>VLOOKUP($B171,master!$B$3:$S$600,12,0)</f>
        <v>BANTUL</v>
      </c>
      <c r="M171" s="67" t="str">
        <f>VLOOKUP($B171,master!$B$3:$S$600,6,0)</f>
        <v>AFRIANTO</v>
      </c>
      <c r="N171" s="82" t="str">
        <f>VLOOKUP($B171,master!$B$3:$S$600,15,0)</f>
        <v>MTS N 4 BANTUL</v>
      </c>
      <c r="O171" s="82" t="str">
        <f>VLOOKUP($B171,master!$B$3:$S$600,4,0)</f>
        <v>29-12-2008</v>
      </c>
    </row>
    <row r="172" spans="1:15" ht="15.75" customHeight="1" x14ac:dyDescent="0.25">
      <c r="A172" s="80" t="s">
        <v>892</v>
      </c>
      <c r="B172" s="11" t="s">
        <v>879</v>
      </c>
      <c r="C172" s="11" t="s">
        <v>4864</v>
      </c>
      <c r="D172" s="11" t="s">
        <v>352</v>
      </c>
      <c r="E172" s="65" t="str">
        <f>VLOOKUP(D172,Total!$C$2:$D$518,2,0)</f>
        <v>11 TSM 2</v>
      </c>
      <c r="F172" s="65" t="str">
        <f>VLOOKUP(C172,Total!$B$2:$F$514,5,0)</f>
        <v>AKTIF</v>
      </c>
      <c r="G172" s="67" t="str">
        <f>VLOOKUP($B172,master!$B$3:$S$600,16,0)</f>
        <v>085876049524</v>
      </c>
      <c r="H172" s="67" t="str">
        <f>VLOOKUP($B172,master!$B$3:$S$600,17,0)</f>
        <v>-</v>
      </c>
      <c r="I172" s="67" t="str">
        <f>VLOOKUP($B172,master!$B$3:$S$600,8,0)</f>
        <v>TIRTO</v>
      </c>
      <c r="J172" s="67" t="str">
        <f>VLOOKUP($B172,master!$B$3:$S$600,9,0)</f>
        <v>7</v>
      </c>
      <c r="K172" s="67" t="str">
        <f>VLOOKUP($B172,master!$B$3:$S$600,11,0)</f>
        <v>BANGUNJIWO</v>
      </c>
      <c r="L172" s="67" t="str">
        <f>VLOOKUP($B172,master!$B$3:$S$600,12,0)</f>
        <v>KASIHAN</v>
      </c>
      <c r="M172" s="67" t="str">
        <f>VLOOKUP($B172,master!$B$3:$S$600,6,0)</f>
        <v>KATIMAH</v>
      </c>
      <c r="N172" s="82" t="str">
        <f>VLOOKUP($B172,master!$B$3:$S$600,15,0)</f>
        <v>SMP MUHAMMADIYAH BANTUL</v>
      </c>
      <c r="O172" s="82" t="str">
        <f>VLOOKUP($B172,master!$B$3:$S$600,4,0)</f>
        <v>1-09-2008</v>
      </c>
    </row>
    <row r="173" spans="1:15" ht="15.75" customHeight="1" x14ac:dyDescent="0.25">
      <c r="A173" s="80" t="s">
        <v>894</v>
      </c>
      <c r="B173" s="11" t="s">
        <v>881</v>
      </c>
      <c r="C173" s="11" t="s">
        <v>4865</v>
      </c>
      <c r="D173" s="11" t="s">
        <v>353</v>
      </c>
      <c r="E173" s="65" t="str">
        <f>VLOOKUP(D173,Total!$C$2:$D$518,2,0)</f>
        <v>11 TSM 2</v>
      </c>
      <c r="F173" s="65" t="str">
        <f>VLOOKUP(C173,Total!$B$2:$F$514,5,0)</f>
        <v>AKTIF</v>
      </c>
      <c r="G173" s="67" t="str">
        <f>VLOOKUP($B173,master!$B$3:$S$600,16,0)</f>
        <v>83150768375</v>
      </c>
      <c r="H173" s="67" t="str">
        <f>VLOOKUP($B173,master!$B$3:$S$600,17,0)</f>
        <v>0</v>
      </c>
      <c r="I173" s="67" t="str">
        <f>VLOOKUP($B173,master!$B$3:$S$600,8,0)</f>
        <v>GUNTING</v>
      </c>
      <c r="J173" s="67" t="str">
        <f>VLOOKUP($B173,master!$B$3:$S$600,9,0)</f>
        <v>4</v>
      </c>
      <c r="K173" s="67" t="str">
        <f>VLOOKUP($B173,master!$B$3:$S$600,11,0)</f>
        <v>GILANGHARJO</v>
      </c>
      <c r="L173" s="67" t="str">
        <f>VLOOKUP($B173,master!$B$3:$S$600,12,0)</f>
        <v>PANDAK</v>
      </c>
      <c r="M173" s="67" t="str">
        <f>VLOOKUP($B173,master!$B$3:$S$600,6,0)</f>
        <v>SUKAMTO</v>
      </c>
      <c r="N173" s="82" t="str">
        <f>VLOOKUP($B173,master!$B$3:$S$600,15,0)</f>
        <v>SMP N 4 PANDAK</v>
      </c>
      <c r="O173" s="82" t="str">
        <f>VLOOKUP($B173,master!$B$3:$S$600,4,0)</f>
        <v>6-03-2008</v>
      </c>
    </row>
    <row r="174" spans="1:15" ht="15.75" customHeight="1" x14ac:dyDescent="0.25">
      <c r="A174" s="80" t="s">
        <v>896</v>
      </c>
      <c r="B174" s="11" t="s">
        <v>883</v>
      </c>
      <c r="C174" s="11" t="s">
        <v>4866</v>
      </c>
      <c r="D174" s="11" t="s">
        <v>354</v>
      </c>
      <c r="E174" s="65" t="str">
        <f>VLOOKUP(D174,Total!$C$2:$D$518,2,0)</f>
        <v>11 TSM 2</v>
      </c>
      <c r="F174" s="65" t="str">
        <f>VLOOKUP(C174,Total!$B$2:$F$514,5,0)</f>
        <v>AKTIF</v>
      </c>
      <c r="G174" s="67" t="str">
        <f>VLOOKUP($B174,master!$B$3:$S$600,16,0)</f>
        <v>81586877477</v>
      </c>
      <c r="H174" s="67" t="str">
        <f>VLOOKUP($B174,master!$B$3:$S$600,17,0)</f>
        <v>0</v>
      </c>
      <c r="I174" s="67" t="str">
        <f>VLOOKUP($B174,master!$B$3:$S$600,8,0)</f>
        <v>GRUDO</v>
      </c>
      <c r="J174" s="67" t="str">
        <f>VLOOKUP($B174,master!$B$3:$S$600,9,0)</f>
        <v>1</v>
      </c>
      <c r="K174" s="67" t="str">
        <f>VLOOKUP($B174,master!$B$3:$S$600,11,0)</f>
        <v>PANJANGREJO</v>
      </c>
      <c r="L174" s="67" t="str">
        <f>VLOOKUP($B174,master!$B$3:$S$600,12,0)</f>
        <v>PUNDONG</v>
      </c>
      <c r="M174" s="67" t="str">
        <f>VLOOKUP($B174,master!$B$3:$S$600,6,0)</f>
        <v>SARINDI</v>
      </c>
      <c r="N174" s="82" t="str">
        <f>VLOOKUP($B174,master!$B$3:$S$600,15,0)</f>
        <v>MTS N 5 BANTUL</v>
      </c>
      <c r="O174" s="82" t="str">
        <f>VLOOKUP($B174,master!$B$3:$S$600,4,0)</f>
        <v>15-06-2009</v>
      </c>
    </row>
    <row r="175" spans="1:15" ht="15.75" customHeight="1" x14ac:dyDescent="0.25">
      <c r="A175" s="80" t="s">
        <v>898</v>
      </c>
      <c r="B175" s="11" t="s">
        <v>885</v>
      </c>
      <c r="C175" s="11" t="s">
        <v>4867</v>
      </c>
      <c r="D175" s="11" t="s">
        <v>355</v>
      </c>
      <c r="E175" s="65" t="str">
        <f>VLOOKUP(D175,Total!$C$2:$D$518,2,0)</f>
        <v>11 TSM 2</v>
      </c>
      <c r="F175" s="65" t="str">
        <f>VLOOKUP(C175,Total!$B$2:$F$514,5,0)</f>
        <v>AKTIF</v>
      </c>
      <c r="G175" s="67" t="str">
        <f>VLOOKUP($B175,master!$B$3:$S$600,16,0)</f>
        <v>085800080005</v>
      </c>
      <c r="H175" s="67" t="str">
        <f>VLOOKUP($B175,master!$B$3:$S$600,17,0)</f>
        <v>08980000045</v>
      </c>
      <c r="I175" s="67" t="str">
        <f>VLOOKUP($B175,master!$B$3:$S$600,8,0)</f>
        <v>BANTUL TIMUR</v>
      </c>
      <c r="J175" s="67" t="str">
        <f>VLOOKUP($B175,master!$B$3:$S$600,9,0)</f>
        <v>6</v>
      </c>
      <c r="K175" s="67" t="str">
        <f>VLOOKUP($B175,master!$B$3:$S$600,11,0)</f>
        <v>TRIRENGGO</v>
      </c>
      <c r="L175" s="67" t="str">
        <f>VLOOKUP($B175,master!$B$3:$S$600,12,0)</f>
        <v>BANTUL</v>
      </c>
      <c r="M175" s="67" t="str">
        <f>VLOOKUP($B175,master!$B$3:$S$600,6,0)</f>
        <v>ARIF SUBEKTI</v>
      </c>
      <c r="N175" s="82" t="str">
        <f>VLOOKUP($B175,master!$B$3:$S$600,15,0)</f>
        <v>SMP N 1 BANTUL</v>
      </c>
      <c r="O175" s="82" t="str">
        <f>VLOOKUP($B175,master!$B$3:$S$600,4,0)</f>
        <v>28-07-2008</v>
      </c>
    </row>
    <row r="176" spans="1:15" ht="15.75" customHeight="1" x14ac:dyDescent="0.25">
      <c r="A176" s="80" t="s">
        <v>900</v>
      </c>
      <c r="B176" s="11" t="s">
        <v>887</v>
      </c>
      <c r="C176" s="11" t="s">
        <v>4868</v>
      </c>
      <c r="D176" s="11" t="s">
        <v>356</v>
      </c>
      <c r="E176" s="65" t="str">
        <f>VLOOKUP(D176,Total!$C$2:$D$518,2,0)</f>
        <v>11 TSM 2</v>
      </c>
      <c r="F176" s="65" t="str">
        <f>VLOOKUP(C176,Total!$B$2:$F$514,5,0)</f>
        <v>AKTIF</v>
      </c>
      <c r="G176" s="67" t="str">
        <f>VLOOKUP($B176,master!$B$3:$S$600,16,0)</f>
        <v>082220368153</v>
      </c>
      <c r="H176" s="67" t="str">
        <f>VLOOKUP($B176,master!$B$3:$S$600,17,0)</f>
        <v>085747287806</v>
      </c>
      <c r="I176" s="67" t="str">
        <f>VLOOKUP($B176,master!$B$3:$S$600,8,0)</f>
        <v>JL. IMOGIRI TIMUR KM</v>
      </c>
      <c r="J176" s="67" t="str">
        <f>VLOOKUP($B176,master!$B$3:$S$600,9,0)</f>
        <v>5</v>
      </c>
      <c r="K176" s="67" t="str">
        <f>VLOOKUP($B176,master!$B$3:$S$600,11,0)</f>
        <v>TRIMULYO</v>
      </c>
      <c r="L176" s="67" t="str">
        <f>VLOOKUP($B176,master!$B$3:$S$600,12,0)</f>
        <v>JETIS</v>
      </c>
      <c r="M176" s="67" t="str">
        <f>VLOOKUP($B176,master!$B$3:$S$600,6,0)</f>
        <v>F LINDA HIROYUKI</v>
      </c>
      <c r="N176" s="82" t="str">
        <f>VLOOKUP($B176,master!$B$3:$S$600,15,0)</f>
        <v>SMP MA'ARIF IMOGIRI</v>
      </c>
      <c r="O176" s="82" t="str">
        <f>VLOOKUP($B176,master!$B$3:$S$600,4,0)</f>
        <v>13-01-2009</v>
      </c>
    </row>
    <row r="177" spans="1:15" ht="15.75" customHeight="1" x14ac:dyDescent="0.25">
      <c r="A177" s="80" t="s">
        <v>902</v>
      </c>
      <c r="B177" s="11" t="s">
        <v>889</v>
      </c>
      <c r="C177" s="11" t="s">
        <v>4869</v>
      </c>
      <c r="D177" s="11" t="s">
        <v>357</v>
      </c>
      <c r="E177" s="65" t="str">
        <f>VLOOKUP(D177,Total!$C$2:$D$518,2,0)</f>
        <v>11 TSM 2</v>
      </c>
      <c r="F177" s="65" t="str">
        <f>VLOOKUP(C177,Total!$B$2:$F$514,5,0)</f>
        <v>AKTIF</v>
      </c>
      <c r="G177" s="67" t="str">
        <f>VLOOKUP($B177,master!$B$3:$S$600,16,0)</f>
        <v>089517292438</v>
      </c>
      <c r="H177" s="67" t="str">
        <f>VLOOKUP($B177,master!$B$3:$S$600,17,0)</f>
        <v>-</v>
      </c>
      <c r="I177" s="67" t="str">
        <f>VLOOKUP($B177,master!$B$3:$S$600,8,0)</f>
        <v>CODE</v>
      </c>
      <c r="J177" s="67" t="str">
        <f>VLOOKUP($B177,master!$B$3:$S$600,9,0)</f>
        <v>4</v>
      </c>
      <c r="K177" s="67" t="str">
        <f>VLOOKUP($B177,master!$B$3:$S$600,11,0)</f>
        <v>TRIRENGGO</v>
      </c>
      <c r="L177" s="67" t="str">
        <f>VLOOKUP($B177,master!$B$3:$S$600,12,0)</f>
        <v>BANTUL</v>
      </c>
      <c r="M177" s="67" t="str">
        <f>VLOOKUP($B177,master!$B$3:$S$600,6,0)</f>
        <v>SURAJIMAN</v>
      </c>
      <c r="N177" s="82" t="str">
        <f>VLOOKUP($B177,master!$B$3:$S$600,15,0)</f>
        <v>SMP MUHAMMADIYAH BANTUL</v>
      </c>
      <c r="O177" s="82" t="str">
        <f>VLOOKUP($B177,master!$B$3:$S$600,4,0)</f>
        <v>27-02-2009</v>
      </c>
    </row>
    <row r="178" spans="1:15" ht="15.75" customHeight="1" x14ac:dyDescent="0.25">
      <c r="A178" s="80" t="s">
        <v>904</v>
      </c>
      <c r="B178" s="11" t="s">
        <v>891</v>
      </c>
      <c r="C178" s="11" t="s">
        <v>4870</v>
      </c>
      <c r="D178" s="11" t="s">
        <v>358</v>
      </c>
      <c r="E178" s="65" t="str">
        <f>VLOOKUP(D178,Total!$C$2:$D$518,2,0)</f>
        <v>11 TSM 2</v>
      </c>
      <c r="F178" s="65" t="str">
        <f>VLOOKUP(C178,Total!$B$2:$F$514,5,0)</f>
        <v>AKTIF</v>
      </c>
      <c r="G178" s="67" t="str">
        <f>VLOOKUP($B178,master!$B$3:$S$600,16,0)</f>
        <v>083104326549</v>
      </c>
      <c r="H178" s="67" t="str">
        <f>VLOOKUP($B178,master!$B$3:$S$600,17,0)</f>
        <v>083134979238</v>
      </c>
      <c r="I178" s="67" t="str">
        <f>VLOOKUP($B178,master!$B$3:$S$600,8,0)</f>
        <v>TARUDAN</v>
      </c>
      <c r="J178" s="67" t="str">
        <f>VLOOKUP($B178,master!$B$3:$S$600,9,0)</f>
        <v>4</v>
      </c>
      <c r="K178" s="67" t="str">
        <f>VLOOKUP($B178,master!$B$3:$S$600,11,0)</f>
        <v>BANGUNHARJO</v>
      </c>
      <c r="L178" s="67" t="str">
        <f>VLOOKUP($B178,master!$B$3:$S$600,12,0)</f>
        <v>SEWON</v>
      </c>
      <c r="M178" s="67" t="str">
        <f>VLOOKUP($B178,master!$B$3:$S$600,6,0)</f>
        <v>PONIJAN</v>
      </c>
      <c r="N178" s="82" t="str">
        <f>VLOOKUP($B178,master!$B$3:$S$600,15,0)</f>
        <v>SMP AL MA'ARIF BANTUL</v>
      </c>
      <c r="O178" s="82" t="str">
        <f>VLOOKUP($B178,master!$B$3:$S$600,4,0)</f>
        <v>3-06-2008</v>
      </c>
    </row>
    <row r="179" spans="1:15" ht="15.75" customHeight="1" x14ac:dyDescent="0.25">
      <c r="A179" s="80" t="s">
        <v>906</v>
      </c>
      <c r="B179" s="11" t="s">
        <v>893</v>
      </c>
      <c r="C179" s="11" t="s">
        <v>4871</v>
      </c>
      <c r="D179" s="11" t="s">
        <v>359</v>
      </c>
      <c r="E179" s="65" t="str">
        <f>VLOOKUP(D179,Total!$C$2:$D$518,2,0)</f>
        <v>11 TSM 2</v>
      </c>
      <c r="F179" s="65" t="str">
        <f>VLOOKUP(C179,Total!$B$2:$F$514,5,0)</f>
        <v>AKTIF</v>
      </c>
      <c r="G179" s="67" t="str">
        <f>VLOOKUP($B179,master!$B$3:$S$600,16,0)</f>
        <v>085228972855</v>
      </c>
      <c r="H179" s="67" t="str">
        <f>VLOOKUP($B179,master!$B$3:$S$600,17,0)</f>
        <v>089507627858</v>
      </c>
      <c r="I179" s="67" t="str">
        <f>VLOOKUP($B179,master!$B$3:$S$600,8,0)</f>
        <v>SAMBIKEREP</v>
      </c>
      <c r="J179" s="67" t="str">
        <f>VLOOKUP($B179,master!$B$3:$S$600,9,0)</f>
        <v>3</v>
      </c>
      <c r="K179" s="67" t="str">
        <f>VLOOKUP($B179,master!$B$3:$S$600,11,0)</f>
        <v>BANGUNJIWO</v>
      </c>
      <c r="L179" s="67" t="str">
        <f>VLOOKUP($B179,master!$B$3:$S$600,12,0)</f>
        <v>KASIHAN</v>
      </c>
      <c r="M179" s="67" t="str">
        <f>VLOOKUP($B179,master!$B$3:$S$600,6,0)</f>
        <v>SUPRATNO</v>
      </c>
      <c r="N179" s="82" t="str">
        <f>VLOOKUP($B179,master!$B$3:$S$600,15,0)</f>
        <v>MTS MUHAMMADIYAH KASIHAN</v>
      </c>
      <c r="O179" s="82" t="str">
        <f>VLOOKUP($B179,master!$B$3:$S$600,4,0)</f>
        <v>20-05-2009</v>
      </c>
    </row>
    <row r="180" spans="1:15" ht="15.75" customHeight="1" x14ac:dyDescent="0.25">
      <c r="A180" s="80" t="s">
        <v>908</v>
      </c>
      <c r="B180" s="11" t="s">
        <v>895</v>
      </c>
      <c r="C180" s="11" t="s">
        <v>4872</v>
      </c>
      <c r="D180" s="11" t="s">
        <v>360</v>
      </c>
      <c r="E180" s="65" t="str">
        <f>VLOOKUP(D180,Total!$C$2:$D$518,2,0)</f>
        <v>11 TSM 2</v>
      </c>
      <c r="F180" s="65" t="str">
        <f>VLOOKUP(C180,Total!$B$2:$F$514,5,0)</f>
        <v>AKTIF</v>
      </c>
      <c r="G180" s="67" t="str">
        <f>VLOOKUP($B180,master!$B$3:$S$600,16,0)</f>
        <v>083863621045</v>
      </c>
      <c r="H180" s="67" t="str">
        <f>VLOOKUP($B180,master!$B$3:$S$600,17,0)</f>
        <v>0882008071843</v>
      </c>
      <c r="I180" s="67" t="str">
        <f>VLOOKUP($B180,master!$B$3:$S$600,8,0)</f>
        <v>MANGIR LOR</v>
      </c>
      <c r="J180" s="67" t="str">
        <f>VLOOKUP($B180,master!$B$3:$S$600,9,0)</f>
        <v>3</v>
      </c>
      <c r="K180" s="67" t="str">
        <f>VLOOKUP($B180,master!$B$3:$S$600,11,0)</f>
        <v>SENDANGSARI</v>
      </c>
      <c r="L180" s="67" t="str">
        <f>VLOOKUP($B180,master!$B$3:$S$600,12,0)</f>
        <v>PAJANGAN</v>
      </c>
      <c r="M180" s="67" t="str">
        <f>VLOOKUP($B180,master!$B$3:$S$600,6,0)</f>
        <v>SAMSUDI</v>
      </c>
      <c r="N180" s="82" t="str">
        <f>VLOOKUP($B180,master!$B$3:$S$600,15,0)</f>
        <v>SMP N 1 PAJANGAN</v>
      </c>
      <c r="O180" s="82" t="str">
        <f>VLOOKUP($B180,master!$B$3:$S$600,4,0)</f>
        <v>6-11-2008</v>
      </c>
    </row>
    <row r="181" spans="1:15" ht="15.75" customHeight="1" x14ac:dyDescent="0.25">
      <c r="A181" s="80" t="s">
        <v>910</v>
      </c>
      <c r="B181" s="11" t="s">
        <v>897</v>
      </c>
      <c r="C181" s="11" t="s">
        <v>4873</v>
      </c>
      <c r="D181" s="11" t="s">
        <v>361</v>
      </c>
      <c r="E181" s="65" t="str">
        <f>VLOOKUP(D181,Total!$C$2:$D$518,2,0)</f>
        <v>11 TSM 2</v>
      </c>
      <c r="F181" s="65" t="str">
        <f>VLOOKUP(C181,Total!$B$2:$F$514,5,0)</f>
        <v>AKTIF</v>
      </c>
      <c r="G181" s="67" t="str">
        <f>VLOOKUP($B181,master!$B$3:$S$600,16,0)</f>
        <v>88216338945</v>
      </c>
      <c r="H181" s="67" t="str">
        <f>VLOOKUP($B181,master!$B$3:$S$600,17,0)</f>
        <v>0</v>
      </c>
      <c r="I181" s="67" t="str">
        <f>VLOOKUP($B181,master!$B$3:$S$600,8,0)</f>
        <v>KARANGGAYAM</v>
      </c>
      <c r="J181" s="67" t="str">
        <f>VLOOKUP($B181,master!$B$3:$S$600,9,0)</f>
        <v>5</v>
      </c>
      <c r="K181" s="67" t="str">
        <f>VLOOKUP($B181,master!$B$3:$S$600,11,0)</f>
        <v>BANTUL</v>
      </c>
      <c r="L181" s="67" t="str">
        <f>VLOOKUP($B181,master!$B$3:$S$600,12,0)</f>
        <v>BANTUL</v>
      </c>
      <c r="M181" s="67" t="str">
        <f>VLOOKUP($B181,master!$B$3:$S$600,6,0)</f>
        <v>ARWAN</v>
      </c>
      <c r="N181" s="82" t="str">
        <f>VLOOKUP($B181,master!$B$3:$S$600,15,0)</f>
        <v>SMP N 3 BANTUL</v>
      </c>
      <c r="O181" s="82" t="str">
        <f>VLOOKUP($B181,master!$B$3:$S$600,4,0)</f>
        <v>4-06-2008</v>
      </c>
    </row>
    <row r="182" spans="1:15" ht="15.75" customHeight="1" x14ac:dyDescent="0.25">
      <c r="A182" s="80" t="s">
        <v>912</v>
      </c>
      <c r="B182" s="11" t="s">
        <v>971</v>
      </c>
      <c r="C182" s="11" t="s">
        <v>4874</v>
      </c>
      <c r="D182" s="11" t="s">
        <v>396</v>
      </c>
      <c r="E182" s="65" t="str">
        <f>VLOOKUP(D182,Total!$C$2:$D$518,2,0)</f>
        <v>11 TSM 2</v>
      </c>
      <c r="F182" s="65" t="str">
        <f>VLOOKUP(C182,Total!$B$2:$F$514,5,0)</f>
        <v>KELUAR</v>
      </c>
      <c r="G182" s="67" t="str">
        <f>VLOOKUP($B182,master!$B$3:$S$600,16,0)</f>
        <v>089644624664</v>
      </c>
      <c r="H182" s="67" t="str">
        <f>VLOOKUP($B182,master!$B$3:$S$600,17,0)</f>
        <v>089688431070</v>
      </c>
      <c r="I182" s="67" t="str">
        <f>VLOOKUP($B182,master!$B$3:$S$600,8,0)</f>
        <v>GEMPOLAN KULON</v>
      </c>
      <c r="J182" s="67" t="str">
        <f>VLOOKUP($B182,master!$B$3:$S$600,9,0)</f>
        <v>2</v>
      </c>
      <c r="K182" s="67" t="str">
        <f>VLOOKUP($B182,master!$B$3:$S$600,11,0)</f>
        <v>TRIRENGGO</v>
      </c>
      <c r="L182" s="67" t="str">
        <f>VLOOKUP($B182,master!$B$3:$S$600,12,0)</f>
        <v>BANTUL</v>
      </c>
      <c r="M182" s="67" t="str">
        <f>VLOOKUP($B182,master!$B$3:$S$600,6,0)</f>
        <v>SUROTO</v>
      </c>
      <c r="N182" s="82" t="str">
        <f>VLOOKUP($B182,master!$B$3:$S$600,15,0)</f>
        <v>MTS MUHAMMADIYAH BANTUL</v>
      </c>
      <c r="O182" s="82" t="str">
        <f>VLOOKUP($B182,master!$B$3:$S$600,4,0)</f>
        <v>18-09-2008</v>
      </c>
    </row>
    <row r="183" spans="1:15" ht="15.75" customHeight="1" x14ac:dyDescent="0.25">
      <c r="A183" s="80" t="s">
        <v>914</v>
      </c>
      <c r="B183" s="11" t="s">
        <v>899</v>
      </c>
      <c r="C183" s="11" t="s">
        <v>4875</v>
      </c>
      <c r="D183" s="11" t="s">
        <v>362</v>
      </c>
      <c r="E183" s="65" t="str">
        <f>VLOOKUP(D183,Total!$C$2:$D$518,2,0)</f>
        <v>11 TSM 2</v>
      </c>
      <c r="F183" s="65" t="str">
        <f>VLOOKUP(C183,Total!$B$2:$F$514,5,0)</f>
        <v>AKTIF</v>
      </c>
      <c r="G183" s="67" t="str">
        <f>VLOOKUP($B183,master!$B$3:$S$600,16,0)</f>
        <v>08996625504</v>
      </c>
      <c r="H183" s="67" t="str">
        <f>VLOOKUP($B183,master!$B$3:$S$600,17,0)</f>
        <v>089650434180</v>
      </c>
      <c r="I183" s="67" t="str">
        <f>VLOOKUP($B183,master!$B$3:$S$600,8,0)</f>
        <v>GOWOKAN</v>
      </c>
      <c r="J183" s="67" t="str">
        <f>VLOOKUP($B183,master!$B$3:$S$600,9,0)</f>
        <v>4</v>
      </c>
      <c r="K183" s="67" t="str">
        <f>VLOOKUP($B183,master!$B$3:$S$600,11,0)</f>
        <v>SABDODADI</v>
      </c>
      <c r="L183" s="67" t="str">
        <f>VLOOKUP($B183,master!$B$3:$S$600,12,0)</f>
        <v>BANTUL</v>
      </c>
      <c r="M183" s="67" t="str">
        <f>VLOOKUP($B183,master!$B$3:$S$600,6,0)</f>
        <v>HARTANA</v>
      </c>
      <c r="N183" s="82" t="str">
        <f>VLOOKUP($B183,master!$B$3:$S$600,15,0)</f>
        <v>SMP N 2 JETIS</v>
      </c>
      <c r="O183" s="82" t="str">
        <f>VLOOKUP($B183,master!$B$3:$S$600,4,0)</f>
        <v>26-08-2009</v>
      </c>
    </row>
    <row r="184" spans="1:15" ht="15.75" customHeight="1" x14ac:dyDescent="0.25">
      <c r="A184" s="80" t="s">
        <v>916</v>
      </c>
      <c r="B184" s="11" t="s">
        <v>901</v>
      </c>
      <c r="C184" s="11" t="s">
        <v>4876</v>
      </c>
      <c r="D184" s="11" t="s">
        <v>363</v>
      </c>
      <c r="E184" s="65" t="str">
        <f>VLOOKUP(D184,Total!$C$2:$D$518,2,0)</f>
        <v>11 TSM 2</v>
      </c>
      <c r="F184" s="65" t="str">
        <f>VLOOKUP(C184,Total!$B$2:$F$514,5,0)</f>
        <v>AKTIF</v>
      </c>
      <c r="G184" s="67" t="str">
        <f>VLOOKUP($B184,master!$B$3:$S$600,16,0)</f>
        <v>081804212155</v>
      </c>
      <c r="H184" s="67" t="str">
        <f>VLOOKUP($B184,master!$B$3:$S$600,17,0)</f>
        <v>081229889363</v>
      </c>
      <c r="I184" s="67" t="str">
        <f>VLOOKUP($B184,master!$B$3:$S$600,8,0)</f>
        <v>PERUM KARANGJATI IND</v>
      </c>
      <c r="J184" s="67" t="str">
        <f>VLOOKUP($B184,master!$B$3:$S$600,9,0)</f>
        <v>0</v>
      </c>
      <c r="K184" s="67" t="str">
        <f>VLOOKUP($B184,master!$B$3:$S$600,11,0)</f>
        <v>BANGUNJIWO</v>
      </c>
      <c r="L184" s="67" t="str">
        <f>VLOOKUP($B184,master!$B$3:$S$600,12,0)</f>
        <v>KASIHAN</v>
      </c>
      <c r="M184" s="67" t="str">
        <f>VLOOKUP($B184,master!$B$3:$S$600,6,0)</f>
        <v>HARI SUSBIYANTORO</v>
      </c>
      <c r="N184" s="82" t="str">
        <f>VLOOKUP($B184,master!$B$3:$S$600,15,0)</f>
        <v>SMP N 4 SEWON</v>
      </c>
      <c r="O184" s="82" t="str">
        <f>VLOOKUP($B184,master!$B$3:$S$600,4,0)</f>
        <v>24-07-2009</v>
      </c>
    </row>
    <row r="185" spans="1:15" ht="15.75" customHeight="1" x14ac:dyDescent="0.25">
      <c r="A185" s="80" t="s">
        <v>918</v>
      </c>
      <c r="B185" s="11" t="s">
        <v>903</v>
      </c>
      <c r="C185" s="11" t="s">
        <v>4877</v>
      </c>
      <c r="D185" s="11" t="s">
        <v>5053</v>
      </c>
      <c r="E185" s="65" t="str">
        <f>VLOOKUP(D185,Total!$C$2:$D$518,2,0)</f>
        <v>11 TSM 2</v>
      </c>
      <c r="F185" s="65" t="str">
        <f>VLOOKUP(C185,Total!$B$2:$F$514,5,0)</f>
        <v>AKTIF</v>
      </c>
      <c r="G185" s="67" t="str">
        <f>VLOOKUP($B185,master!$B$3:$S$600,16,0)</f>
        <v>087817100509</v>
      </c>
      <c r="H185" s="67" t="str">
        <f>VLOOKUP($B185,master!$B$3:$S$600,17,0)</f>
        <v>089673336188</v>
      </c>
      <c r="I185" s="67" t="str">
        <f>VLOOKUP($B185,master!$B$3:$S$600,8,0)</f>
        <v>CELEP</v>
      </c>
      <c r="J185" s="67" t="str">
        <f>VLOOKUP($B185,master!$B$3:$S$600,9,0)</f>
        <v>8</v>
      </c>
      <c r="K185" s="67" t="str">
        <f>VLOOKUP($B185,master!$B$3:$S$600,11,0)</f>
        <v>SRIGADING</v>
      </c>
      <c r="L185" s="67" t="str">
        <f>VLOOKUP($B185,master!$B$3:$S$600,12,0)</f>
        <v>SANDEN</v>
      </c>
      <c r="M185" s="67" t="str">
        <f>VLOOKUP($B185,master!$B$3:$S$600,6,0)</f>
        <v>KARYADI</v>
      </c>
      <c r="N185" s="82" t="str">
        <f>VLOOKUP($B185,master!$B$3:$S$600,15,0)</f>
        <v>SMP N 2 SANDEN</v>
      </c>
      <c r="O185" s="82" t="str">
        <f>VLOOKUP($B185,master!$B$3:$S$600,4,0)</f>
        <v>30-03-2009</v>
      </c>
    </row>
    <row r="186" spans="1:15" ht="15.75" customHeight="1" x14ac:dyDescent="0.25">
      <c r="A186" s="80" t="s">
        <v>920</v>
      </c>
      <c r="B186" s="11" t="s">
        <v>905</v>
      </c>
      <c r="C186" s="11" t="s">
        <v>4878</v>
      </c>
      <c r="D186" s="11" t="s">
        <v>364</v>
      </c>
      <c r="E186" s="65" t="str">
        <f>VLOOKUP(D186,Total!$C$2:$D$518,2,0)</f>
        <v>11 TSM 2</v>
      </c>
      <c r="F186" s="65" t="str">
        <f>VLOOKUP(C186,Total!$B$2:$F$514,5,0)</f>
        <v>AKTIF</v>
      </c>
      <c r="G186" s="67" t="str">
        <f>VLOOKUP($B186,master!$B$3:$S$600,16,0)</f>
        <v>0882003458682</v>
      </c>
      <c r="H186" s="67" t="str">
        <f>VLOOKUP($B186,master!$B$3:$S$600,17,0)</f>
        <v>08995118131</v>
      </c>
      <c r="I186" s="67" t="str">
        <f>VLOOKUP($B186,master!$B$3:$S$600,8,0)</f>
        <v>KADEKROWO</v>
      </c>
      <c r="J186" s="67" t="str">
        <f>VLOOKUP($B186,master!$B$3:$S$600,9,0)</f>
        <v>5</v>
      </c>
      <c r="K186" s="67" t="str">
        <f>VLOOKUP($B186,master!$B$3:$S$600,11,0)</f>
        <v>GILANGHARJO</v>
      </c>
      <c r="L186" s="67" t="str">
        <f>VLOOKUP($B186,master!$B$3:$S$600,12,0)</f>
        <v>PANDAK</v>
      </c>
      <c r="M186" s="67" t="str">
        <f>VLOOKUP($B186,master!$B$3:$S$600,6,0)</f>
        <v>TRI HARYANTO</v>
      </c>
      <c r="N186" s="82" t="str">
        <f>VLOOKUP($B186,master!$B$3:$S$600,15,0)</f>
        <v>SMP N 1 PANDAK</v>
      </c>
      <c r="O186" s="82" t="str">
        <f>VLOOKUP($B186,master!$B$3:$S$600,4,0)</f>
        <v>7-05-2008</v>
      </c>
    </row>
    <row r="187" spans="1:15" ht="15.75" customHeight="1" x14ac:dyDescent="0.25">
      <c r="A187" s="80" t="s">
        <v>922</v>
      </c>
      <c r="B187" s="11" t="s">
        <v>907</v>
      </c>
      <c r="C187" s="11" t="s">
        <v>4879</v>
      </c>
      <c r="D187" s="11" t="s">
        <v>365</v>
      </c>
      <c r="E187" s="65" t="str">
        <f>VLOOKUP(D187,Total!$C$2:$D$518,2,0)</f>
        <v>11 TSM 2</v>
      </c>
      <c r="F187" s="65" t="str">
        <f>VLOOKUP(C187,Total!$B$2:$F$514,5,0)</f>
        <v>AKTIF</v>
      </c>
      <c r="G187" s="67" t="str">
        <f>VLOOKUP($B187,master!$B$3:$S$600,16,0)</f>
        <v>0</v>
      </c>
      <c r="H187" s="67" t="str">
        <f>VLOOKUP($B187,master!$B$3:$S$600,17,0)</f>
        <v>0</v>
      </c>
      <c r="I187" s="67" t="str">
        <f>VLOOKUP($B187,master!$B$3:$S$600,8,0)</f>
        <v>TEGALSEMPU</v>
      </c>
      <c r="J187" s="67" t="str">
        <f>VLOOKUP($B187,master!$B$3:$S$600,9,0)</f>
        <v>2</v>
      </c>
      <c r="K187" s="67" t="str">
        <f>VLOOKUP($B187,master!$B$3:$S$600,11,0)</f>
        <v>CATURHARJO</v>
      </c>
      <c r="L187" s="67" t="str">
        <f>VLOOKUP($B187,master!$B$3:$S$600,12,0)</f>
        <v>PANDAK</v>
      </c>
      <c r="M187" s="67" t="str">
        <f>VLOOKUP($B187,master!$B$3:$S$600,6,0)</f>
        <v>IMAM SYAFII</v>
      </c>
      <c r="N187" s="82" t="str">
        <f>VLOOKUP($B187,master!$B$3:$S$600,15,0)</f>
        <v>SMP N 4 PANDAK</v>
      </c>
      <c r="O187" s="82" t="str">
        <f>VLOOKUP($B187,master!$B$3:$S$600,4,0)</f>
        <v>10-10-2007</v>
      </c>
    </row>
    <row r="188" spans="1:15" ht="15.75" customHeight="1" x14ac:dyDescent="0.25">
      <c r="A188" s="80" t="s">
        <v>924</v>
      </c>
      <c r="B188" s="11" t="s">
        <v>909</v>
      </c>
      <c r="C188" s="11" t="s">
        <v>4880</v>
      </c>
      <c r="D188" s="11" t="s">
        <v>366</v>
      </c>
      <c r="E188" s="65" t="str">
        <f>VLOOKUP(D188,Total!$C$2:$D$518,2,0)</f>
        <v>11 TSM 2</v>
      </c>
      <c r="F188" s="65" t="str">
        <f>VLOOKUP(C188,Total!$B$2:$F$514,5,0)</f>
        <v>AKTIF</v>
      </c>
      <c r="G188" s="67" t="str">
        <f>VLOOKUP($B188,master!$B$3:$S$600,16,0)</f>
        <v>081226227745</v>
      </c>
      <c r="H188" s="67" t="str">
        <f>VLOOKUP($B188,master!$B$3:$S$600,17,0)</f>
        <v>-</v>
      </c>
      <c r="I188" s="67" t="str">
        <f>VLOOKUP($B188,master!$B$3:$S$600,8,0)</f>
        <v>BLALI</v>
      </c>
      <c r="J188" s="67" t="str">
        <f>VLOOKUP($B188,master!$B$3:$S$600,9,0)</f>
        <v>1</v>
      </c>
      <c r="K188" s="67" t="str">
        <f>VLOOKUP($B188,master!$B$3:$S$600,11,0)</f>
        <v>SELOHARJO</v>
      </c>
      <c r="L188" s="67" t="str">
        <f>VLOOKUP($B188,master!$B$3:$S$600,12,0)</f>
        <v>PUNDONG</v>
      </c>
      <c r="M188" s="67" t="str">
        <f>VLOOKUP($B188,master!$B$3:$S$600,6,0)</f>
        <v>RIDHOHAN</v>
      </c>
      <c r="N188" s="82" t="str">
        <f>VLOOKUP($B188,master!$B$3:$S$600,15,0)</f>
        <v>SMP N 2 PUNDONG</v>
      </c>
      <c r="O188" s="82" t="str">
        <f>VLOOKUP($B188,master!$B$3:$S$600,4,0)</f>
        <v>28-06-2008</v>
      </c>
    </row>
    <row r="189" spans="1:15" ht="15.75" customHeight="1" x14ac:dyDescent="0.25">
      <c r="A189" s="80" t="s">
        <v>926</v>
      </c>
      <c r="B189" s="11" t="s">
        <v>911</v>
      </c>
      <c r="C189" s="11" t="s">
        <v>4881</v>
      </c>
      <c r="D189" s="11" t="s">
        <v>367</v>
      </c>
      <c r="E189" s="65" t="str">
        <f>VLOOKUP(D189,Total!$C$2:$D$518,2,0)</f>
        <v>11 TSM 2</v>
      </c>
      <c r="F189" s="65" t="str">
        <f>VLOOKUP(C189,Total!$B$2:$F$514,5,0)</f>
        <v>AKTIF</v>
      </c>
      <c r="G189" s="67" t="str">
        <f>VLOOKUP($B189,master!$B$3:$S$600,16,0)</f>
        <v>089616104824</v>
      </c>
      <c r="H189" s="67" t="str">
        <f>VLOOKUP($B189,master!$B$3:$S$600,17,0)</f>
        <v>089506484147</v>
      </c>
      <c r="I189" s="67" t="str">
        <f>VLOOKUP($B189,master!$B$3:$S$600,8,0)</f>
        <v>SENGGOTAN</v>
      </c>
      <c r="J189" s="67" t="str">
        <f>VLOOKUP($B189,master!$B$3:$S$600,9,0)</f>
        <v>8</v>
      </c>
      <c r="K189" s="67" t="str">
        <f>VLOOKUP($B189,master!$B$3:$S$600,11,0)</f>
        <v>TIRTONIRMOLO</v>
      </c>
      <c r="L189" s="67" t="str">
        <f>VLOOKUP($B189,master!$B$3:$S$600,12,0)</f>
        <v>KASIHAN</v>
      </c>
      <c r="M189" s="67" t="str">
        <f>VLOOKUP($B189,master!$B$3:$S$600,6,0)</f>
        <v>ISKAK MARYONO</v>
      </c>
      <c r="N189" s="82" t="str">
        <f>VLOOKUP($B189,master!$B$3:$S$600,15,0)</f>
        <v>SMP MUHAMMADIYAH KASIHAN</v>
      </c>
      <c r="O189" s="82" t="str">
        <f>VLOOKUP($B189,master!$B$3:$S$600,4,0)</f>
        <v>2-07-2008</v>
      </c>
    </row>
    <row r="190" spans="1:15" ht="15.75" customHeight="1" x14ac:dyDescent="0.25">
      <c r="A190" s="80" t="s">
        <v>928</v>
      </c>
      <c r="B190" s="11" t="s">
        <v>913</v>
      </c>
      <c r="C190" s="11" t="s">
        <v>4882</v>
      </c>
      <c r="D190" s="11" t="s">
        <v>368</v>
      </c>
      <c r="E190" s="65" t="str">
        <f>VLOOKUP(D190,Total!$C$2:$D$518,2,0)</f>
        <v>11 TSM 2</v>
      </c>
      <c r="F190" s="65" t="str">
        <f>VLOOKUP(C190,Total!$B$2:$F$514,5,0)</f>
        <v>AKTIF</v>
      </c>
      <c r="G190" s="67" t="str">
        <f>VLOOKUP($B190,master!$B$3:$S$600,16,0)</f>
        <v>089674426647</v>
      </c>
      <c r="H190" s="67" t="str">
        <f>VLOOKUP($B190,master!$B$3:$S$600,17,0)</f>
        <v>089657640005</v>
      </c>
      <c r="I190" s="67" t="str">
        <f>VLOOKUP($B190,master!$B$3:$S$600,8,0)</f>
        <v>BEKELAN</v>
      </c>
      <c r="J190" s="67" t="str">
        <f>VLOOKUP($B190,master!$B$3:$S$600,9,0)</f>
        <v>10</v>
      </c>
      <c r="K190" s="67" t="str">
        <f>VLOOKUP($B190,master!$B$3:$S$600,11,0)</f>
        <v>SUMBERMULYO</v>
      </c>
      <c r="L190" s="67" t="str">
        <f>VLOOKUP($B190,master!$B$3:$S$600,12,0)</f>
        <v>BAMBANGLIPURO</v>
      </c>
      <c r="M190" s="67" t="str">
        <f>VLOOKUP($B190,master!$B$3:$S$600,6,0)</f>
        <v>CATUR ROHADI</v>
      </c>
      <c r="N190" s="82" t="str">
        <f>VLOOKUP($B190,master!$B$3:$S$600,15,0)</f>
        <v>SMP N 1 BAMBANGLIPURO</v>
      </c>
      <c r="O190" s="82" t="str">
        <f>VLOOKUP($B190,master!$B$3:$S$600,4,0)</f>
        <v>1-01-2009</v>
      </c>
    </row>
    <row r="191" spans="1:15" ht="15.75" customHeight="1" x14ac:dyDescent="0.25">
      <c r="A191" s="80" t="s">
        <v>930</v>
      </c>
      <c r="B191" s="11" t="s">
        <v>915</v>
      </c>
      <c r="C191" s="11" t="s">
        <v>4883</v>
      </c>
      <c r="D191" s="11" t="s">
        <v>369</v>
      </c>
      <c r="E191" s="65" t="str">
        <f>VLOOKUP(D191,Total!$C$2:$D$518,2,0)</f>
        <v>11 TSM 2</v>
      </c>
      <c r="F191" s="65" t="str">
        <f>VLOOKUP(C191,Total!$B$2:$F$514,5,0)</f>
        <v>AKTIF</v>
      </c>
      <c r="G191" s="67" t="str">
        <f>VLOOKUP($B191,master!$B$3:$S$600,16,0)</f>
        <v>085697340107</v>
      </c>
      <c r="H191" s="67" t="str">
        <f>VLOOKUP($B191,master!$B$3:$S$600,17,0)</f>
        <v>085697340107</v>
      </c>
      <c r="I191" s="67" t="str">
        <f>VLOOKUP($B191,master!$B$3:$S$600,8,0)</f>
        <v>PANDAK</v>
      </c>
      <c r="J191" s="67" t="str">
        <f>VLOOKUP($B191,master!$B$3:$S$600,9,0)</f>
        <v>02</v>
      </c>
      <c r="K191" s="67" t="str">
        <f>VLOOKUP($B191,master!$B$3:$S$600,11,0)</f>
        <v>WIJIREJO</v>
      </c>
      <c r="L191" s="67" t="str">
        <f>VLOOKUP($B191,master!$B$3:$S$600,12,0)</f>
        <v>PANDAK</v>
      </c>
      <c r="M191" s="67" t="str">
        <f>VLOOKUP($B191,master!$B$3:$S$600,6,0)</f>
        <v>EKO YULIATI</v>
      </c>
      <c r="N191" s="82" t="str">
        <f>VLOOKUP($B191,master!$B$3:$S$600,15,0)</f>
        <v>SMP N 3 PANDAK</v>
      </c>
      <c r="O191" s="82" t="str">
        <f>VLOOKUP($B191,master!$B$3:$S$600,4,0)</f>
        <v>6-05-2008</v>
      </c>
    </row>
    <row r="192" spans="1:15" ht="15.75" customHeight="1" x14ac:dyDescent="0.25">
      <c r="A192" s="80" t="s">
        <v>932</v>
      </c>
      <c r="B192" s="11" t="s">
        <v>917</v>
      </c>
      <c r="C192" s="11" t="s">
        <v>4884</v>
      </c>
      <c r="D192" s="11" t="s">
        <v>370</v>
      </c>
      <c r="E192" s="65" t="str">
        <f>VLOOKUP(D192,Total!$C$2:$D$518,2,0)</f>
        <v>11 TSM 2</v>
      </c>
      <c r="F192" s="65" t="str">
        <f>VLOOKUP(C192,Total!$B$2:$F$514,5,0)</f>
        <v>AKTIF</v>
      </c>
      <c r="G192" s="67" t="str">
        <f>VLOOKUP($B192,master!$B$3:$S$600,16,0)</f>
        <v>08884017240</v>
      </c>
      <c r="H192" s="67" t="str">
        <f>VLOOKUP($B192,master!$B$3:$S$600,17,0)</f>
        <v>089671431200</v>
      </c>
      <c r="I192" s="67" t="str">
        <f>VLOOKUP($B192,master!$B$3:$S$600,8,0)</f>
        <v>SRATEN</v>
      </c>
      <c r="J192" s="67" t="str">
        <f>VLOOKUP($B192,master!$B$3:$S$600,9,0)</f>
        <v>1</v>
      </c>
      <c r="K192" s="67" t="str">
        <f>VLOOKUP($B192,master!$B$3:$S$600,11,0)</f>
        <v>CANDEN</v>
      </c>
      <c r="L192" s="67" t="str">
        <f>VLOOKUP($B192,master!$B$3:$S$600,12,0)</f>
        <v>JETIS</v>
      </c>
      <c r="M192" s="67" t="str">
        <f>VLOOKUP($B192,master!$B$3:$S$600,6,0)</f>
        <v>MARYADI</v>
      </c>
      <c r="N192" s="82" t="str">
        <f>VLOOKUP($B192,master!$B$3:$S$600,15,0)</f>
        <v>SMP N 3 JETIS</v>
      </c>
      <c r="O192" s="82" t="str">
        <f>VLOOKUP($B192,master!$B$3:$S$600,4,0)</f>
        <v>6-01-2009</v>
      </c>
    </row>
    <row r="193" spans="1:15" ht="15.75" customHeight="1" x14ac:dyDescent="0.25">
      <c r="A193" s="80" t="s">
        <v>934</v>
      </c>
      <c r="B193" s="11" t="s">
        <v>919</v>
      </c>
      <c r="C193" s="11" t="s">
        <v>4885</v>
      </c>
      <c r="D193" s="11" t="s">
        <v>371</v>
      </c>
      <c r="E193" s="65" t="str">
        <f>VLOOKUP(D193,Total!$C$2:$D$518,2,0)</f>
        <v>11 TSM 2</v>
      </c>
      <c r="F193" s="65" t="str">
        <f>VLOOKUP(C193,Total!$B$2:$F$514,5,0)</f>
        <v>AKTIF</v>
      </c>
      <c r="G193" s="67" t="str">
        <f>VLOOKUP($B193,master!$B$3:$S$600,16,0)</f>
        <v>083172149564</v>
      </c>
      <c r="H193" s="67" t="str">
        <f>VLOOKUP($B193,master!$B$3:$S$600,17,0)</f>
        <v>083172149564</v>
      </c>
      <c r="I193" s="67" t="str">
        <f>VLOOKUP($B193,master!$B$3:$S$600,8,0)</f>
        <v>KWALANGAN</v>
      </c>
      <c r="J193" s="67" t="str">
        <f>VLOOKUP($B193,master!$B$3:$S$600,9,0)</f>
        <v>3</v>
      </c>
      <c r="K193" s="67" t="str">
        <f>VLOOKUP($B193,master!$B$3:$S$600,11,0)</f>
        <v>WIJIREJO</v>
      </c>
      <c r="L193" s="67" t="str">
        <f>VLOOKUP($B193,master!$B$3:$S$600,12,0)</f>
        <v>PANDAK</v>
      </c>
      <c r="M193" s="67" t="str">
        <f>VLOOKUP($B193,master!$B$3:$S$600,6,0)</f>
        <v>SARJITO</v>
      </c>
      <c r="N193" s="82" t="str">
        <f>VLOOKUP($B193,master!$B$3:$S$600,15,0)</f>
        <v>SMP N 3 PANDAK</v>
      </c>
      <c r="O193" s="82" t="str">
        <f>VLOOKUP($B193,master!$B$3:$S$600,4,0)</f>
        <v>30-01-2008</v>
      </c>
    </row>
    <row r="194" spans="1:15" ht="15.75" customHeight="1" x14ac:dyDescent="0.25">
      <c r="A194" s="80" t="s">
        <v>936</v>
      </c>
      <c r="B194" s="11" t="s">
        <v>921</v>
      </c>
      <c r="C194" s="11" t="s">
        <v>4886</v>
      </c>
      <c r="D194" s="11" t="s">
        <v>372</v>
      </c>
      <c r="E194" s="65" t="str">
        <f>VLOOKUP(D194,Total!$C$2:$D$518,2,0)</f>
        <v>11 TSM 3</v>
      </c>
      <c r="F194" s="65" t="str">
        <f>VLOOKUP(C194,Total!$B$2:$F$514,5,0)</f>
        <v>AKTIF</v>
      </c>
      <c r="G194" s="67" t="str">
        <f>VLOOKUP($B194,master!$B$3:$S$600,16,0)</f>
        <v>082138274472</v>
      </c>
      <c r="H194" s="67" t="str">
        <f>VLOOKUP($B194,master!$B$3:$S$600,17,0)</f>
        <v>082138274472</v>
      </c>
      <c r="I194" s="67" t="str">
        <f>VLOOKUP($B194,master!$B$3:$S$600,8,0)</f>
        <v>PUCUNG</v>
      </c>
      <c r="J194" s="67" t="str">
        <f>VLOOKUP($B194,master!$B$3:$S$600,9,0)</f>
        <v>55</v>
      </c>
      <c r="K194" s="67" t="str">
        <f>VLOOKUP($B194,master!$B$3:$S$600,11,0)</f>
        <v>PENDOWOHARJO</v>
      </c>
      <c r="L194" s="67" t="str">
        <f>VLOOKUP($B194,master!$B$3:$S$600,12,0)</f>
        <v>SEWON</v>
      </c>
      <c r="M194" s="67" t="str">
        <f>VLOOKUP($B194,master!$B$3:$S$600,6,0)</f>
        <v>SUPRIHATIN</v>
      </c>
      <c r="N194" s="82" t="str">
        <f>VLOOKUP($B194,master!$B$3:$S$600,15,0)</f>
        <v>SMP N 1 SEWON</v>
      </c>
      <c r="O194" s="82" t="str">
        <f>VLOOKUP($B194,master!$B$3:$S$600,4,0)</f>
        <v>16-09-2008</v>
      </c>
    </row>
    <row r="195" spans="1:15" ht="15.75" customHeight="1" x14ac:dyDescent="0.25">
      <c r="A195" s="80" t="s">
        <v>938</v>
      </c>
      <c r="B195" s="11" t="s">
        <v>923</v>
      </c>
      <c r="C195" s="11" t="s">
        <v>4887</v>
      </c>
      <c r="D195" s="11" t="s">
        <v>373</v>
      </c>
      <c r="E195" s="65" t="str">
        <f>VLOOKUP(D195,Total!$C$2:$D$518,2,0)</f>
        <v>11 TSM 3</v>
      </c>
      <c r="F195" s="65" t="str">
        <f>VLOOKUP(C195,Total!$B$2:$F$514,5,0)</f>
        <v>AKTIF</v>
      </c>
      <c r="G195" s="67" t="str">
        <f>VLOOKUP($B195,master!$B$3:$S$600,16,0)</f>
        <v>083872864739</v>
      </c>
      <c r="H195" s="67" t="str">
        <f>VLOOKUP($B195,master!$B$3:$S$600,17,0)</f>
        <v>-</v>
      </c>
      <c r="I195" s="67" t="str">
        <f>VLOOKUP($B195,master!$B$3:$S$600,8,0)</f>
        <v>SITEN</v>
      </c>
      <c r="J195" s="67" t="str">
        <f>VLOOKUP($B195,master!$B$3:$S$600,9,0)</f>
        <v>3</v>
      </c>
      <c r="K195" s="67" t="str">
        <f>VLOOKUP($B195,master!$B$3:$S$600,11,0)</f>
        <v>SUMBERMULYO</v>
      </c>
      <c r="L195" s="67" t="str">
        <f>VLOOKUP($B195,master!$B$3:$S$600,12,0)</f>
        <v>BAMBANGLIPURO</v>
      </c>
      <c r="M195" s="67" t="str">
        <f>VLOOKUP($B195,master!$B$3:$S$600,6,0)</f>
        <v>NURYATI</v>
      </c>
      <c r="N195" s="82" t="str">
        <f>VLOOKUP($B195,master!$B$3:$S$600,15,0)</f>
        <v>SMP MUHAMMADIYAH 1 BAMBANGLIPURO</v>
      </c>
      <c r="O195" s="82" t="str">
        <f>VLOOKUP($B195,master!$B$3:$S$600,4,0)</f>
        <v>10-01-2009</v>
      </c>
    </row>
    <row r="196" spans="1:15" ht="15.75" customHeight="1" x14ac:dyDescent="0.25">
      <c r="A196" s="80" t="s">
        <v>940</v>
      </c>
      <c r="B196" s="11" t="s">
        <v>925</v>
      </c>
      <c r="C196" s="11" t="s">
        <v>4888</v>
      </c>
      <c r="D196" s="11" t="s">
        <v>5052</v>
      </c>
      <c r="E196" s="65" t="str">
        <f>VLOOKUP(D196,Total!$C$2:$D$518,2,0)</f>
        <v>11 TSM 3</v>
      </c>
      <c r="F196" s="65" t="str">
        <f>VLOOKUP(C196,Total!$B$2:$F$514,5,0)</f>
        <v>AKTIF</v>
      </c>
      <c r="G196" s="67" t="str">
        <f>VLOOKUP($B196,master!$B$3:$S$600,16,0)</f>
        <v>087736012981</v>
      </c>
      <c r="H196" s="67" t="str">
        <f>VLOOKUP($B196,master!$B$3:$S$600,17,0)</f>
        <v>087736012981</v>
      </c>
      <c r="I196" s="67" t="str">
        <f>VLOOKUP($B196,master!$B$3:$S$600,8,0)</f>
        <v>MUTIHAN</v>
      </c>
      <c r="J196" s="67" t="str">
        <f>VLOOKUP($B196,master!$B$3:$S$600,9,0)</f>
        <v>01</v>
      </c>
      <c r="K196" s="67" t="str">
        <f>VLOOKUP($B196,master!$B$3:$S$600,11,0)</f>
        <v>WIROKERTEN</v>
      </c>
      <c r="L196" s="67" t="str">
        <f>VLOOKUP($B196,master!$B$3:$S$600,12,0)</f>
        <v>BANGUNTAPAN</v>
      </c>
      <c r="M196" s="67" t="str">
        <f>VLOOKUP($B196,master!$B$3:$S$600,6,0)</f>
        <v>Sulistiyantoro</v>
      </c>
      <c r="N196" s="82" t="str">
        <f>VLOOKUP($B196,master!$B$3:$S$600,15,0)</f>
        <v>SMP Muhammadiyah 7 Yogyakarta</v>
      </c>
      <c r="O196" s="82" t="str">
        <f>VLOOKUP($B196,master!$B$3:$S$600,4,0)</f>
        <v>28-08-2009</v>
      </c>
    </row>
    <row r="197" spans="1:15" ht="15.75" customHeight="1" x14ac:dyDescent="0.25">
      <c r="A197" s="80" t="s">
        <v>942</v>
      </c>
      <c r="B197" s="11" t="s">
        <v>927</v>
      </c>
      <c r="C197" s="11" t="s">
        <v>4889</v>
      </c>
      <c r="D197" s="11" t="s">
        <v>374</v>
      </c>
      <c r="E197" s="65" t="str">
        <f>VLOOKUP(D197,Total!$C$2:$D$518,2,0)</f>
        <v>11 TSM 3</v>
      </c>
      <c r="F197" s="65" t="str">
        <f>VLOOKUP(C197,Total!$B$2:$F$514,5,0)</f>
        <v>AKTIF</v>
      </c>
      <c r="G197" s="67" t="str">
        <f>VLOOKUP($B197,master!$B$3:$S$600,16,0)</f>
        <v>085842736579</v>
      </c>
      <c r="H197" s="67" t="str">
        <f>VLOOKUP($B197,master!$B$3:$S$600,17,0)</f>
        <v>089687714274</v>
      </c>
      <c r="I197" s="67" t="str">
        <f>VLOOKUP($B197,master!$B$3:$S$600,8,0)</f>
        <v>BEJEN</v>
      </c>
      <c r="J197" s="67" t="str">
        <f>VLOOKUP($B197,master!$B$3:$S$600,9,0)</f>
        <v>01</v>
      </c>
      <c r="K197" s="67" t="str">
        <f>VLOOKUP($B197,master!$B$3:$S$600,11,0)</f>
        <v>BEJEN</v>
      </c>
      <c r="L197" s="67" t="str">
        <f>VLOOKUP($B197,master!$B$3:$S$600,12,0)</f>
        <v>Bantul</v>
      </c>
      <c r="M197" s="67" t="str">
        <f>VLOOKUP($B197,master!$B$3:$S$600,6,0)</f>
        <v>MUH SHOHIB</v>
      </c>
      <c r="N197" s="82" t="str">
        <f>VLOOKUP($B197,master!$B$3:$S$600,15,0)</f>
        <v>SMP N 3 PAJANGAN</v>
      </c>
      <c r="O197" s="82" t="str">
        <f>VLOOKUP($B197,master!$B$3:$S$600,4,0)</f>
        <v>25-11-2008</v>
      </c>
    </row>
    <row r="198" spans="1:15" ht="15.75" customHeight="1" x14ac:dyDescent="0.25">
      <c r="A198" s="80" t="s">
        <v>944</v>
      </c>
      <c r="B198" s="11" t="s">
        <v>929</v>
      </c>
      <c r="C198" s="11" t="s">
        <v>4890</v>
      </c>
      <c r="D198" s="11" t="s">
        <v>375</v>
      </c>
      <c r="E198" s="65" t="str">
        <f>VLOOKUP(D198,Total!$C$2:$D$518,2,0)</f>
        <v>11 TSM 3</v>
      </c>
      <c r="F198" s="65" t="str">
        <f>VLOOKUP(C198,Total!$B$2:$F$514,5,0)</f>
        <v>AKTIF</v>
      </c>
      <c r="G198" s="67" t="str">
        <f>VLOOKUP($B198,master!$B$3:$S$600,16,0)</f>
        <v>81215527532</v>
      </c>
      <c r="H198" s="67" t="str">
        <f>VLOOKUP($B198,master!$B$3:$S$600,17,0)</f>
        <v>0</v>
      </c>
      <c r="I198" s="67" t="str">
        <f>VLOOKUP($B198,master!$B$3:$S$600,8,0)</f>
        <v>JELAPAN</v>
      </c>
      <c r="J198" s="67" t="str">
        <f>VLOOKUP($B198,master!$B$3:$S$600,9,0)</f>
        <v>3</v>
      </c>
      <c r="K198" s="67" t="str">
        <f>VLOOKUP($B198,master!$B$3:$S$600,11,0)</f>
        <v>SELOHARJO</v>
      </c>
      <c r="L198" s="67" t="str">
        <f>VLOOKUP($B198,master!$B$3:$S$600,12,0)</f>
        <v>PUNDONG</v>
      </c>
      <c r="M198" s="67" t="str">
        <f>VLOOKUP($B198,master!$B$3:$S$600,6,0)</f>
        <v>DARMANTO</v>
      </c>
      <c r="N198" s="82" t="str">
        <f>VLOOKUP($B198,master!$B$3:$S$600,15,0)</f>
        <v>SMP N 1 PUNDONG</v>
      </c>
      <c r="O198" s="82" t="str">
        <f>VLOOKUP($B198,master!$B$3:$S$600,4,0)</f>
        <v>29-12-2008</v>
      </c>
    </row>
    <row r="199" spans="1:15" ht="15.75" customHeight="1" x14ac:dyDescent="0.25">
      <c r="A199" s="80" t="s">
        <v>946</v>
      </c>
      <c r="B199" s="11" t="s">
        <v>931</v>
      </c>
      <c r="C199" s="11" t="s">
        <v>4891</v>
      </c>
      <c r="D199" s="11" t="s">
        <v>376</v>
      </c>
      <c r="E199" s="65" t="str">
        <f>VLOOKUP(D199,Total!$C$2:$D$518,2,0)</f>
        <v>11 TSM 3</v>
      </c>
      <c r="F199" s="65" t="str">
        <f>VLOOKUP(C199,Total!$B$2:$F$514,5,0)</f>
        <v>KELUAR</v>
      </c>
      <c r="G199" s="67" t="str">
        <f>VLOOKUP($B199,master!$B$3:$S$600,16,0)</f>
        <v>081383391600</v>
      </c>
      <c r="H199" s="67" t="str">
        <f>VLOOKUP($B199,master!$B$3:$S$600,17,0)</f>
        <v>081383391600</v>
      </c>
      <c r="I199" s="67" t="str">
        <f>VLOOKUP($B199,master!$B$3:$S$600,8,0)</f>
        <v>SINDET</v>
      </c>
      <c r="J199" s="67" t="str">
        <f>VLOOKUP($B199,master!$B$3:$S$600,9,0)</f>
        <v>06</v>
      </c>
      <c r="K199" s="67" t="str">
        <f>VLOOKUP($B199,master!$B$3:$S$600,11,0)</f>
        <v>TRIMULYO</v>
      </c>
      <c r="L199" s="67" t="str">
        <f>VLOOKUP($B199,master!$B$3:$S$600,12,0)</f>
        <v>JETIS</v>
      </c>
      <c r="M199" s="67" t="str">
        <f>VLOOKUP($B199,master!$B$3:$S$600,6,0)</f>
        <v>Ari Kustanto</v>
      </c>
      <c r="N199" s="82" t="str">
        <f>VLOOKUP($B199,master!$B$3:$S$600,15,0)</f>
        <v>SMP N 2 JETIS</v>
      </c>
      <c r="O199" s="82" t="str">
        <f>VLOOKUP($B199,master!$B$3:$S$600,4,0)</f>
        <v>13-08-2006</v>
      </c>
    </row>
    <row r="200" spans="1:15" ht="15.75" customHeight="1" x14ac:dyDescent="0.25">
      <c r="A200" s="80" t="s">
        <v>948</v>
      </c>
      <c r="B200" s="11" t="s">
        <v>933</v>
      </c>
      <c r="C200" s="11" t="s">
        <v>4892</v>
      </c>
      <c r="D200" s="11" t="s">
        <v>377</v>
      </c>
      <c r="E200" s="65" t="str">
        <f>VLOOKUP(D200,Total!$C$2:$D$518,2,0)</f>
        <v>11 TSM 3</v>
      </c>
      <c r="F200" s="65" t="str">
        <f>VLOOKUP(C200,Total!$B$2:$F$514,5,0)</f>
        <v>AKTIF</v>
      </c>
      <c r="G200" s="67" t="str">
        <f>VLOOKUP($B200,master!$B$3:$S$600,16,0)</f>
        <v>085728923252</v>
      </c>
      <c r="H200" s="67" t="str">
        <f>VLOOKUP($B200,master!$B$3:$S$600,17,0)</f>
        <v>083863266884</v>
      </c>
      <c r="I200" s="67" t="str">
        <f>VLOOKUP($B200,master!$B$3:$S$600,8,0)</f>
        <v>GESIKAN</v>
      </c>
      <c r="J200" s="67" t="str">
        <f>VLOOKUP($B200,master!$B$3:$S$600,9,0)</f>
        <v>004</v>
      </c>
      <c r="K200" s="67" t="str">
        <f>VLOOKUP($B200,master!$B$3:$S$600,11,0)</f>
        <v>TAMANTIRTO</v>
      </c>
      <c r="L200" s="67" t="str">
        <f>VLOOKUP($B200,master!$B$3:$S$600,12,0)</f>
        <v>KASIHAN</v>
      </c>
      <c r="M200" s="67" t="str">
        <f>VLOOKUP($B200,master!$B$3:$S$600,6,0)</f>
        <v>PARYANTA</v>
      </c>
      <c r="N200" s="82" t="str">
        <f>VLOOKUP($B200,master!$B$3:$S$600,15,0)</f>
        <v>MTS N 2 LAMPUNG UTARA</v>
      </c>
      <c r="O200" s="82" t="str">
        <f>VLOOKUP($B200,master!$B$3:$S$600,4,0)</f>
        <v>1-02-2008</v>
      </c>
    </row>
    <row r="201" spans="1:15" ht="15.75" customHeight="1" x14ac:dyDescent="0.25">
      <c r="A201" s="80" t="s">
        <v>950</v>
      </c>
      <c r="B201" s="11" t="s">
        <v>935</v>
      </c>
      <c r="C201" s="11" t="s">
        <v>4893</v>
      </c>
      <c r="D201" s="11" t="s">
        <v>378</v>
      </c>
      <c r="E201" s="65" t="str">
        <f>VLOOKUP(D201,Total!$C$2:$D$518,2,0)</f>
        <v>11 TSM 3</v>
      </c>
      <c r="F201" s="65" t="str">
        <f>VLOOKUP(C201,Total!$B$2:$F$514,5,0)</f>
        <v>AKTIF</v>
      </c>
      <c r="G201" s="67" t="str">
        <f>VLOOKUP($B201,master!$B$3:$S$600,16,0)</f>
        <v>085740551044</v>
      </c>
      <c r="H201" s="67" t="str">
        <f>VLOOKUP($B201,master!$B$3:$S$600,17,0)</f>
        <v>085643793197</v>
      </c>
      <c r="I201" s="67" t="str">
        <f>VLOOKUP($B201,master!$B$3:$S$600,8,0)</f>
        <v>SOKA</v>
      </c>
      <c r="J201" s="67" t="str">
        <f>VLOOKUP($B201,master!$B$3:$S$600,9,0)</f>
        <v>005</v>
      </c>
      <c r="K201" s="67" t="str">
        <f>VLOOKUP($B201,master!$B$3:$S$600,11,0)</f>
        <v>SELOHARJO</v>
      </c>
      <c r="L201" s="67" t="str">
        <f>VLOOKUP($B201,master!$B$3:$S$600,12,0)</f>
        <v>PUNDONG</v>
      </c>
      <c r="M201" s="67" t="str">
        <f>VLOOKUP($B201,master!$B$3:$S$600,6,0)</f>
        <v>IRVAN PONIDI ANDRIANSYAH</v>
      </c>
      <c r="N201" s="82" t="str">
        <f>VLOOKUP($B201,master!$B$3:$S$600,15,0)</f>
        <v>SMP N 1 PUNDONG</v>
      </c>
      <c r="O201" s="82" t="str">
        <f>VLOOKUP($B201,master!$B$3:$S$600,4,0)</f>
        <v>3-03-2009</v>
      </c>
    </row>
    <row r="202" spans="1:15" ht="15.75" customHeight="1" x14ac:dyDescent="0.25">
      <c r="A202" s="80" t="s">
        <v>952</v>
      </c>
      <c r="B202" s="11" t="s">
        <v>937</v>
      </c>
      <c r="C202" s="11" t="s">
        <v>4894</v>
      </c>
      <c r="D202" s="11" t="s">
        <v>379</v>
      </c>
      <c r="E202" s="65" t="str">
        <f>VLOOKUP(D202,Total!$C$2:$D$518,2,0)</f>
        <v>11 TSM 3</v>
      </c>
      <c r="F202" s="65" t="str">
        <f>VLOOKUP(C202,Total!$B$2:$F$514,5,0)</f>
        <v>KELUAR</v>
      </c>
      <c r="G202" s="67" t="str">
        <f>VLOOKUP($B202,master!$B$3:$S$600,16,0)</f>
        <v>087823938921</v>
      </c>
      <c r="H202" s="67" t="str">
        <f>VLOOKUP($B202,master!$B$3:$S$600,17,0)</f>
        <v>088980835951</v>
      </c>
      <c r="I202" s="67" t="str">
        <f>VLOOKUP($B202,master!$B$3:$S$600,8,0)</f>
        <v>Pucanganom</v>
      </c>
      <c r="J202" s="67" t="str">
        <f>VLOOKUP($B202,master!$B$3:$S$600,9,0)</f>
        <v>3</v>
      </c>
      <c r="K202" s="67" t="str">
        <f>VLOOKUP($B202,master!$B$3:$S$600,11,0)</f>
        <v>Mutigading</v>
      </c>
      <c r="L202" s="67" t="str">
        <f>VLOOKUP($B202,master!$B$3:$S$600,12,0)</f>
        <v>Sanden</v>
      </c>
      <c r="M202" s="67" t="str">
        <f>VLOOKUP($B202,master!$B$3:$S$600,6,0)</f>
        <v>TRI PUJI LESTARI</v>
      </c>
      <c r="N202" s="82" t="str">
        <f>VLOOKUP($B202,master!$B$3:$S$600,15,0)</f>
        <v>MTS MUHAMMADIYAH SANDEN</v>
      </c>
      <c r="O202" s="82" t="str">
        <f>VLOOKUP($B202,master!$B$3:$S$600,4,0)</f>
        <v>19-12-2008</v>
      </c>
    </row>
    <row r="203" spans="1:15" ht="15.75" customHeight="1" x14ac:dyDescent="0.25">
      <c r="A203" s="80" t="s">
        <v>954</v>
      </c>
      <c r="B203" s="11" t="s">
        <v>939</v>
      </c>
      <c r="C203" s="11" t="s">
        <v>4895</v>
      </c>
      <c r="D203" s="11" t="s">
        <v>380</v>
      </c>
      <c r="E203" s="65" t="str">
        <f>VLOOKUP(D203,Total!$C$2:$D$518,2,0)</f>
        <v>11 TSM 3</v>
      </c>
      <c r="F203" s="65" t="str">
        <f>VLOOKUP(C203,Total!$B$2:$F$514,5,0)</f>
        <v>AKTIF</v>
      </c>
      <c r="G203" s="67" t="str">
        <f>VLOOKUP($B203,master!$B$3:$S$600,16,0)</f>
        <v>082133556811</v>
      </c>
      <c r="H203" s="67" t="str">
        <f>VLOOKUP($B203,master!$B$3:$S$600,17,0)</f>
        <v>082133556811</v>
      </c>
      <c r="I203" s="67" t="str">
        <f>VLOOKUP($B203,master!$B$3:$S$600,8,0)</f>
        <v>Gesikan</v>
      </c>
      <c r="J203" s="67" t="str">
        <f>VLOOKUP($B203,master!$B$3:$S$600,9,0)</f>
        <v>04</v>
      </c>
      <c r="K203" s="67" t="str">
        <f>VLOOKUP($B203,master!$B$3:$S$600,11,0)</f>
        <v>Panggungharjo</v>
      </c>
      <c r="L203" s="67" t="str">
        <f>VLOOKUP($B203,master!$B$3:$S$600,12,0)</f>
        <v>Sewon</v>
      </c>
      <c r="M203" s="67" t="str">
        <f>VLOOKUP($B203,master!$B$3:$S$600,6,0)</f>
        <v>DWI ARYANTO</v>
      </c>
      <c r="N203" s="82" t="str">
        <f>VLOOKUP($B203,master!$B$3:$S$600,15,0)</f>
        <v>SMP N 2 SEWON</v>
      </c>
      <c r="O203" s="82" t="str">
        <f>VLOOKUP($B203,master!$B$3:$S$600,4,0)</f>
        <v>23-09-2008</v>
      </c>
    </row>
    <row r="204" spans="1:15" ht="15.75" customHeight="1" x14ac:dyDescent="0.25">
      <c r="A204" s="80" t="s">
        <v>956</v>
      </c>
      <c r="B204" s="11" t="s">
        <v>941</v>
      </c>
      <c r="C204" s="11" t="s">
        <v>4896</v>
      </c>
      <c r="D204" s="11" t="s">
        <v>381</v>
      </c>
      <c r="E204" s="65" t="str">
        <f>VLOOKUP(D204,Total!$C$2:$D$518,2,0)</f>
        <v>11 TSM 3</v>
      </c>
      <c r="F204" s="65" t="str">
        <f>VLOOKUP(C204,Total!$B$2:$F$514,5,0)</f>
        <v>AKTIF</v>
      </c>
      <c r="G204" s="67" t="str">
        <f>VLOOKUP($B204,master!$B$3:$S$600,16,0)</f>
        <v>087810659178</v>
      </c>
      <c r="H204" s="67" t="str">
        <f>VLOOKUP($B204,master!$B$3:$S$600,17,0)</f>
        <v>085643642390</v>
      </c>
      <c r="I204" s="67" t="str">
        <f>VLOOKUP($B204,master!$B$3:$S$600,8,0)</f>
        <v>BEDUKAN</v>
      </c>
      <c r="J204" s="67" t="str">
        <f>VLOOKUP($B204,master!$B$3:$S$600,9,0)</f>
        <v>2</v>
      </c>
      <c r="K204" s="67" t="str">
        <f>VLOOKUP($B204,master!$B$3:$S$600,11,0)</f>
        <v>PLERET</v>
      </c>
      <c r="L204" s="67" t="str">
        <f>VLOOKUP($B204,master!$B$3:$S$600,12,0)</f>
        <v>PLERET</v>
      </c>
      <c r="M204" s="67" t="str">
        <f>VLOOKUP($B204,master!$B$3:$S$600,6,0)</f>
        <v>sUSANTO</v>
      </c>
      <c r="N204" s="82" t="str">
        <f>VLOOKUP($B204,master!$B$3:$S$600,15,0)</f>
        <v>SMP N 2 PLERET</v>
      </c>
      <c r="O204" s="82" t="str">
        <f>VLOOKUP($B204,master!$B$3:$S$600,4,0)</f>
        <v>7-10-2007</v>
      </c>
    </row>
    <row r="205" spans="1:15" ht="15.75" customHeight="1" x14ac:dyDescent="0.25">
      <c r="A205" s="80" t="s">
        <v>958</v>
      </c>
      <c r="B205" s="11" t="s">
        <v>943</v>
      </c>
      <c r="C205" s="11" t="s">
        <v>4897</v>
      </c>
      <c r="D205" s="11" t="s">
        <v>382</v>
      </c>
      <c r="E205" s="65" t="str">
        <f>VLOOKUP(D205,Total!$C$2:$D$518,2,0)</f>
        <v>11 TSM 3</v>
      </c>
      <c r="F205" s="65" t="str">
        <f>VLOOKUP(C205,Total!$B$2:$F$514,5,0)</f>
        <v>AKTIF</v>
      </c>
      <c r="G205" s="67" t="str">
        <f>VLOOKUP($B205,master!$B$3:$S$600,16,0)</f>
        <v>081229054581</v>
      </c>
      <c r="H205" s="67" t="str">
        <f>VLOOKUP($B205,master!$B$3:$S$600,17,0)</f>
        <v>085729547825</v>
      </c>
      <c r="I205" s="67" t="str">
        <f>VLOOKUP($B205,master!$B$3:$S$600,8,0)</f>
        <v>JATIREJO</v>
      </c>
      <c r="J205" s="67" t="str">
        <f>VLOOKUP($B205,master!$B$3:$S$600,9,0)</f>
        <v>1</v>
      </c>
      <c r="K205" s="67" t="str">
        <f>VLOOKUP($B205,master!$B$3:$S$600,11,0)</f>
        <v>WUKIRSARI</v>
      </c>
      <c r="L205" s="67" t="str">
        <f>VLOOKUP($B205,master!$B$3:$S$600,12,0)</f>
        <v>IMOGIRI</v>
      </c>
      <c r="M205" s="67" t="str">
        <f>VLOOKUP($B205,master!$B$3:$S$600,6,0)</f>
        <v>ASIYAH</v>
      </c>
      <c r="N205" s="82" t="str">
        <f>VLOOKUP($B205,master!$B$3:$S$600,15,0)</f>
        <v>SMP MUHAMMADIYAH BANTUL</v>
      </c>
      <c r="O205" s="82" t="str">
        <f>VLOOKUP($B205,master!$B$3:$S$600,4,0)</f>
        <v>5-09-2008</v>
      </c>
    </row>
    <row r="206" spans="1:15" ht="15.75" customHeight="1" x14ac:dyDescent="0.25">
      <c r="A206" s="80" t="s">
        <v>960</v>
      </c>
      <c r="B206" s="11" t="s">
        <v>945</v>
      </c>
      <c r="C206" s="11" t="s">
        <v>4898</v>
      </c>
      <c r="D206" s="11" t="s">
        <v>383</v>
      </c>
      <c r="E206" s="65" t="str">
        <f>VLOOKUP(D206,Total!$C$2:$D$518,2,0)</f>
        <v>11 TSM 3</v>
      </c>
      <c r="F206" s="65" t="str">
        <f>VLOOKUP(C206,Total!$B$2:$F$514,5,0)</f>
        <v>AKTIF</v>
      </c>
      <c r="G206" s="67" t="str">
        <f>VLOOKUP($B206,master!$B$3:$S$600,16,0)</f>
        <v>089674692990</v>
      </c>
      <c r="H206" s="67" t="str">
        <f>VLOOKUP($B206,master!$B$3:$S$600,17,0)</f>
        <v>089674692990</v>
      </c>
      <c r="I206" s="67" t="str">
        <f>VLOOKUP($B206,master!$B$3:$S$600,8,0)</f>
        <v>PATALAN</v>
      </c>
      <c r="J206" s="67" t="str">
        <f>VLOOKUP($B206,master!$B$3:$S$600,9,0)</f>
        <v>022</v>
      </c>
      <c r="K206" s="67" t="str">
        <f>VLOOKUP($B206,master!$B$3:$S$600,11,0)</f>
        <v>PATALAN</v>
      </c>
      <c r="L206" s="67" t="str">
        <f>VLOOKUP($B206,master!$B$3:$S$600,12,0)</f>
        <v>JETIS</v>
      </c>
      <c r="M206" s="67" t="str">
        <f>VLOOKUP($B206,master!$B$3:$S$600,6,0)</f>
        <v>BUDI SANTOSO</v>
      </c>
      <c r="N206" s="82" t="str">
        <f>VLOOKUP($B206,master!$B$3:$S$600,15,0)</f>
        <v>SMP N 3 JETIS</v>
      </c>
      <c r="O206" s="82" t="str">
        <f>VLOOKUP($B206,master!$B$3:$S$600,4,0)</f>
        <v>28-11-2008</v>
      </c>
    </row>
    <row r="207" spans="1:15" ht="15.75" customHeight="1" x14ac:dyDescent="0.25">
      <c r="A207" s="80" t="s">
        <v>962</v>
      </c>
      <c r="B207" s="11" t="s">
        <v>947</v>
      </c>
      <c r="C207" s="11" t="s">
        <v>4899</v>
      </c>
      <c r="D207" s="11" t="s">
        <v>384</v>
      </c>
      <c r="E207" s="65" t="str">
        <f>VLOOKUP(D207,Total!$C$2:$D$518,2,0)</f>
        <v>11 TSM 3</v>
      </c>
      <c r="F207" s="65" t="str">
        <f>VLOOKUP(C207,Total!$B$2:$F$514,5,0)</f>
        <v>AKTIF</v>
      </c>
      <c r="G207" s="67" t="str">
        <f>VLOOKUP($B207,master!$B$3:$S$600,16,0)</f>
        <v>081226211864</v>
      </c>
      <c r="H207" s="67" t="str">
        <f>VLOOKUP($B207,master!$B$3:$S$600,17,0)</f>
        <v>08813761852</v>
      </c>
      <c r="I207" s="67" t="str">
        <f>VLOOKUP($B207,master!$B$3:$S$600,8,0)</f>
        <v>GATAK</v>
      </c>
      <c r="J207" s="67" t="str">
        <f>VLOOKUP($B207,master!$B$3:$S$600,9,0)</f>
        <v>05</v>
      </c>
      <c r="K207" s="67" t="str">
        <f>VLOOKUP($B207,master!$B$3:$S$600,11,0)</f>
        <v>SUMBERAGUNG</v>
      </c>
      <c r="L207" s="67" t="str">
        <f>VLOOKUP($B207,master!$B$3:$S$600,12,0)</f>
        <v>JETIS</v>
      </c>
      <c r="M207" s="67" t="str">
        <f>VLOOKUP($B207,master!$B$3:$S$600,6,0)</f>
        <v>SUPANGAT</v>
      </c>
      <c r="N207" s="82" t="str">
        <f>VLOOKUP($B207,master!$B$3:$S$600,15,0)</f>
        <v>MTS N 2 BANTUL</v>
      </c>
      <c r="O207" s="82" t="str">
        <f>VLOOKUP($B207,master!$B$3:$S$600,4,0)</f>
        <v>19-04-2009</v>
      </c>
    </row>
    <row r="208" spans="1:15" ht="15.75" customHeight="1" x14ac:dyDescent="0.25">
      <c r="A208" s="80" t="s">
        <v>964</v>
      </c>
      <c r="B208" s="11" t="s">
        <v>949</v>
      </c>
      <c r="C208" s="11" t="s">
        <v>4900</v>
      </c>
      <c r="D208" s="11" t="s">
        <v>385</v>
      </c>
      <c r="E208" s="65" t="str">
        <f>VLOOKUP(D208,Total!$C$2:$D$518,2,0)</f>
        <v>11 TSM 3</v>
      </c>
      <c r="F208" s="65" t="str">
        <f>VLOOKUP(C208,Total!$B$2:$F$514,5,0)</f>
        <v>AKTIF</v>
      </c>
      <c r="G208" s="67" t="str">
        <f>VLOOKUP($B208,master!$B$3:$S$600,16,0)</f>
        <v>085870346822</v>
      </c>
      <c r="H208" s="67" t="str">
        <f>VLOOKUP($B208,master!$B$3:$S$600,17,0)</f>
        <v>085869707104</v>
      </c>
      <c r="I208" s="67" t="str">
        <f>VLOOKUP($B208,master!$B$3:$S$600,8,0)</f>
        <v>MANDING SERUT</v>
      </c>
      <c r="J208" s="67" t="str">
        <f>VLOOKUP($B208,master!$B$3:$S$600,9,0)</f>
        <v>02</v>
      </c>
      <c r="K208" s="67" t="str">
        <f>VLOOKUP($B208,master!$B$3:$S$600,11,0)</f>
        <v>SABDODADI</v>
      </c>
      <c r="L208" s="67" t="str">
        <f>VLOOKUP($B208,master!$B$3:$S$600,12,0)</f>
        <v>BANTUL</v>
      </c>
      <c r="M208" s="67" t="str">
        <f>VLOOKUP($B208,master!$B$3:$S$600,6,0)</f>
        <v>HARRY APRIANTONY</v>
      </c>
      <c r="N208" s="82" t="str">
        <f>VLOOKUP($B208,master!$B$3:$S$600,15,0)</f>
        <v>SMP MUHAMMADIYAH BANTUL</v>
      </c>
      <c r="O208" s="82" t="str">
        <f>VLOOKUP($B208,master!$B$3:$S$600,4,0)</f>
        <v>4-07-2006</v>
      </c>
    </row>
    <row r="209" spans="1:15" ht="15.75" customHeight="1" x14ac:dyDescent="0.25">
      <c r="A209" s="80" t="s">
        <v>966</v>
      </c>
      <c r="B209" s="11" t="s">
        <v>951</v>
      </c>
      <c r="C209" s="11" t="s">
        <v>4901</v>
      </c>
      <c r="D209" s="11" t="s">
        <v>386</v>
      </c>
      <c r="E209" s="65" t="str">
        <f>VLOOKUP(D209,Total!$C$2:$D$518,2,0)</f>
        <v>11 TSM 3</v>
      </c>
      <c r="F209" s="65" t="str">
        <f>VLOOKUP(C209,Total!$B$2:$F$514,5,0)</f>
        <v>AKTIF</v>
      </c>
      <c r="G209" s="67" t="str">
        <f>VLOOKUP($B209,master!$B$3:$S$600,16,0)</f>
        <v>89674670535</v>
      </c>
      <c r="H209" s="67" t="str">
        <f>VLOOKUP($B209,master!$B$3:$S$600,17,0)</f>
        <v>0</v>
      </c>
      <c r="I209" s="67" t="str">
        <f>VLOOKUP($B209,master!$B$3:$S$600,8,0)</f>
        <v>GESIKAN</v>
      </c>
      <c r="J209" s="67" t="str">
        <f>VLOOKUP($B209,master!$B$3:$S$600,9,0)</f>
        <v>4</v>
      </c>
      <c r="K209" s="67" t="str">
        <f>VLOOKUP($B209,master!$B$3:$S$600,11,0)</f>
        <v>WIJIREJO</v>
      </c>
      <c r="L209" s="67" t="str">
        <f>VLOOKUP($B209,master!$B$3:$S$600,12,0)</f>
        <v>PANDAK</v>
      </c>
      <c r="M209" s="67" t="str">
        <f>VLOOKUP($B209,master!$B$3:$S$600,6,0)</f>
        <v>HUMAM</v>
      </c>
      <c r="N209" s="82" t="str">
        <f>VLOOKUP($B209,master!$B$3:$S$600,15,0)</f>
        <v>SMP N 4 PANDAK</v>
      </c>
      <c r="O209" s="82" t="str">
        <f>VLOOKUP($B209,master!$B$3:$S$600,4,0)</f>
        <v>7-10-2008</v>
      </c>
    </row>
    <row r="210" spans="1:15" ht="15.75" customHeight="1" x14ac:dyDescent="0.25">
      <c r="A210" s="80" t="s">
        <v>968</v>
      </c>
      <c r="B210" s="11" t="s">
        <v>953</v>
      </c>
      <c r="C210" s="11" t="s">
        <v>4902</v>
      </c>
      <c r="D210" s="11" t="s">
        <v>387</v>
      </c>
      <c r="E210" s="65" t="str">
        <f>VLOOKUP(D210,Total!$C$2:$D$518,2,0)</f>
        <v>11 TSM 3</v>
      </c>
      <c r="F210" s="65" t="str">
        <f>VLOOKUP(C210,Total!$B$2:$F$514,5,0)</f>
        <v>AKTIF</v>
      </c>
      <c r="G210" s="67" t="str">
        <f>VLOOKUP($B210,master!$B$3:$S$600,16,0)</f>
        <v>083142364378/0895418949437</v>
      </c>
      <c r="H210" s="67" t="str">
        <f>VLOOKUP($B210,master!$B$3:$S$600,17,0)</f>
        <v>083159428953</v>
      </c>
      <c r="I210" s="67" t="str">
        <f>VLOOKUP($B210,master!$B$3:$S$600,8,0)</f>
        <v>GEMAHAN</v>
      </c>
      <c r="J210" s="67" t="str">
        <f>VLOOKUP($B210,master!$B$3:$S$600,9,0)</f>
        <v>03</v>
      </c>
      <c r="K210" s="67" t="str">
        <f>VLOOKUP($B210,master!$B$3:$S$600,11,0)</f>
        <v>RINGINHARJO</v>
      </c>
      <c r="L210" s="67" t="str">
        <f>VLOOKUP($B210,master!$B$3:$S$600,12,0)</f>
        <v>BANTUL</v>
      </c>
      <c r="M210" s="67" t="str">
        <f>VLOOKUP($B210,master!$B$3:$S$600,6,0)</f>
        <v>Kawitri</v>
      </c>
      <c r="N210" s="82" t="str">
        <f>VLOOKUP($B210,master!$B$3:$S$600,15,0)</f>
        <v>SMP MUHAMMADIYAH BANTUL</v>
      </c>
      <c r="O210" s="82" t="str">
        <f>VLOOKUP($B210,master!$B$3:$S$600,4,0)</f>
        <v>14-04-2008</v>
      </c>
    </row>
    <row r="211" spans="1:15" ht="15.75" customHeight="1" x14ac:dyDescent="0.25">
      <c r="A211" s="80" t="s">
        <v>970</v>
      </c>
      <c r="B211" s="11" t="s">
        <v>955</v>
      </c>
      <c r="C211" s="11" t="s">
        <v>4903</v>
      </c>
      <c r="D211" s="11" t="s">
        <v>388</v>
      </c>
      <c r="E211" s="65" t="str">
        <f>VLOOKUP(D211,Total!$C$2:$D$518,2,0)</f>
        <v>11 TSM 3</v>
      </c>
      <c r="F211" s="65" t="str">
        <f>VLOOKUP(C211,Total!$B$2:$F$514,5,0)</f>
        <v>AKTIF</v>
      </c>
      <c r="G211" s="67" t="str">
        <f>VLOOKUP($B211,master!$B$3:$S$600,16,0)</f>
        <v>89603501759</v>
      </c>
      <c r="H211" s="67" t="str">
        <f>VLOOKUP($B211,master!$B$3:$S$600,17,0)</f>
        <v>0</v>
      </c>
      <c r="I211" s="67" t="str">
        <f>VLOOKUP($B211,master!$B$3:$S$600,8,0)</f>
        <v>BADAN</v>
      </c>
      <c r="J211" s="67" t="str">
        <f>VLOOKUP($B211,master!$B$3:$S$600,9,0)</f>
        <v>1</v>
      </c>
      <c r="K211" s="67" t="str">
        <f>VLOOKUP($B211,master!$B$3:$S$600,11,0)</f>
        <v>PANJANGREJO</v>
      </c>
      <c r="L211" s="67" t="str">
        <f>VLOOKUP($B211,master!$B$3:$S$600,12,0)</f>
        <v>PUNDONG</v>
      </c>
      <c r="M211" s="67" t="str">
        <f>VLOOKUP($B211,master!$B$3:$S$600,6,0)</f>
        <v>ROHIM</v>
      </c>
      <c r="N211" s="82" t="str">
        <f>VLOOKUP($B211,master!$B$3:$S$600,15,0)</f>
        <v>SMP N 1 PUNDONG</v>
      </c>
      <c r="O211" s="82" t="str">
        <f>VLOOKUP($B211,master!$B$3:$S$600,4,0)</f>
        <v>19-02-2009</v>
      </c>
    </row>
    <row r="212" spans="1:15" ht="15.75" customHeight="1" x14ac:dyDescent="0.25">
      <c r="A212" s="80" t="s">
        <v>972</v>
      </c>
      <c r="B212" s="11" t="s">
        <v>957</v>
      </c>
      <c r="C212" s="11" t="s">
        <v>4904</v>
      </c>
      <c r="D212" s="11" t="s">
        <v>389</v>
      </c>
      <c r="E212" s="65" t="str">
        <f>VLOOKUP(D212,Total!$C$2:$D$518,2,0)</f>
        <v>11 TSM 3</v>
      </c>
      <c r="F212" s="65" t="str">
        <f>VLOOKUP(C212,Total!$B$2:$F$514,5,0)</f>
        <v>AKTIF</v>
      </c>
      <c r="G212" s="67" t="str">
        <f>VLOOKUP($B212,master!$B$3:$S$600,16,0)</f>
        <v>085786431365</v>
      </c>
      <c r="H212" s="67" t="str">
        <f>VLOOKUP($B212,master!$B$3:$S$600,17,0)</f>
        <v>085727695835</v>
      </c>
      <c r="I212" s="67" t="str">
        <f>VLOOKUP($B212,master!$B$3:$S$600,8,0)</f>
        <v>KALONGAN</v>
      </c>
      <c r="J212" s="67" t="str">
        <f>VLOOKUP($B212,master!$B$3:$S$600,9,0)</f>
        <v>06</v>
      </c>
      <c r="K212" s="67" t="str">
        <f>VLOOKUP($B212,master!$B$3:$S$600,11,0)</f>
        <v>GILANGHARJO</v>
      </c>
      <c r="L212" s="67" t="str">
        <f>VLOOKUP($B212,master!$B$3:$S$600,12,0)</f>
        <v>PANDAK</v>
      </c>
      <c r="M212" s="67" t="str">
        <f>VLOOKUP($B212,master!$B$3:$S$600,6,0)</f>
        <v>TRI HARYANTO</v>
      </c>
      <c r="N212" s="82" t="str">
        <f>VLOOKUP($B212,master!$B$3:$S$600,15,0)</f>
        <v>SMP N 4 PANDAK</v>
      </c>
      <c r="O212" s="82" t="str">
        <f>VLOOKUP($B212,master!$B$3:$S$600,4,0)</f>
        <v>10-05-2008</v>
      </c>
    </row>
    <row r="213" spans="1:15" ht="15.75" customHeight="1" x14ac:dyDescent="0.25">
      <c r="A213" s="80" t="s">
        <v>974</v>
      </c>
      <c r="B213" s="11" t="s">
        <v>959</v>
      </c>
      <c r="C213" s="11" t="s">
        <v>4905</v>
      </c>
      <c r="D213" s="11" t="s">
        <v>390</v>
      </c>
      <c r="E213" s="65" t="str">
        <f>VLOOKUP(D213,Total!$C$2:$D$518,2,0)</f>
        <v>11 TSM 3</v>
      </c>
      <c r="F213" s="65" t="str">
        <f>VLOOKUP(C213,Total!$B$2:$F$514,5,0)</f>
        <v>AKTIF</v>
      </c>
      <c r="G213" s="67" t="str">
        <f>VLOOKUP($B213,master!$B$3:$S$600,16,0)</f>
        <v>085640859959</v>
      </c>
      <c r="H213" s="67" t="str">
        <f>VLOOKUP($B213,master!$B$3:$S$600,17,0)</f>
        <v>085742971917</v>
      </c>
      <c r="I213" s="67" t="str">
        <f>VLOOKUP($B213,master!$B$3:$S$600,8,0)</f>
        <v>Numpukan</v>
      </c>
      <c r="J213" s="67" t="str">
        <f>VLOOKUP($B213,master!$B$3:$S$600,9,0)</f>
        <v>01</v>
      </c>
      <c r="K213" s="67" t="str">
        <f>VLOOKUP($B213,master!$B$3:$S$600,11,0)</f>
        <v>KARANGTENGAH</v>
      </c>
      <c r="L213" s="67" t="str">
        <f>VLOOKUP($B213,master!$B$3:$S$600,12,0)</f>
        <v>IMOGIRI</v>
      </c>
      <c r="M213" s="67" t="str">
        <f>VLOOKUP($B213,master!$B$3:$S$600,6,0)</f>
        <v>Sudalyani</v>
      </c>
      <c r="N213" s="82" t="str">
        <f>VLOOKUP($B213,master!$B$3:$S$600,15,0)</f>
        <v>SMP N 2 IMOGIRI</v>
      </c>
      <c r="O213" s="82" t="str">
        <f>VLOOKUP($B213,master!$B$3:$S$600,4,0)</f>
        <v>1-12-2008</v>
      </c>
    </row>
    <row r="214" spans="1:15" ht="15.75" customHeight="1" x14ac:dyDescent="0.25">
      <c r="A214" s="80" t="s">
        <v>976</v>
      </c>
      <c r="B214" s="11" t="s">
        <v>961</v>
      </c>
      <c r="C214" s="11" t="s">
        <v>4906</v>
      </c>
      <c r="D214" s="11" t="s">
        <v>391</v>
      </c>
      <c r="E214" s="65" t="str">
        <f>VLOOKUP(D214,Total!$C$2:$D$518,2,0)</f>
        <v>11 TSM 3</v>
      </c>
      <c r="F214" s="65" t="str">
        <f>VLOOKUP(C214,Total!$B$2:$F$514,5,0)</f>
        <v>AKTIF</v>
      </c>
      <c r="G214" s="67" t="str">
        <f>VLOOKUP($B214,master!$B$3:$S$600,16,0)</f>
        <v>+62 895-3863-08235</v>
      </c>
      <c r="H214" s="67" t="str">
        <f>VLOOKUP($B214,master!$B$3:$S$600,17,0)</f>
        <v>081383016962</v>
      </c>
      <c r="I214" s="67" t="str">
        <f>VLOOKUP($B214,master!$B$3:$S$600,8,0)</f>
        <v>SOKA</v>
      </c>
      <c r="J214" s="67" t="str">
        <f>VLOOKUP($B214,master!$B$3:$S$600,9,0)</f>
        <v>01</v>
      </c>
      <c r="K214" s="67" t="str">
        <f>VLOOKUP($B214,master!$B$3:$S$600,11,0)</f>
        <v>SELOHARJO</v>
      </c>
      <c r="L214" s="67" t="str">
        <f>VLOOKUP($B214,master!$B$3:$S$600,12,0)</f>
        <v>PUNDONG</v>
      </c>
      <c r="M214" s="67" t="str">
        <f>VLOOKUP($B214,master!$B$3:$S$600,6,0)</f>
        <v>Kliwon</v>
      </c>
      <c r="N214" s="82" t="str">
        <f>VLOOKUP($B214,master!$B$3:$S$600,15,0)</f>
        <v>SMP N 2 PUNDONG</v>
      </c>
      <c r="O214" s="82" t="str">
        <f>VLOOKUP($B214,master!$B$3:$S$600,4,0)</f>
        <v>4-01-2009</v>
      </c>
    </row>
    <row r="215" spans="1:15" ht="15.75" customHeight="1" x14ac:dyDescent="0.25">
      <c r="A215" s="80" t="s">
        <v>978</v>
      </c>
      <c r="B215" s="11" t="s">
        <v>963</v>
      </c>
      <c r="C215" s="11" t="s">
        <v>4907</v>
      </c>
      <c r="D215" s="11" t="s">
        <v>392</v>
      </c>
      <c r="E215" s="65" t="str">
        <f>VLOOKUP(D215,Total!$C$2:$D$518,2,0)</f>
        <v>11 TSM 3</v>
      </c>
      <c r="F215" s="65" t="str">
        <f>VLOOKUP(C215,Total!$B$2:$F$514,5,0)</f>
        <v>AKTIF</v>
      </c>
      <c r="G215" s="67" t="str">
        <f>VLOOKUP($B215,master!$B$3:$S$600,16,0)</f>
        <v>081384091435</v>
      </c>
      <c r="H215" s="67" t="str">
        <f>VLOOKUP($B215,master!$B$3:$S$600,17,0)</f>
        <v>081384091435</v>
      </c>
      <c r="I215" s="67" t="str">
        <f>VLOOKUP($B215,master!$B$3:$S$600,8,0)</f>
        <v>CABEYAN</v>
      </c>
      <c r="J215" s="67" t="str">
        <f>VLOOKUP($B215,master!$B$3:$S$600,9,0)</f>
        <v>5</v>
      </c>
      <c r="K215" s="67" t="str">
        <f>VLOOKUP($B215,master!$B$3:$S$600,11,0)</f>
        <v>PANGGUNGHARJO</v>
      </c>
      <c r="L215" s="67" t="str">
        <f>VLOOKUP($B215,master!$B$3:$S$600,12,0)</f>
        <v>SEWON</v>
      </c>
      <c r="M215" s="67" t="str">
        <f>VLOOKUP($B215,master!$B$3:$S$600,6,0)</f>
        <v>PONIYEM</v>
      </c>
      <c r="N215" s="82" t="str">
        <f>VLOOKUP($B215,master!$B$3:$S$600,15,0)</f>
        <v>SMP N 3 SEWON</v>
      </c>
      <c r="O215" s="82" t="str">
        <f>VLOOKUP($B215,master!$B$3:$S$600,4,0)</f>
        <v>5-10-2008</v>
      </c>
    </row>
    <row r="216" spans="1:15" ht="15.75" customHeight="1" x14ac:dyDescent="0.25">
      <c r="A216" s="80" t="s">
        <v>980</v>
      </c>
      <c r="B216" s="11" t="s">
        <v>965</v>
      </c>
      <c r="C216" s="11" t="s">
        <v>4908</v>
      </c>
      <c r="D216" s="11" t="s">
        <v>393</v>
      </c>
      <c r="E216" s="65" t="str">
        <f>VLOOKUP(D216,Total!$C$2:$D$518,2,0)</f>
        <v>11 TSM 3</v>
      </c>
      <c r="F216" s="65" t="str">
        <f>VLOOKUP(C216,Total!$B$2:$F$514,5,0)</f>
        <v>AKTIF</v>
      </c>
      <c r="G216" s="67" t="str">
        <f>VLOOKUP($B216,master!$B$3:$S$600,16,0)</f>
        <v>089649284198</v>
      </c>
      <c r="H216" s="67" t="str">
        <f>VLOOKUP($B216,master!$B$3:$S$600,17,0)</f>
        <v>089687601350</v>
      </c>
      <c r="I216" s="67" t="str">
        <f>VLOOKUP($B216,master!$B$3:$S$600,8,0)</f>
        <v>NGLARANG</v>
      </c>
      <c r="J216" s="67" t="str">
        <f>VLOOKUP($B216,master!$B$3:$S$600,9,0)</f>
        <v>2</v>
      </c>
      <c r="K216" s="67" t="str">
        <f>VLOOKUP($B216,master!$B$3:$S$600,11,0)</f>
        <v>TRIHARJO</v>
      </c>
      <c r="L216" s="67" t="str">
        <f>VLOOKUP($B216,master!$B$3:$S$600,12,0)</f>
        <v>PANDAK</v>
      </c>
      <c r="M216" s="67" t="str">
        <f>VLOOKUP($B216,master!$B$3:$S$600,6,0)</f>
        <v>ZENI PURNAMA</v>
      </c>
      <c r="N216" s="82" t="str">
        <f>VLOOKUP($B216,master!$B$3:$S$600,15,0)</f>
        <v>SMP N 1 PANDAK</v>
      </c>
      <c r="O216" s="82" t="str">
        <f>VLOOKUP($B216,master!$B$3:$S$600,4,0)</f>
        <v>6-12-2008</v>
      </c>
    </row>
    <row r="217" spans="1:15" ht="15.75" customHeight="1" x14ac:dyDescent="0.25">
      <c r="A217" s="80" t="s">
        <v>982</v>
      </c>
      <c r="B217" s="11" t="s">
        <v>967</v>
      </c>
      <c r="C217" s="11" t="s">
        <v>4909</v>
      </c>
      <c r="D217" s="11" t="s">
        <v>394</v>
      </c>
      <c r="E217" s="65" t="str">
        <f>VLOOKUP(D217,Total!$C$2:$D$518,2,0)</f>
        <v>11 TSM 3</v>
      </c>
      <c r="F217" s="65" t="str">
        <f>VLOOKUP(C217,Total!$B$2:$F$514,5,0)</f>
        <v>AKTIF</v>
      </c>
      <c r="G217" s="67" t="str">
        <f>VLOOKUP($B217,master!$B$3:$S$600,16,0)</f>
        <v>081350510600</v>
      </c>
      <c r="H217" s="67" t="str">
        <f>VLOOKUP($B217,master!$B$3:$S$600,17,0)</f>
        <v>0895359028507</v>
      </c>
      <c r="I217" s="67" t="str">
        <f>VLOOKUP($B217,master!$B$3:$S$600,8,0)</f>
        <v>KEDATON</v>
      </c>
      <c r="J217" s="67" t="str">
        <f>VLOOKUP($B217,master!$B$3:$S$600,9,0)</f>
        <v>5</v>
      </c>
      <c r="K217" s="67" t="str">
        <f>VLOOKUP($B217,master!$B$3:$S$600,11,0)</f>
        <v>PLERET</v>
      </c>
      <c r="L217" s="67" t="str">
        <f>VLOOKUP($B217,master!$B$3:$S$600,12,0)</f>
        <v>PLERET</v>
      </c>
      <c r="M217" s="67" t="str">
        <f>VLOOKUP($B217,master!$B$3:$S$600,6,0)</f>
        <v>SRI PURWANTI</v>
      </c>
      <c r="N217" s="82" t="str">
        <f>VLOOKUP($B217,master!$B$3:$S$600,15,0)</f>
        <v>SMP N 2 PLERET</v>
      </c>
      <c r="O217" s="82" t="str">
        <f>VLOOKUP($B217,master!$B$3:$S$600,4,0)</f>
        <v>28-08-2008</v>
      </c>
    </row>
    <row r="218" spans="1:15" ht="15.75" customHeight="1" x14ac:dyDescent="0.25">
      <c r="A218" s="80" t="s">
        <v>984</v>
      </c>
      <c r="B218" s="11" t="s">
        <v>969</v>
      </c>
      <c r="C218" s="11" t="s">
        <v>4910</v>
      </c>
      <c r="D218" s="11" t="s">
        <v>395</v>
      </c>
      <c r="E218" s="65" t="str">
        <f>VLOOKUP(D218,Total!$C$2:$D$518,2,0)</f>
        <v>11 TSM 3</v>
      </c>
      <c r="F218" s="65" t="str">
        <f>VLOOKUP(C218,Total!$B$2:$F$514,5,0)</f>
        <v>AKTIF</v>
      </c>
      <c r="G218" s="67" t="str">
        <f>VLOOKUP($B218,master!$B$3:$S$600,16,0)</f>
        <v>087715608232</v>
      </c>
      <c r="H218" s="67" t="str">
        <f>VLOOKUP($B218,master!$B$3:$S$600,17,0)</f>
        <v>-</v>
      </c>
      <c r="I218" s="67" t="str">
        <f>VLOOKUP($B218,master!$B$3:$S$600,8,0)</f>
        <v>PUNDONG</v>
      </c>
      <c r="J218" s="67" t="str">
        <f>VLOOKUP($B218,master!$B$3:$S$600,9,0)</f>
        <v>1</v>
      </c>
      <c r="K218" s="67" t="str">
        <f>VLOOKUP($B218,master!$B$3:$S$600,11,0)</f>
        <v>SRIHARDONO</v>
      </c>
      <c r="L218" s="67" t="str">
        <f>VLOOKUP($B218,master!$B$3:$S$600,12,0)</f>
        <v>PUNDONG</v>
      </c>
      <c r="M218" s="67" t="str">
        <f>VLOOKUP($B218,master!$B$3:$S$600,6,0)</f>
        <v>TARYANA / LANJAR LESTARI</v>
      </c>
      <c r="N218" s="82" t="str">
        <f>VLOOKUP($B218,master!$B$3:$S$600,15,0)</f>
        <v>SMP N 2 PUNDONG</v>
      </c>
      <c r="O218" s="82" t="str">
        <f>VLOOKUP($B218,master!$B$3:$S$600,4,0)</f>
        <v>26-10-2009</v>
      </c>
    </row>
    <row r="219" spans="1:15" ht="15.75" customHeight="1" x14ac:dyDescent="0.25">
      <c r="A219" s="80" t="s">
        <v>986</v>
      </c>
      <c r="B219" s="11" t="s">
        <v>973</v>
      </c>
      <c r="C219" s="11" t="s">
        <v>4911</v>
      </c>
      <c r="D219" s="11" t="s">
        <v>397</v>
      </c>
      <c r="E219" s="65" t="str">
        <f>VLOOKUP(D219,Total!$C$2:$D$518,2,0)</f>
        <v>11 TSM 3</v>
      </c>
      <c r="F219" s="65" t="str">
        <f>VLOOKUP(C219,Total!$B$2:$F$514,5,0)</f>
        <v>AKTIF</v>
      </c>
      <c r="G219" s="67" t="str">
        <f>VLOOKUP($B219,master!$B$3:$S$600,16,0)</f>
        <v>087848115661</v>
      </c>
      <c r="H219" s="67" t="str">
        <f>VLOOKUP($B219,master!$B$3:$S$600,17,0)</f>
        <v>-</v>
      </c>
      <c r="I219" s="67" t="str">
        <f>VLOOKUP($B219,master!$B$3:$S$600,8,0)</f>
        <v>SUMURAN</v>
      </c>
      <c r="J219" s="67" t="str">
        <f>VLOOKUP($B219,master!$B$3:$S$600,9,0)</f>
        <v>4</v>
      </c>
      <c r="K219" s="67" t="str">
        <f>VLOOKUP($B219,master!$B$3:$S$600,11,0)</f>
        <v>PALBAPANG</v>
      </c>
      <c r="L219" s="67" t="str">
        <f>VLOOKUP($B219,master!$B$3:$S$600,12,0)</f>
        <v>BANTUL</v>
      </c>
      <c r="M219" s="67" t="str">
        <f>VLOOKUP($B219,master!$B$3:$S$600,6,0)</f>
        <v>RINTEN WINARSIH</v>
      </c>
      <c r="N219" s="82" t="str">
        <f>VLOOKUP($B219,master!$B$3:$S$600,15,0)</f>
        <v>SMP N 1 BANTUL</v>
      </c>
      <c r="O219" s="82" t="str">
        <f>VLOOKUP($B219,master!$B$3:$S$600,4,0)</f>
        <v>18-07-2008</v>
      </c>
    </row>
    <row r="220" spans="1:15" ht="15.75" customHeight="1" x14ac:dyDescent="0.25">
      <c r="A220" s="80" t="s">
        <v>988</v>
      </c>
      <c r="B220" s="11" t="s">
        <v>975</v>
      </c>
      <c r="C220" s="11" t="s">
        <v>4912</v>
      </c>
      <c r="D220" s="11" t="s">
        <v>398</v>
      </c>
      <c r="E220" s="65" t="str">
        <f>VLOOKUP(D220,Total!$C$2:$D$518,2,0)</f>
        <v>11 TSM 3</v>
      </c>
      <c r="F220" s="65" t="str">
        <f>VLOOKUP(C220,Total!$B$2:$F$514,5,0)</f>
        <v>AKTIF</v>
      </c>
      <c r="G220" s="67" t="str">
        <f>VLOOKUP($B220,master!$B$3:$S$600,16,0)</f>
        <v>0859160016687</v>
      </c>
      <c r="H220" s="67" t="str">
        <f>VLOOKUP($B220,master!$B$3:$S$600,17,0)</f>
        <v>085729973662</v>
      </c>
      <c r="I220" s="67" t="str">
        <f>VLOOKUP($B220,master!$B$3:$S$600,8,0)</f>
        <v>KALIWIRU</v>
      </c>
      <c r="J220" s="67" t="str">
        <f>VLOOKUP($B220,master!$B$3:$S$600,9,0)</f>
        <v>20</v>
      </c>
      <c r="K220" s="67" t="str">
        <f>VLOOKUP($B220,master!$B$3:$S$600,11,0)</f>
        <v>TUKSONO</v>
      </c>
      <c r="L220" s="67" t="str">
        <f>VLOOKUP($B220,master!$B$3:$S$600,12,0)</f>
        <v>SENTOLO</v>
      </c>
      <c r="M220" s="67" t="str">
        <f>VLOOKUP($B220,master!$B$3:$S$600,6,0)</f>
        <v>Miskiren/waljiyem</v>
      </c>
      <c r="N220" s="82" t="str">
        <f>VLOOKUP($B220,master!$B$3:$S$600,15,0)</f>
        <v>SMP MUHAMMADIYAH 2 LENDAH</v>
      </c>
      <c r="O220" s="82" t="str">
        <f>VLOOKUP($B220,master!$B$3:$S$600,4,0)</f>
        <v>26-09-2008</v>
      </c>
    </row>
    <row r="221" spans="1:15" ht="15.75" customHeight="1" x14ac:dyDescent="0.25">
      <c r="A221" s="80" t="s">
        <v>990</v>
      </c>
      <c r="B221" s="11" t="s">
        <v>977</v>
      </c>
      <c r="C221" s="11" t="s">
        <v>4913</v>
      </c>
      <c r="D221" s="11" t="s">
        <v>399</v>
      </c>
      <c r="E221" s="65" t="str">
        <f>VLOOKUP(D221,Total!$C$2:$D$518,2,0)</f>
        <v>11 TSM 3</v>
      </c>
      <c r="F221" s="65" t="str">
        <f>VLOOKUP(C221,Total!$B$2:$F$514,5,0)</f>
        <v>AKTIF</v>
      </c>
      <c r="G221" s="67" t="str">
        <f>VLOOKUP($B221,master!$B$3:$S$600,16,0)</f>
        <v>08886585528</v>
      </c>
      <c r="H221" s="67" t="str">
        <f>VLOOKUP($B221,master!$B$3:$S$600,17,0)</f>
        <v>08886585528</v>
      </c>
      <c r="I221" s="67" t="str">
        <f>VLOOKUP($B221,master!$B$3:$S$600,8,0)</f>
        <v>DEMANGAN</v>
      </c>
      <c r="J221" s="67" t="str">
        <f>VLOOKUP($B221,master!$B$3:$S$600,9,0)</f>
        <v>02</v>
      </c>
      <c r="K221" s="67" t="str">
        <f>VLOOKUP($B221,master!$B$3:$S$600,11,0)</f>
        <v>BANGUNHARJO</v>
      </c>
      <c r="L221" s="67" t="str">
        <f>VLOOKUP($B221,master!$B$3:$S$600,12,0)</f>
        <v>SEWON</v>
      </c>
      <c r="M221" s="67" t="str">
        <f>VLOOKUP($B221,master!$B$3:$S$600,6,0)</f>
        <v>Samijan</v>
      </c>
      <c r="N221" s="82" t="str">
        <f>VLOOKUP($B221,master!$B$3:$S$600,15,0)</f>
        <v>SMP N 2 SEWON</v>
      </c>
      <c r="O221" s="82" t="str">
        <f>VLOOKUP($B221,master!$B$3:$S$600,4,0)</f>
        <v>17-01-2009</v>
      </c>
    </row>
    <row r="222" spans="1:15" ht="15.75" customHeight="1" x14ac:dyDescent="0.25">
      <c r="A222" s="80" t="s">
        <v>992</v>
      </c>
      <c r="B222" s="11" t="s">
        <v>979</v>
      </c>
      <c r="C222" s="11" t="s">
        <v>4914</v>
      </c>
      <c r="D222" s="11" t="s">
        <v>400</v>
      </c>
      <c r="E222" s="65" t="str">
        <f>VLOOKUP(D222,Total!$C$2:$D$518,2,0)</f>
        <v>11 TSM 3</v>
      </c>
      <c r="F222" s="65" t="str">
        <f>VLOOKUP(C222,Total!$B$2:$F$514,5,0)</f>
        <v>KELUAR</v>
      </c>
      <c r="G222" s="67" t="str">
        <f>VLOOKUP($B222,master!$B$3:$S$600,16,0)</f>
        <v>085727673286</v>
      </c>
      <c r="H222" s="67" t="str">
        <f>VLOOKUP($B222,master!$B$3:$S$600,17,0)</f>
        <v>-</v>
      </c>
      <c r="I222" s="67" t="str">
        <f>VLOOKUP($B222,master!$B$3:$S$600,8,0)</f>
        <v>MANDING KIDUL</v>
      </c>
      <c r="J222" s="67" t="str">
        <f>VLOOKUP($B222,master!$B$3:$S$600,9,0)</f>
        <v>8</v>
      </c>
      <c r="K222" s="67" t="str">
        <f>VLOOKUP($B222,master!$B$3:$S$600,11,0)</f>
        <v>TRIRENGGO</v>
      </c>
      <c r="L222" s="67" t="str">
        <f>VLOOKUP($B222,master!$B$3:$S$600,12,0)</f>
        <v>BANTUL</v>
      </c>
      <c r="M222" s="67" t="str">
        <f>VLOOKUP($B222,master!$B$3:$S$600,6,0)</f>
        <v>YULI ASTUTI</v>
      </c>
      <c r="N222" s="82" t="str">
        <f>VLOOKUP($B222,master!$B$3:$S$600,15,0)</f>
        <v>MTS AL HADI II</v>
      </c>
      <c r="O222" s="82" t="str">
        <f>VLOOKUP($B222,master!$B$3:$S$600,4,0)</f>
        <v>27-07-2008</v>
      </c>
    </row>
    <row r="223" spans="1:15" ht="15.75" customHeight="1" x14ac:dyDescent="0.25">
      <c r="A223" s="80" t="s">
        <v>994</v>
      </c>
      <c r="B223" s="11" t="s">
        <v>981</v>
      </c>
      <c r="C223" s="11" t="s">
        <v>4915</v>
      </c>
      <c r="D223" s="11" t="s">
        <v>401</v>
      </c>
      <c r="E223" s="65" t="str">
        <f>VLOOKUP(D223,Total!$C$2:$D$518,2,0)</f>
        <v>11 TSM 3</v>
      </c>
      <c r="F223" s="65" t="str">
        <f>VLOOKUP(C223,Total!$B$2:$F$514,5,0)</f>
        <v>AKTIF</v>
      </c>
      <c r="G223" s="67" t="str">
        <f>VLOOKUP($B223,master!$B$3:$S$600,16,0)</f>
        <v>8886490998</v>
      </c>
      <c r="H223" s="67" t="str">
        <f>VLOOKUP($B223,master!$B$3:$S$600,17,0)</f>
        <v>0</v>
      </c>
      <c r="I223" s="67" t="str">
        <f>VLOOKUP($B223,master!$B$3:$S$600,8,0)</f>
        <v>JODOG</v>
      </c>
      <c r="J223" s="67" t="str">
        <f>VLOOKUP($B223,master!$B$3:$S$600,9,0)</f>
        <v>2</v>
      </c>
      <c r="K223" s="67" t="str">
        <f>VLOOKUP($B223,master!$B$3:$S$600,11,0)</f>
        <v>GILANGHARJO</v>
      </c>
      <c r="L223" s="67" t="str">
        <f>VLOOKUP($B223,master!$B$3:$S$600,12,0)</f>
        <v>PANDAK</v>
      </c>
      <c r="M223" s="67" t="str">
        <f>VLOOKUP($B223,master!$B$3:$S$600,6,0)</f>
        <v>DARIYANTO</v>
      </c>
      <c r="N223" s="82" t="str">
        <f>VLOOKUP($B223,master!$B$3:$S$600,15,0)</f>
        <v>SMP N 1 PANDAK</v>
      </c>
      <c r="O223" s="82" t="str">
        <f>VLOOKUP($B223,master!$B$3:$S$600,4,0)</f>
        <v>22-09-2008</v>
      </c>
    </row>
    <row r="224" spans="1:15" ht="15.75" customHeight="1" x14ac:dyDescent="0.25">
      <c r="A224" s="80" t="s">
        <v>996</v>
      </c>
      <c r="B224" s="11" t="s">
        <v>983</v>
      </c>
      <c r="C224" s="11" t="s">
        <v>4916</v>
      </c>
      <c r="D224" s="11" t="s">
        <v>402</v>
      </c>
      <c r="E224" s="65" t="str">
        <f>VLOOKUP(D224,Total!$C$2:$D$518,2,0)</f>
        <v>11 TSM 3</v>
      </c>
      <c r="F224" s="65" t="str">
        <f>VLOOKUP(C224,Total!$B$2:$F$514,5,0)</f>
        <v>KELUAR</v>
      </c>
      <c r="G224" s="67" t="str">
        <f>VLOOKUP($B224,master!$B$3:$S$600,16,0)</f>
        <v>087738315911</v>
      </c>
      <c r="H224" s="67" t="str">
        <f>VLOOKUP($B224,master!$B$3:$S$600,17,0)</f>
        <v>0882003946354</v>
      </c>
      <c r="I224" s="67" t="str">
        <f>VLOOKUP($B224,master!$B$3:$S$600,8,0)</f>
        <v>GESIKAN</v>
      </c>
      <c r="J224" s="67" t="str">
        <f>VLOOKUP($B224,master!$B$3:$S$600,9,0)</f>
        <v>05</v>
      </c>
      <c r="K224" s="67" t="str">
        <f>VLOOKUP($B224,master!$B$3:$S$600,11,0)</f>
        <v>PANGGUNGHARJO</v>
      </c>
      <c r="L224" s="67" t="str">
        <f>VLOOKUP($B224,master!$B$3:$S$600,12,0)</f>
        <v>SEWON</v>
      </c>
      <c r="M224" s="67" t="str">
        <f>VLOOKUP($B224,master!$B$3:$S$600,6,0)</f>
        <v>MURTINI</v>
      </c>
      <c r="N224" s="82" t="str">
        <f>VLOOKUP($B224,master!$B$3:$S$600,15,0)</f>
        <v>SMP MUHAMMADIYAH SEWON</v>
      </c>
      <c r="O224" s="82" t="str">
        <f>VLOOKUP($B224,master!$B$3:$S$600,4,0)</f>
        <v>8-07-2009</v>
      </c>
    </row>
    <row r="225" spans="1:15" ht="15.75" customHeight="1" x14ac:dyDescent="0.25">
      <c r="A225" s="80" t="s">
        <v>998</v>
      </c>
      <c r="B225" s="11" t="s">
        <v>985</v>
      </c>
      <c r="C225" s="11" t="s">
        <v>4917</v>
      </c>
      <c r="D225" s="11" t="s">
        <v>403</v>
      </c>
      <c r="E225" s="65" t="str">
        <f>VLOOKUP(D225,Total!$C$2:$D$518,2,0)</f>
        <v>11 TSM 3</v>
      </c>
      <c r="F225" s="65" t="str">
        <f>VLOOKUP(C225,Total!$B$2:$F$514,5,0)</f>
        <v>AKTIF</v>
      </c>
      <c r="G225" s="67" t="str">
        <f>VLOOKUP($B225,master!$B$3:$S$600,16,0)</f>
        <v>0895421839340</v>
      </c>
      <c r="H225" s="67" t="str">
        <f>VLOOKUP($B225,master!$B$3:$S$600,17,0)</f>
        <v>085727103425</v>
      </c>
      <c r="I225" s="67" t="str">
        <f>VLOOKUP($B225,master!$B$3:$S$600,8,0)</f>
        <v>TARUDAN</v>
      </c>
      <c r="J225" s="67" t="str">
        <f>VLOOKUP($B225,master!$B$3:$S$600,9,0)</f>
        <v>8</v>
      </c>
      <c r="K225" s="67" t="str">
        <f>VLOOKUP($B225,master!$B$3:$S$600,11,0)</f>
        <v>BANGUN HARJO</v>
      </c>
      <c r="L225" s="67" t="str">
        <f>VLOOKUP($B225,master!$B$3:$S$600,12,0)</f>
        <v>SEWON</v>
      </c>
      <c r="M225" s="67" t="str">
        <f>VLOOKUP($B225,master!$B$3:$S$600,6,0)</f>
        <v>KRISNAWATI</v>
      </c>
      <c r="N225" s="82" t="str">
        <f>VLOOKUP($B225,master!$B$3:$S$600,15,0)</f>
        <v>MTS N 6 BANTUL</v>
      </c>
      <c r="O225" s="82" t="str">
        <f>VLOOKUP($B225,master!$B$3:$S$600,4,0)</f>
        <v>20-02-2009</v>
      </c>
    </row>
    <row r="226" spans="1:15" ht="15.75" customHeight="1" x14ac:dyDescent="0.25">
      <c r="A226" s="80" t="s">
        <v>1000</v>
      </c>
      <c r="B226" s="11" t="s">
        <v>987</v>
      </c>
      <c r="C226" s="11" t="s">
        <v>4918</v>
      </c>
      <c r="D226" s="11" t="s">
        <v>404</v>
      </c>
      <c r="E226" s="65" t="str">
        <f>VLOOKUP(D226,Total!$C$2:$D$518,2,0)</f>
        <v>11 TSM 3</v>
      </c>
      <c r="F226" s="65" t="str">
        <f>VLOOKUP(C226,Total!$B$2:$F$514,5,0)</f>
        <v>AKTIF</v>
      </c>
      <c r="G226" s="67" t="str">
        <f>VLOOKUP($B226,master!$B$3:$S$600,16,0)</f>
        <v>0888227996778</v>
      </c>
      <c r="H226" s="67" t="str">
        <f>VLOOKUP($B226,master!$B$3:$S$600,17,0)</f>
        <v>08992690309</v>
      </c>
      <c r="I226" s="67" t="str">
        <f>VLOOKUP($B226,master!$B$3:$S$600,8,0)</f>
        <v>JARANAN</v>
      </c>
      <c r="J226" s="67" t="str">
        <f>VLOOKUP($B226,master!$B$3:$S$600,9,0)</f>
        <v>1</v>
      </c>
      <c r="K226" s="67" t="str">
        <f>VLOOKUP($B226,master!$B$3:$S$600,11,0)</f>
        <v>PANGGUNGHARJO</v>
      </c>
      <c r="L226" s="67" t="str">
        <f>VLOOKUP($B226,master!$B$3:$S$600,12,0)</f>
        <v>SEWON</v>
      </c>
      <c r="M226" s="67" t="str">
        <f>VLOOKUP($B226,master!$B$3:$S$600,6,0)</f>
        <v>ANJAR ROHADI</v>
      </c>
      <c r="N226" s="82" t="str">
        <f>VLOOKUP($B226,master!$B$3:$S$600,15,0)</f>
        <v>SMP N 4 SEWON</v>
      </c>
      <c r="O226" s="82" t="str">
        <f>VLOOKUP($B226,master!$B$3:$S$600,4,0)</f>
        <v>11-07-2008</v>
      </c>
    </row>
    <row r="227" spans="1:15" ht="15.75" customHeight="1" x14ac:dyDescent="0.25">
      <c r="A227" s="80" t="s">
        <v>1002</v>
      </c>
      <c r="B227" s="11" t="s">
        <v>989</v>
      </c>
      <c r="C227" s="11" t="s">
        <v>4919</v>
      </c>
      <c r="D227" s="11" t="s">
        <v>405</v>
      </c>
      <c r="E227" s="65" t="str">
        <f>VLOOKUP(D227,Total!$C$2:$D$518,2,0)</f>
        <v>11 TSM 3</v>
      </c>
      <c r="F227" s="65" t="str">
        <f>VLOOKUP(C227,Total!$B$2:$F$514,5,0)</f>
        <v>AKTIF</v>
      </c>
      <c r="G227" s="67" t="str">
        <f>VLOOKUP($B227,master!$B$3:$S$600,16,0)</f>
        <v>087713415888</v>
      </c>
      <c r="H227" s="67" t="str">
        <f>VLOOKUP($B227,master!$B$3:$S$600,17,0)</f>
        <v>083103420008</v>
      </c>
      <c r="I227" s="67" t="str">
        <f>VLOOKUP($B227,master!$B$3:$S$600,8,0)</f>
        <v>PEPE</v>
      </c>
      <c r="J227" s="67" t="str">
        <f>VLOOKUP($B227,master!$B$3:$S$600,9,0)</f>
        <v>04</v>
      </c>
      <c r="K227" s="67" t="str">
        <f>VLOOKUP($B227,master!$B$3:$S$600,11,0)</f>
        <v>TRIRENGGO</v>
      </c>
      <c r="L227" s="67" t="str">
        <f>VLOOKUP($B227,master!$B$3:$S$600,12,0)</f>
        <v>BANTUL</v>
      </c>
      <c r="M227" s="67" t="str">
        <f>VLOOKUP($B227,master!$B$3:$S$600,6,0)</f>
        <v>AGUNG WIDODO</v>
      </c>
      <c r="N227" s="82" t="str">
        <f>VLOOKUP($B227,master!$B$3:$S$600,15,0)</f>
        <v>SMP MUHAMMADIYAH BANTUL</v>
      </c>
      <c r="O227" s="82" t="str">
        <f>VLOOKUP($B227,master!$B$3:$S$600,4,0)</f>
        <v>5-07-2009</v>
      </c>
    </row>
    <row r="228" spans="1:15" ht="15.75" customHeight="1" x14ac:dyDescent="0.25">
      <c r="A228" s="80" t="s">
        <v>1004</v>
      </c>
      <c r="B228" s="11" t="s">
        <v>991</v>
      </c>
      <c r="C228" s="11" t="s">
        <v>4920</v>
      </c>
      <c r="D228" s="11" t="s">
        <v>406</v>
      </c>
      <c r="E228" s="65" t="str">
        <f>VLOOKUP(D228,Total!$C$2:$D$518,2,0)</f>
        <v>11 TSM 3</v>
      </c>
      <c r="F228" s="65" t="str">
        <f>VLOOKUP(C228,Total!$B$2:$F$514,5,0)</f>
        <v>AKTIF</v>
      </c>
      <c r="G228" s="67" t="str">
        <f>VLOOKUP($B228,master!$B$3:$S$600,16,0)</f>
        <v>085338375503</v>
      </c>
      <c r="H228" s="67" t="str">
        <f>VLOOKUP($B228,master!$B$3:$S$600,17,0)</f>
        <v>082325623503</v>
      </c>
      <c r="I228" s="67" t="str">
        <f>VLOOKUP($B228,master!$B$3:$S$600,8,0)</f>
        <v>SOGE</v>
      </c>
      <c r="J228" s="67" t="str">
        <f>VLOOKUP($B228,master!$B$3:$S$600,9,0)</f>
        <v>78</v>
      </c>
      <c r="K228" s="67" t="str">
        <f>VLOOKUP($B228,master!$B$3:$S$600,11,0)</f>
        <v>SRIGADING</v>
      </c>
      <c r="L228" s="67" t="str">
        <f>VLOOKUP($B228,master!$B$3:$S$600,12,0)</f>
        <v>SANDEN</v>
      </c>
      <c r="M228" s="67" t="str">
        <f>VLOOKUP($B228,master!$B$3:$S$600,6,0)</f>
        <v>Wartana</v>
      </c>
      <c r="N228" s="82" t="str">
        <f>VLOOKUP($B228,master!$B$3:$S$600,15,0)</f>
        <v>SMP N 2 SANDEN</v>
      </c>
      <c r="O228" s="82" t="str">
        <f>VLOOKUP($B228,master!$B$3:$S$600,4,0)</f>
        <v>1-01-2009</v>
      </c>
    </row>
    <row r="229" spans="1:15" ht="15.75" customHeight="1" x14ac:dyDescent="0.25">
      <c r="A229" s="80" t="s">
        <v>1006</v>
      </c>
      <c r="B229" s="121" t="s">
        <v>709</v>
      </c>
      <c r="C229" s="11" t="s">
        <v>5040</v>
      </c>
      <c r="D229" s="121" t="s">
        <v>522</v>
      </c>
      <c r="E229" s="117" t="str">
        <f>VLOOKUP(D229,Total!$C$2:$D$518,2,0)</f>
        <v>11 TSM 3</v>
      </c>
      <c r="F229" s="65" t="str">
        <f>VLOOKUP(C229,Total!$B$2:$F$514,5,0)</f>
        <v>AKTIF</v>
      </c>
      <c r="G229" s="67" t="str">
        <f>VLOOKUP($B229,master!$B$3:$S$600,16,0)</f>
        <v>0895375752582</v>
      </c>
      <c r="H229" s="67" t="str">
        <f>VLOOKUP($B229,master!$B$3:$S$600,17,0)</f>
        <v>088232664895</v>
      </c>
      <c r="I229" s="67" t="str">
        <f>VLOOKUP($B229,master!$B$3:$S$600,8,0)</f>
        <v>Kadekrowo</v>
      </c>
      <c r="J229" s="67" t="str">
        <f>VLOOKUP($B229,master!$B$3:$S$600,9,0)</f>
        <v>05</v>
      </c>
      <c r="K229" s="67" t="str">
        <f>VLOOKUP($B229,master!$B$3:$S$600,11,0)</f>
        <v>GILANGHARJO</v>
      </c>
      <c r="L229" s="67" t="str">
        <f>VLOOKUP($B229,master!$B$3:$S$600,12,0)</f>
        <v>PANDAK</v>
      </c>
      <c r="M229" s="67" t="str">
        <f>VLOOKUP($B229,master!$B$3:$S$600,6,0)</f>
        <v>Subagya</v>
      </c>
      <c r="N229" s="82" t="str">
        <f>VLOOKUP($B229,master!$B$3:$S$600,15,0)</f>
        <v>SMP N 3 PANDAK</v>
      </c>
      <c r="O229" s="82" t="str">
        <f>VLOOKUP($B229,master!$B$3:$S$600,4,0)</f>
        <v>7-05-2007</v>
      </c>
    </row>
    <row r="230" spans="1:15" ht="15.75" customHeight="1" x14ac:dyDescent="0.25">
      <c r="A230" s="80" t="s">
        <v>1008</v>
      </c>
      <c r="B230" s="11" t="s">
        <v>993</v>
      </c>
      <c r="C230" s="11" t="s">
        <v>4921</v>
      </c>
      <c r="D230" s="11" t="s">
        <v>407</v>
      </c>
      <c r="E230" s="65" t="str">
        <f>VLOOKUP(D230,Total!$C$2:$D$518,2,0)</f>
        <v>11 TSM 3</v>
      </c>
      <c r="F230" s="65" t="str">
        <f>VLOOKUP(C230,Total!$B$2:$F$514,5,0)</f>
        <v>AKTIF</v>
      </c>
      <c r="G230" s="67" t="str">
        <f>VLOOKUP($B230,master!$B$3:$S$600,16,0)</f>
        <v>088237143915</v>
      </c>
      <c r="H230" s="67" t="str">
        <f>VLOOKUP($B230,master!$B$3:$S$600,17,0)</f>
        <v>0895363563902</v>
      </c>
      <c r="I230" s="67" t="str">
        <f>VLOOKUP($B230,master!$B$3:$S$600,8,0)</f>
        <v>BALAKAN</v>
      </c>
      <c r="J230" s="67" t="str">
        <f>VLOOKUP($B230,master!$B$3:$S$600,9,0)</f>
        <v>06</v>
      </c>
      <c r="K230" s="67" t="str">
        <f>VLOOKUP($B230,master!$B$3:$S$600,11,0)</f>
        <v>BALAKAN</v>
      </c>
      <c r="L230" s="67" t="str">
        <f>VLOOKUP($B230,master!$B$3:$S$600,12,0)</f>
        <v>JETIS</v>
      </c>
      <c r="M230" s="67" t="str">
        <f>VLOOKUP($B230,master!$B$3:$S$600,6,0)</f>
        <v>PARDI</v>
      </c>
      <c r="N230" s="82" t="str">
        <f>VLOOKUP($B230,master!$B$3:$S$600,15,0)</f>
        <v>SMP N 1JETIS</v>
      </c>
      <c r="O230" s="82" t="str">
        <f>VLOOKUP($B230,master!$B$3:$S$600,4,0)</f>
        <v>30-12-2007</v>
      </c>
    </row>
    <row r="231" spans="1:15" ht="15.75" customHeight="1" x14ac:dyDescent="0.25">
      <c r="A231" s="80" t="s">
        <v>1010</v>
      </c>
      <c r="B231" s="11" t="s">
        <v>995</v>
      </c>
      <c r="C231" s="11" t="s">
        <v>4922</v>
      </c>
      <c r="D231" s="11" t="s">
        <v>408</v>
      </c>
      <c r="E231" s="65" t="str">
        <f>VLOOKUP(D231,Total!$C$2:$D$518,2,0)</f>
        <v>11 TSM 4</v>
      </c>
      <c r="F231" s="65" t="str">
        <f>VLOOKUP(C231,Total!$B$2:$F$514,5,0)</f>
        <v>AKTIF</v>
      </c>
      <c r="G231" s="67" t="str">
        <f>VLOOKUP($B231,master!$B$3:$S$600,16,0)</f>
        <v>085786762293</v>
      </c>
      <c r="H231" s="67" t="str">
        <f>VLOOKUP($B231,master!$B$3:$S$600,17,0)</f>
        <v>085607440248</v>
      </c>
      <c r="I231" s="67" t="str">
        <f>VLOOKUP($B231,master!$B$3:$S$600,8,0)</f>
        <v>TAJEN PENI</v>
      </c>
      <c r="J231" s="67" t="str">
        <f>VLOOKUP($B231,master!$B$3:$S$600,9,0)</f>
        <v>8</v>
      </c>
      <c r="K231" s="67" t="str">
        <f>VLOOKUP($B231,master!$B$3:$S$600,11,0)</f>
        <v>PALBAPANG</v>
      </c>
      <c r="L231" s="67" t="str">
        <f>VLOOKUP($B231,master!$B$3:$S$600,12,0)</f>
        <v>BANTUL</v>
      </c>
      <c r="M231" s="67" t="str">
        <f>VLOOKUP($B231,master!$B$3:$S$600,6,0)</f>
        <v>MAWARDI</v>
      </c>
      <c r="N231" s="82" t="str">
        <f>VLOOKUP($B231,master!$B$3:$S$600,15,0)</f>
        <v>SMP N 3 BANTUL</v>
      </c>
      <c r="O231" s="82" t="str">
        <f>VLOOKUP($B231,master!$B$3:$S$600,4,0)</f>
        <v>30-09-2008</v>
      </c>
    </row>
    <row r="232" spans="1:15" ht="15.75" customHeight="1" x14ac:dyDescent="0.25">
      <c r="A232" s="80" t="s">
        <v>1012</v>
      </c>
      <c r="B232" s="11" t="s">
        <v>997</v>
      </c>
      <c r="C232" s="11" t="s">
        <v>4923</v>
      </c>
      <c r="D232" s="11" t="s">
        <v>409</v>
      </c>
      <c r="E232" s="65" t="str">
        <f>VLOOKUP(D232,Total!$C$2:$D$518,2,0)</f>
        <v>11 TSM 4</v>
      </c>
      <c r="F232" s="65" t="str">
        <f>VLOOKUP(C232,Total!$B$2:$F$514,5,0)</f>
        <v>KELUAR</v>
      </c>
      <c r="G232" s="67" t="str">
        <f>VLOOKUP($B232,master!$B$3:$S$600,16,0)</f>
        <v>083840373387</v>
      </c>
      <c r="H232" s="67" t="str">
        <f>VLOOKUP($B232,master!$B$3:$S$600,17,0)</f>
        <v>-</v>
      </c>
      <c r="I232" s="67" t="str">
        <f>VLOOKUP($B232,master!$B$3:$S$600,8,0)</f>
        <v>PASUTAN</v>
      </c>
      <c r="J232" s="67" t="str">
        <f>VLOOKUP($B232,master!$B$3:$S$600,9,0)</f>
        <v>2</v>
      </c>
      <c r="K232" s="67" t="str">
        <f>VLOOKUP($B232,master!$B$3:$S$600,11,0)</f>
        <v>TRIRENGGO</v>
      </c>
      <c r="L232" s="67" t="str">
        <f>VLOOKUP($B232,master!$B$3:$S$600,12,0)</f>
        <v>BANTUL</v>
      </c>
      <c r="M232" s="67" t="str">
        <f>VLOOKUP($B232,master!$B$3:$S$600,6,0)</f>
        <v>SONI SANJAYA / ANDRI KURNIYANTI</v>
      </c>
      <c r="N232" s="82" t="str">
        <f>VLOOKUP($B232,master!$B$3:$S$600,15,0)</f>
        <v>SMP PATRIA BANTUL</v>
      </c>
      <c r="O232" s="82" t="str">
        <f>VLOOKUP($B232,master!$B$3:$S$600,4,0)</f>
        <v>29-07-2008</v>
      </c>
    </row>
    <row r="233" spans="1:15" ht="15.75" customHeight="1" x14ac:dyDescent="0.25">
      <c r="A233" s="80" t="s">
        <v>1014</v>
      </c>
      <c r="B233" s="11" t="s">
        <v>999</v>
      </c>
      <c r="C233" s="11" t="s">
        <v>4924</v>
      </c>
      <c r="D233" s="11" t="s">
        <v>410</v>
      </c>
      <c r="E233" s="65" t="str">
        <f>VLOOKUP(D233,Total!$C$2:$D$518,2,0)</f>
        <v>11 TSM 4</v>
      </c>
      <c r="F233" s="65" t="str">
        <f>VLOOKUP(C233,Total!$B$2:$F$514,5,0)</f>
        <v>KELUAR</v>
      </c>
      <c r="G233" s="67" t="str">
        <f>VLOOKUP($B233,master!$B$3:$S$600,16,0)</f>
        <v>87817742974</v>
      </c>
      <c r="H233" s="67" t="str">
        <f>VLOOKUP($B233,master!$B$3:$S$600,17,0)</f>
        <v>0</v>
      </c>
      <c r="I233" s="67" t="str">
        <f>VLOOKUP($B233,master!$B$3:$S$600,8,0)</f>
        <v>BAJANG</v>
      </c>
      <c r="J233" s="67" t="str">
        <f>VLOOKUP($B233,master!$B$3:$S$600,9,0)</f>
        <v>1</v>
      </c>
      <c r="K233" s="67" t="str">
        <f>VLOOKUP($B233,master!$B$3:$S$600,11,0)</f>
        <v>WIJIREJO</v>
      </c>
      <c r="L233" s="67" t="str">
        <f>VLOOKUP($B233,master!$B$3:$S$600,12,0)</f>
        <v>PANDAK</v>
      </c>
      <c r="M233" s="67" t="str">
        <f>VLOOKUP($B233,master!$B$3:$S$600,6,0)</f>
        <v>HERU SUSILO</v>
      </c>
      <c r="N233" s="82" t="str">
        <f>VLOOKUP($B233,master!$B$3:$S$600,15,0)</f>
        <v>SMP AL-ISLAM KARTASURA</v>
      </c>
      <c r="O233" s="82" t="str">
        <f>VLOOKUP($B233,master!$B$3:$S$600,4,0)</f>
        <v>7-03-2008</v>
      </c>
    </row>
    <row r="234" spans="1:15" ht="15.75" customHeight="1" x14ac:dyDescent="0.25">
      <c r="A234" s="80" t="s">
        <v>1016</v>
      </c>
      <c r="B234" s="11" t="s">
        <v>1001</v>
      </c>
      <c r="C234" s="11" t="s">
        <v>4925</v>
      </c>
      <c r="D234" s="11" t="s">
        <v>411</v>
      </c>
      <c r="E234" s="65" t="str">
        <f>VLOOKUP(D234,Total!$C$2:$D$518,2,0)</f>
        <v>11 TSM 4</v>
      </c>
      <c r="F234" s="65" t="str">
        <f>VLOOKUP(C234,Total!$B$2:$F$514,5,0)</f>
        <v>AKTIF</v>
      </c>
      <c r="G234" s="67" t="str">
        <f>VLOOKUP($B234,master!$B$3:$S$600,16,0)</f>
        <v>081391871052</v>
      </c>
      <c r="H234" s="67" t="str">
        <f>VLOOKUP($B234,master!$B$3:$S$600,17,0)</f>
        <v>085742570376</v>
      </c>
      <c r="I234" s="67" t="str">
        <f>VLOOKUP($B234,master!$B$3:$S$600,8,0)</f>
        <v>SOROTOPO</v>
      </c>
      <c r="J234" s="67" t="str">
        <f>VLOOKUP($B234,master!$B$3:$S$600,9,0)</f>
        <v>003</v>
      </c>
      <c r="K234" s="67" t="str">
        <f>VLOOKUP($B234,master!$B$3:$S$600,11,0)</f>
        <v>SELOHARJO</v>
      </c>
      <c r="L234" s="67" t="str">
        <f>VLOOKUP($B234,master!$B$3:$S$600,12,0)</f>
        <v>PUNDONG</v>
      </c>
      <c r="M234" s="67" t="str">
        <f>VLOOKUP($B234,master!$B$3:$S$600,6,0)</f>
        <v>Paryoto/umi kiswariyah</v>
      </c>
      <c r="N234" s="82" t="str">
        <f>VLOOKUP($B234,master!$B$3:$S$600,15,0)</f>
        <v>SMP N 2 PUNDONG</v>
      </c>
      <c r="O234" s="82" t="str">
        <f>VLOOKUP($B234,master!$B$3:$S$600,4,0)</f>
        <v>11-03-2009</v>
      </c>
    </row>
    <row r="235" spans="1:15" ht="15.75" customHeight="1" x14ac:dyDescent="0.25">
      <c r="A235" s="80" t="s">
        <v>1018</v>
      </c>
      <c r="B235" s="11" t="s">
        <v>1003</v>
      </c>
      <c r="C235" s="11" t="s">
        <v>4926</v>
      </c>
      <c r="D235" s="11" t="s">
        <v>412</v>
      </c>
      <c r="E235" s="65" t="str">
        <f>VLOOKUP(D235,Total!$C$2:$D$518,2,0)</f>
        <v>11 TSM 4</v>
      </c>
      <c r="F235" s="65" t="str">
        <f>VLOOKUP(C235,Total!$B$2:$F$514,5,0)</f>
        <v>KELUAR</v>
      </c>
      <c r="G235" s="67" t="str">
        <f>VLOOKUP($B235,master!$B$3:$S$600,16,0)</f>
        <v>085692577008</v>
      </c>
      <c r="H235" s="67" t="str">
        <f>VLOOKUP($B235,master!$B$3:$S$600,17,0)</f>
        <v>088215915188</v>
      </c>
      <c r="I235" s="67" t="str">
        <f>VLOOKUP($B235,master!$B$3:$S$600,8,0)</f>
        <v>TRUKAN</v>
      </c>
      <c r="J235" s="67" t="str">
        <f>VLOOKUP($B235,master!$B$3:$S$600,9,0)</f>
        <v>0</v>
      </c>
      <c r="K235" s="67" t="str">
        <f>VLOOKUP($B235,master!$B$3:$S$600,11,0)</f>
        <v>SRIHARJO</v>
      </c>
      <c r="L235" s="67" t="str">
        <f>VLOOKUP($B235,master!$B$3:$S$600,12,0)</f>
        <v>IMOGIRI</v>
      </c>
      <c r="M235" s="67" t="str">
        <f>VLOOKUP($B235,master!$B$3:$S$600,6,0)</f>
        <v>PARTINEM</v>
      </c>
      <c r="N235" s="82" t="str">
        <f>VLOOKUP($B235,master!$B$3:$S$600,15,0)</f>
        <v>SMP MA'ARIF IMOGIRI</v>
      </c>
      <c r="O235" s="82" t="str">
        <f>VLOOKUP($B235,master!$B$3:$S$600,4,0)</f>
        <v>8-06-2007</v>
      </c>
    </row>
    <row r="236" spans="1:15" ht="15.75" customHeight="1" x14ac:dyDescent="0.25">
      <c r="A236" s="80" t="s">
        <v>1020</v>
      </c>
      <c r="B236" s="11" t="s">
        <v>1005</v>
      </c>
      <c r="C236" s="11" t="s">
        <v>4927</v>
      </c>
      <c r="D236" s="11" t="s">
        <v>413</v>
      </c>
      <c r="E236" s="65" t="str">
        <f>VLOOKUP(D236,Total!$C$2:$D$518,2,0)</f>
        <v>11 TSM 4</v>
      </c>
      <c r="F236" s="65" t="str">
        <f>VLOOKUP(C236,Total!$B$2:$F$514,5,0)</f>
        <v>AKTIF</v>
      </c>
      <c r="G236" s="67" t="str">
        <f>VLOOKUP($B236,master!$B$3:$S$600,16,0)</f>
        <v>085800353351</v>
      </c>
      <c r="H236" s="67" t="str">
        <f>VLOOKUP($B236,master!$B$3:$S$600,17,0)</f>
        <v>083147481122</v>
      </c>
      <c r="I236" s="67" t="str">
        <f>VLOOKUP($B236,master!$B$3:$S$600,8,0)</f>
        <v>DALEMAN</v>
      </c>
      <c r="J236" s="67" t="str">
        <f>VLOOKUP($B236,master!$B$3:$S$600,9,0)</f>
        <v>3</v>
      </c>
      <c r="K236" s="67" t="str">
        <f>VLOOKUP($B236,master!$B$3:$S$600,11,0)</f>
        <v>GILANGHARJO</v>
      </c>
      <c r="L236" s="67" t="str">
        <f>VLOOKUP($B236,master!$B$3:$S$600,12,0)</f>
        <v>PANDAK</v>
      </c>
      <c r="M236" s="67" t="str">
        <f>VLOOKUP($B236,master!$B$3:$S$600,6,0)</f>
        <v>SUNARDI</v>
      </c>
      <c r="N236" s="82" t="str">
        <f>VLOOKUP($B236,master!$B$3:$S$600,15,0)</f>
        <v>SMP N 1 PANDAK</v>
      </c>
      <c r="O236" s="82" t="str">
        <f>VLOOKUP($B236,master!$B$3:$S$600,4,0)</f>
        <v>11-01-2009</v>
      </c>
    </row>
    <row r="237" spans="1:15" ht="15.75" customHeight="1" x14ac:dyDescent="0.25">
      <c r="A237" s="80" t="s">
        <v>1022</v>
      </c>
      <c r="B237" s="11" t="s">
        <v>1007</v>
      </c>
      <c r="C237" s="11" t="s">
        <v>4928</v>
      </c>
      <c r="D237" s="11" t="s">
        <v>414</v>
      </c>
      <c r="E237" s="65" t="str">
        <f>VLOOKUP(D237,Total!$C$2:$D$518,2,0)</f>
        <v>11 TSM 4</v>
      </c>
      <c r="F237" s="65" t="str">
        <f>VLOOKUP(C237,Total!$B$2:$F$514,5,0)</f>
        <v>AKTIF</v>
      </c>
      <c r="G237" s="67" t="str">
        <f>VLOOKUP($B237,master!$B$3:$S$600,16,0)</f>
        <v>081284747455</v>
      </c>
      <c r="H237" s="67" t="str">
        <f>VLOOKUP($B237,master!$B$3:$S$600,17,0)</f>
        <v>085869003469</v>
      </c>
      <c r="I237" s="67" t="str">
        <f>VLOOKUP($B237,master!$B$3:$S$600,8,0)</f>
        <v>DUKUHAN</v>
      </c>
      <c r="J237" s="67" t="str">
        <f>VLOOKUP($B237,master!$B$3:$S$600,9,0)</f>
        <v>008</v>
      </c>
      <c r="K237" s="67" t="str">
        <f>VLOOKUP($B237,master!$B$3:$S$600,11,0)</f>
        <v>TIMBULHARJO</v>
      </c>
      <c r="L237" s="67" t="str">
        <f>VLOOKUP($B237,master!$B$3:$S$600,12,0)</f>
        <v>SEWON</v>
      </c>
      <c r="M237" s="67" t="str">
        <f>VLOOKUP($B237,master!$B$3:$S$600,6,0)</f>
        <v>susila wibawa</v>
      </c>
      <c r="N237" s="82" t="str">
        <f>VLOOKUP($B237,master!$B$3:$S$600,15,0)</f>
        <v>SMP AL MA'ARIF BANTUL</v>
      </c>
      <c r="O237" s="82" t="str">
        <f>VLOOKUP($B237,master!$B$3:$S$600,4,0)</f>
        <v>20-03-2008</v>
      </c>
    </row>
    <row r="238" spans="1:15" ht="15.75" customHeight="1" x14ac:dyDescent="0.25">
      <c r="A238" s="80" t="s">
        <v>1024</v>
      </c>
      <c r="B238" s="11" t="s">
        <v>1009</v>
      </c>
      <c r="C238" s="11" t="s">
        <v>4929</v>
      </c>
      <c r="D238" s="11" t="s">
        <v>415</v>
      </c>
      <c r="E238" s="65" t="str">
        <f>VLOOKUP(D238,Total!$C$2:$D$518,2,0)</f>
        <v>11 TSM 4</v>
      </c>
      <c r="F238" s="65" t="str">
        <f>VLOOKUP(C238,Total!$B$2:$F$514,5,0)</f>
        <v>AKTIF</v>
      </c>
      <c r="G238" s="67" t="str">
        <f>VLOOKUP($B238,master!$B$3:$S$600,16,0)</f>
        <v>087836428929</v>
      </c>
      <c r="H238" s="67" t="str">
        <f>VLOOKUP($B238,master!$B$3:$S$600,17,0)</f>
        <v>085964420899</v>
      </c>
      <c r="I238" s="67" t="str">
        <f>VLOOKUP($B238,master!$B$3:$S$600,8,0)</f>
        <v>DONGKELAN</v>
      </c>
      <c r="J238" s="67" t="str">
        <f>VLOOKUP($B238,master!$B$3:$S$600,9,0)</f>
        <v>02</v>
      </c>
      <c r="K238" s="67" t="str">
        <f>VLOOKUP($B238,master!$B$3:$S$600,11,0)</f>
        <v>PANGGUNGHARJO</v>
      </c>
      <c r="L238" s="67" t="str">
        <f>VLOOKUP($B238,master!$B$3:$S$600,12,0)</f>
        <v>SEWON</v>
      </c>
      <c r="M238" s="67" t="str">
        <f>VLOOKUP($B238,master!$B$3:$S$600,6,0)</f>
        <v>SUGENG RAHARJO</v>
      </c>
      <c r="N238" s="82" t="str">
        <f>VLOOKUP($B238,master!$B$3:$S$600,15,0)</f>
        <v>SMP MUHAMMADIYAH SEWON</v>
      </c>
      <c r="O238" s="82" t="str">
        <f>VLOOKUP($B238,master!$B$3:$S$600,4,0)</f>
        <v>16-01-2009</v>
      </c>
    </row>
    <row r="239" spans="1:15" ht="15.75" customHeight="1" x14ac:dyDescent="0.25">
      <c r="A239" s="80" t="s">
        <v>1026</v>
      </c>
      <c r="B239" s="11" t="s">
        <v>1011</v>
      </c>
      <c r="C239" s="11" t="s">
        <v>4930</v>
      </c>
      <c r="D239" s="11" t="s">
        <v>416</v>
      </c>
      <c r="E239" s="65" t="str">
        <f>VLOOKUP(D239,Total!$C$2:$D$518,2,0)</f>
        <v>11 TSM 4</v>
      </c>
      <c r="F239" s="65" t="str">
        <f>VLOOKUP(C239,Total!$B$2:$F$514,5,0)</f>
        <v>KELUAR</v>
      </c>
      <c r="G239" s="67" t="str">
        <f>VLOOKUP($B239,master!$B$3:$S$600,16,0)</f>
        <v>085102518281</v>
      </c>
      <c r="H239" s="67" t="str">
        <f>VLOOKUP($B239,master!$B$3:$S$600,17,0)</f>
        <v>-</v>
      </c>
      <c r="I239" s="67" t="str">
        <f>VLOOKUP($B239,master!$B$3:$S$600,8,0)</f>
        <v>BONGOS II</v>
      </c>
      <c r="J239" s="67" t="str">
        <f>VLOOKUP($B239,master!$B$3:$S$600,9,0)</f>
        <v>2</v>
      </c>
      <c r="K239" s="67" t="str">
        <f>VLOOKUP($B239,master!$B$3:$S$600,11,0)</f>
        <v>GADINGSARI</v>
      </c>
      <c r="L239" s="67" t="str">
        <f>VLOOKUP($B239,master!$B$3:$S$600,12,0)</f>
        <v>SANDEN</v>
      </c>
      <c r="M239" s="67" t="str">
        <f>VLOOKUP($B239,master!$B$3:$S$600,6,0)</f>
        <v>SUHARJANA</v>
      </c>
      <c r="N239" s="82" t="str">
        <f>VLOOKUP($B239,master!$B$3:$S$600,15,0)</f>
        <v>SMP N 2 SANDEN</v>
      </c>
      <c r="O239" s="82" t="str">
        <f>VLOOKUP($B239,master!$B$3:$S$600,4,0)</f>
        <v>26-07-2008</v>
      </c>
    </row>
    <row r="240" spans="1:15" ht="15.75" customHeight="1" x14ac:dyDescent="0.25">
      <c r="A240" s="80" t="s">
        <v>1028</v>
      </c>
      <c r="B240" s="11" t="s">
        <v>1013</v>
      </c>
      <c r="C240" s="11" t="s">
        <v>4931</v>
      </c>
      <c r="D240" s="11" t="s">
        <v>417</v>
      </c>
      <c r="E240" s="65" t="str">
        <f>VLOOKUP(D240,Total!$C$2:$D$518,2,0)</f>
        <v>11 TSM 4</v>
      </c>
      <c r="F240" s="65" t="str">
        <f>VLOOKUP(C240,Total!$B$2:$F$514,5,0)</f>
        <v>AKTIF</v>
      </c>
      <c r="G240" s="67" t="str">
        <f>VLOOKUP($B240,master!$B$3:$S$600,16,0)</f>
        <v>087839018033</v>
      </c>
      <c r="H240" s="67" t="str">
        <f>VLOOKUP($B240,master!$B$3:$S$600,17,0)</f>
        <v>-</v>
      </c>
      <c r="I240" s="67" t="str">
        <f>VLOOKUP($B240,master!$B$3:$S$600,8,0)</f>
        <v>BAJANG</v>
      </c>
      <c r="J240" s="67" t="str">
        <f>VLOOKUP($B240,master!$B$3:$S$600,9,0)</f>
        <v>1</v>
      </c>
      <c r="K240" s="67" t="str">
        <f>VLOOKUP($B240,master!$B$3:$S$600,11,0)</f>
        <v>GILANGHARJO</v>
      </c>
      <c r="L240" s="67" t="str">
        <f>VLOOKUP($B240,master!$B$3:$S$600,12,0)</f>
        <v>PANDAK</v>
      </c>
      <c r="M240" s="67" t="str">
        <f>VLOOKUP($B240,master!$B$3:$S$600,6,0)</f>
        <v>ROBI KISWANTO</v>
      </c>
      <c r="N240" s="82" t="str">
        <f>VLOOKUP($B240,master!$B$3:$S$600,15,0)</f>
        <v>SMP N 3 PANDAK</v>
      </c>
      <c r="O240" s="82" t="str">
        <f>VLOOKUP($B240,master!$B$3:$S$600,4,0)</f>
        <v>8-02-2009</v>
      </c>
    </row>
    <row r="241" spans="1:15" ht="15.75" customHeight="1" x14ac:dyDescent="0.25">
      <c r="A241" s="80" t="s">
        <v>1030</v>
      </c>
      <c r="B241" s="11" t="s">
        <v>1015</v>
      </c>
      <c r="C241" s="11" t="s">
        <v>4932</v>
      </c>
      <c r="D241" s="11" t="s">
        <v>418</v>
      </c>
      <c r="E241" s="65" t="str">
        <f>VLOOKUP(D241,Total!$C$2:$D$518,2,0)</f>
        <v>11 TSM 4</v>
      </c>
      <c r="F241" s="65" t="str">
        <f>VLOOKUP(C241,Total!$B$2:$F$514,5,0)</f>
        <v>AKTIF</v>
      </c>
      <c r="G241" s="67" t="str">
        <f>VLOOKUP($B241,master!$B$3:$S$600,16,0)</f>
        <v>87838556067</v>
      </c>
      <c r="H241" s="67" t="str">
        <f>VLOOKUP($B241,master!$B$3:$S$600,17,0)</f>
        <v>0</v>
      </c>
      <c r="I241" s="67" t="str">
        <f>VLOOKUP($B241,master!$B$3:$S$600,8,0)</f>
        <v>BANGI</v>
      </c>
      <c r="J241" s="67" t="str">
        <f>VLOOKUP($B241,master!$B$3:$S$600,9,0)</f>
        <v>1</v>
      </c>
      <c r="K241" s="67" t="str">
        <f>VLOOKUP($B241,master!$B$3:$S$600,11,0)</f>
        <v>TIMBULHARJO</v>
      </c>
      <c r="L241" s="67" t="str">
        <f>VLOOKUP($B241,master!$B$3:$S$600,12,0)</f>
        <v>SEWON</v>
      </c>
      <c r="M241" s="67" t="str">
        <f>VLOOKUP($B241,master!$B$3:$S$600,6,0)</f>
        <v>HARWANTA</v>
      </c>
      <c r="N241" s="82" t="str">
        <f>VLOOKUP($B241,master!$B$3:$S$600,15,0)</f>
        <v>SMP N 1 SEWON</v>
      </c>
      <c r="O241" s="82" t="str">
        <f>VLOOKUP($B241,master!$B$3:$S$600,4,0)</f>
        <v>7-01-2009</v>
      </c>
    </row>
    <row r="242" spans="1:15" ht="15.75" customHeight="1" x14ac:dyDescent="0.25">
      <c r="A242" s="80" t="s">
        <v>1032</v>
      </c>
      <c r="B242" s="11" t="s">
        <v>1017</v>
      </c>
      <c r="C242" s="11" t="s">
        <v>4933</v>
      </c>
      <c r="D242" s="11" t="s">
        <v>419</v>
      </c>
      <c r="E242" s="65" t="str">
        <f>VLOOKUP(D242,Total!$C$2:$D$518,2,0)</f>
        <v>11 TSM 4</v>
      </c>
      <c r="F242" s="65" t="str">
        <f>VLOOKUP(C242,Total!$B$2:$F$514,5,0)</f>
        <v>AKTIF</v>
      </c>
      <c r="G242" s="67" t="str">
        <f>VLOOKUP($B242,master!$B$3:$S$600,16,0)</f>
        <v>08112635121</v>
      </c>
      <c r="H242" s="67" t="str">
        <f>VLOOKUP($B242,master!$B$3:$S$600,17,0)</f>
        <v>082220944825</v>
      </c>
      <c r="I242" s="67" t="str">
        <f>VLOOKUP($B242,master!$B$3:$S$600,8,0)</f>
        <v>BEJEN</v>
      </c>
      <c r="J242" s="67" t="str">
        <f>VLOOKUP($B242,master!$B$3:$S$600,9,0)</f>
        <v>04</v>
      </c>
      <c r="K242" s="67" t="str">
        <f>VLOOKUP($B242,master!$B$3:$S$600,11,0)</f>
        <v>BANTUL</v>
      </c>
      <c r="L242" s="67" t="str">
        <f>VLOOKUP($B242,master!$B$3:$S$600,12,0)</f>
        <v>BANTUL</v>
      </c>
      <c r="M242" s="67" t="str">
        <f>VLOOKUP($B242,master!$B$3:$S$600,6,0)</f>
        <v>SEPTIANA DEWI</v>
      </c>
      <c r="N242" s="82" t="str">
        <f>VLOOKUP($B242,master!$B$3:$S$600,15,0)</f>
        <v>SMP UNGGULAN AISYIYAH</v>
      </c>
      <c r="O242" s="82" t="str">
        <f>VLOOKUP($B242,master!$B$3:$S$600,4,0)</f>
        <v>17-03-2009</v>
      </c>
    </row>
    <row r="243" spans="1:15" ht="15.75" customHeight="1" x14ac:dyDescent="0.25">
      <c r="A243" s="80" t="s">
        <v>1034</v>
      </c>
      <c r="B243" s="11" t="s">
        <v>1019</v>
      </c>
      <c r="C243" s="11" t="s">
        <v>4934</v>
      </c>
      <c r="D243" s="11" t="s">
        <v>420</v>
      </c>
      <c r="E243" s="65" t="str">
        <f>VLOOKUP(D243,Total!$C$2:$D$518,2,0)</f>
        <v>11 TSM 3</v>
      </c>
      <c r="F243" s="65" t="str">
        <f>VLOOKUP(C243,Total!$B$2:$F$514,5,0)</f>
        <v>AKTIF</v>
      </c>
      <c r="G243" s="67" t="str">
        <f>VLOOKUP($B243,master!$B$3:$S$600,16,0)</f>
        <v>089945555521</v>
      </c>
      <c r="H243" s="67" t="str">
        <f>VLOOKUP($B243,master!$B$3:$S$600,17,0)</f>
        <v>08997462404</v>
      </c>
      <c r="I243" s="67" t="str">
        <f>VLOOKUP($B243,master!$B$3:$S$600,8,0)</f>
        <v>JETIS</v>
      </c>
      <c r="J243" s="67" t="str">
        <f>VLOOKUP($B243,master!$B$3:$S$600,9,0)</f>
        <v>021</v>
      </c>
      <c r="K243" s="67" t="str">
        <f>VLOOKUP($B243,master!$B$3:$S$600,11,0)</f>
        <v>PATALAN</v>
      </c>
      <c r="L243" s="67" t="str">
        <f>VLOOKUP($B243,master!$B$3:$S$600,12,0)</f>
        <v>JETIS</v>
      </c>
      <c r="M243" s="67" t="str">
        <f>VLOOKUP($B243,master!$B$3:$S$600,6,0)</f>
        <v>KLIMAN</v>
      </c>
      <c r="N243" s="82" t="str">
        <f>VLOOKUP($B243,master!$B$3:$S$600,15,0)</f>
        <v>SMP N 3 JETIS</v>
      </c>
      <c r="O243" s="82" t="str">
        <f>VLOOKUP($B243,master!$B$3:$S$600,4,0)</f>
        <v>23-05-2009</v>
      </c>
    </row>
    <row r="244" spans="1:15" ht="15.75" customHeight="1" x14ac:dyDescent="0.25">
      <c r="A244" s="80" t="s">
        <v>1036</v>
      </c>
      <c r="B244" s="11" t="s">
        <v>1021</v>
      </c>
      <c r="C244" s="11" t="s">
        <v>4935</v>
      </c>
      <c r="D244" s="11" t="s">
        <v>421</v>
      </c>
      <c r="E244" s="65" t="str">
        <f>VLOOKUP(D244,Total!$C$2:$D$518,2,0)</f>
        <v>11 TSM 4</v>
      </c>
      <c r="F244" s="65" t="str">
        <f>VLOOKUP(C244,Total!$B$2:$F$514,5,0)</f>
        <v>KELUAR</v>
      </c>
      <c r="G244" s="67" t="str">
        <f>VLOOKUP($B244,master!$B$3:$S$600,16,0)</f>
        <v>082327930700</v>
      </c>
      <c r="H244" s="67" t="str">
        <f>VLOOKUP($B244,master!$B$3:$S$600,17,0)</f>
        <v>0895403430205</v>
      </c>
      <c r="I244" s="67" t="str">
        <f>VLOOKUP($B244,master!$B$3:$S$600,8,0)</f>
        <v>KRANDOHAN</v>
      </c>
      <c r="J244" s="67" t="str">
        <f>VLOOKUP($B244,master!$B$3:$S$600,9,0)</f>
        <v>019</v>
      </c>
      <c r="K244" s="67" t="str">
        <f>VLOOKUP($B244,master!$B$3:$S$600,11,0)</f>
        <v>PENDOWOHARJO</v>
      </c>
      <c r="L244" s="67" t="str">
        <f>VLOOKUP($B244,master!$B$3:$S$600,12,0)</f>
        <v>SEWON</v>
      </c>
      <c r="M244" s="67" t="str">
        <f>VLOOKUP($B244,master!$B$3:$S$600,6,0)</f>
        <v>Muhammad fuad</v>
      </c>
      <c r="N244" s="82" t="str">
        <f>VLOOKUP($B244,master!$B$3:$S$600,15,0)</f>
        <v>MTs N 6 BANTUL</v>
      </c>
      <c r="O244" s="82" t="str">
        <f>VLOOKUP($B244,master!$B$3:$S$600,4,0)</f>
        <v>28-05-2009</v>
      </c>
    </row>
    <row r="245" spans="1:15" ht="15.75" customHeight="1" x14ac:dyDescent="0.25">
      <c r="A245" s="80" t="s">
        <v>1038</v>
      </c>
      <c r="B245" s="11" t="s">
        <v>1023</v>
      </c>
      <c r="C245" s="11" t="s">
        <v>4936</v>
      </c>
      <c r="D245" s="11" t="s">
        <v>422</v>
      </c>
      <c r="E245" s="65" t="str">
        <f>VLOOKUP(D245,Total!$C$2:$D$518,2,0)</f>
        <v>11 TSM 4</v>
      </c>
      <c r="F245" s="65" t="str">
        <f>VLOOKUP(C245,Total!$B$2:$F$514,5,0)</f>
        <v>KELUAR</v>
      </c>
      <c r="G245" s="67" t="str">
        <f>VLOOKUP($B245,master!$B$3:$S$600,16,0)</f>
        <v>087838895654</v>
      </c>
      <c r="H245" s="67" t="str">
        <f>VLOOKUP($B245,master!$B$3:$S$600,17,0)</f>
        <v>081228212607</v>
      </c>
      <c r="I245" s="67" t="str">
        <f>VLOOKUP($B245,master!$B$3:$S$600,8,0)</f>
        <v>KRESEN</v>
      </c>
      <c r="J245" s="67" t="str">
        <f>VLOOKUP($B245,master!$B$3:$S$600,9,0)</f>
        <v>6</v>
      </c>
      <c r="K245" s="67" t="str">
        <f>VLOOKUP($B245,master!$B$3:$S$600,11,0)</f>
        <v>BANTUL</v>
      </c>
      <c r="L245" s="67" t="str">
        <f>VLOOKUP($B245,master!$B$3:$S$600,12,0)</f>
        <v>BANTUL</v>
      </c>
      <c r="M245" s="67" t="str">
        <f>VLOOKUP($B245,master!$B$3:$S$600,6,0)</f>
        <v>ANTON SUKIRNO</v>
      </c>
      <c r="N245" s="82" t="str">
        <f>VLOOKUP($B245,master!$B$3:$S$600,15,0)</f>
        <v>MTS N 4 BANTUL</v>
      </c>
      <c r="O245" s="82" t="str">
        <f>VLOOKUP($B245,master!$B$3:$S$600,4,0)</f>
        <v>16-09-2008</v>
      </c>
    </row>
    <row r="246" spans="1:15" ht="15.75" customHeight="1" x14ac:dyDescent="0.25">
      <c r="A246" s="80" t="s">
        <v>1040</v>
      </c>
      <c r="B246" s="11" t="s">
        <v>1025</v>
      </c>
      <c r="C246" s="11" t="s">
        <v>4937</v>
      </c>
      <c r="D246" s="11" t="s">
        <v>423</v>
      </c>
      <c r="E246" s="65" t="str">
        <f>VLOOKUP(D246,Total!$C$2:$D$518,2,0)</f>
        <v>11 TSM 4</v>
      </c>
      <c r="F246" s="65" t="str">
        <f>VLOOKUP(C246,Total!$B$2:$F$514,5,0)</f>
        <v>KELUAR</v>
      </c>
      <c r="G246" s="67" t="str">
        <f>VLOOKUP($B246,master!$B$3:$S$600,16,0)</f>
        <v>085225888023</v>
      </c>
      <c r="H246" s="67" t="str">
        <f>VLOOKUP($B246,master!$B$3:$S$600,17,0)</f>
        <v>0895806402914</v>
      </c>
      <c r="I246" s="67" t="str">
        <f>VLOOKUP($B246,master!$B$3:$S$600,8,0)</f>
        <v>BIBIS</v>
      </c>
      <c r="J246" s="67" t="str">
        <f>VLOOKUP($B246,master!$B$3:$S$600,9,0)</f>
        <v>1</v>
      </c>
      <c r="K246" s="67" t="str">
        <f>VLOOKUP($B246,master!$B$3:$S$600,11,0)</f>
        <v>BANGUNJIWO</v>
      </c>
      <c r="L246" s="67" t="str">
        <f>VLOOKUP($B246,master!$B$3:$S$600,12,0)</f>
        <v>KASIHAN</v>
      </c>
      <c r="M246" s="67" t="str">
        <f>VLOOKUP($B246,master!$B$3:$S$600,6,0)</f>
        <v>JUMIATI</v>
      </c>
      <c r="N246" s="82" t="str">
        <f>VLOOKUP($B246,master!$B$3:$S$600,15,0)</f>
        <v>MTS AL-HADI II</v>
      </c>
      <c r="O246" s="82" t="str">
        <f>VLOOKUP($B246,master!$B$3:$S$600,4,0)</f>
        <v>21-05-2006</v>
      </c>
    </row>
    <row r="247" spans="1:15" ht="15.75" customHeight="1" x14ac:dyDescent="0.25">
      <c r="A247" s="80" t="s">
        <v>1042</v>
      </c>
      <c r="B247" s="11" t="s">
        <v>1027</v>
      </c>
      <c r="C247" s="11" t="s">
        <v>4938</v>
      </c>
      <c r="D247" s="11" t="s">
        <v>424</v>
      </c>
      <c r="E247" s="65" t="str">
        <f>VLOOKUP(D247,Total!$C$2:$D$518,2,0)</f>
        <v>11 TSM 4</v>
      </c>
      <c r="F247" s="65" t="str">
        <f>VLOOKUP(C247,Total!$B$2:$F$514,5,0)</f>
        <v>AKTIF</v>
      </c>
      <c r="G247" s="67" t="str">
        <f>VLOOKUP($B247,master!$B$3:$S$600,16,0)</f>
        <v>089523846622</v>
      </c>
      <c r="H247" s="67" t="str">
        <f>VLOOKUP($B247,master!$B$3:$S$600,17,0)</f>
        <v>0895339276884</v>
      </c>
      <c r="I247" s="67" t="str">
        <f>VLOOKUP($B247,master!$B$3:$S$600,8,0)</f>
        <v>PULE KERTAN</v>
      </c>
      <c r="J247" s="67" t="str">
        <f>VLOOKUP($B247,master!$B$3:$S$600,9,0)</f>
        <v>4</v>
      </c>
      <c r="K247" s="67" t="str">
        <f>VLOOKUP($B247,master!$B$3:$S$600,11,0)</f>
        <v>SUMBERAGUNG</v>
      </c>
      <c r="L247" s="67" t="str">
        <f>VLOOKUP($B247,master!$B$3:$S$600,12,0)</f>
        <v>JETIS</v>
      </c>
      <c r="M247" s="67" t="str">
        <f>VLOOKUP($B247,master!$B$3:$S$600,6,0)</f>
        <v>SARYANTA</v>
      </c>
      <c r="N247" s="82" t="str">
        <f>VLOOKUP($B247,master!$B$3:$S$600,15,0)</f>
        <v>SMP MUHAMMADIYAH JETIS</v>
      </c>
      <c r="O247" s="82" t="str">
        <f>VLOOKUP($B247,master!$B$3:$S$600,4,0)</f>
        <v>1-07-2009</v>
      </c>
    </row>
    <row r="248" spans="1:15" ht="15.75" customHeight="1" x14ac:dyDescent="0.25">
      <c r="A248" s="80" t="s">
        <v>1044</v>
      </c>
      <c r="B248" s="11" t="s">
        <v>1029</v>
      </c>
      <c r="C248" s="11" t="s">
        <v>4939</v>
      </c>
      <c r="D248" s="11" t="s">
        <v>425</v>
      </c>
      <c r="E248" s="65" t="str">
        <f>VLOOKUP(D248,Total!$C$2:$D$518,2,0)</f>
        <v>11 TSM 4</v>
      </c>
      <c r="F248" s="65" t="str">
        <f>VLOOKUP(C248,Total!$B$2:$F$514,5,0)</f>
        <v>AKTIF</v>
      </c>
      <c r="G248" s="67" t="str">
        <f>VLOOKUP($B248,master!$B$3:$S$600,16,0)</f>
        <v>08999165910</v>
      </c>
      <c r="H248" s="67" t="str">
        <f>VLOOKUP($B248,master!$B$3:$S$600,17,0)</f>
        <v>08999165910</v>
      </c>
      <c r="I248" s="67" t="str">
        <f>VLOOKUP($B248,master!$B$3:$S$600,8,0)</f>
        <v>CEGOKAN</v>
      </c>
      <c r="J248" s="67" t="str">
        <f>VLOOKUP($B248,master!$B$3:$S$600,9,0)</f>
        <v>002</v>
      </c>
      <c r="K248" s="67" t="str">
        <f>VLOOKUP($B248,master!$B$3:$S$600,11,0)</f>
        <v>WONOLELO</v>
      </c>
      <c r="L248" s="67" t="str">
        <f>VLOOKUP($B248,master!$B$3:$S$600,12,0)</f>
        <v>PLERET</v>
      </c>
      <c r="M248" s="67" t="str">
        <f>VLOOKUP($B248,master!$B$3:$S$600,6,0)</f>
        <v>SUJADi</v>
      </c>
      <c r="N248" s="82" t="str">
        <f>VLOOKUP($B248,master!$B$3:$S$600,15,0)</f>
        <v>SMP N 2 PLERET</v>
      </c>
      <c r="O248" s="82" t="str">
        <f>VLOOKUP($B248,master!$B$3:$S$600,4,0)</f>
        <v>30-04-2008</v>
      </c>
    </row>
    <row r="249" spans="1:15" ht="15.75" customHeight="1" x14ac:dyDescent="0.25">
      <c r="A249" s="80" t="s">
        <v>1046</v>
      </c>
      <c r="B249" s="11" t="s">
        <v>1031</v>
      </c>
      <c r="C249" s="11" t="s">
        <v>4940</v>
      </c>
      <c r="D249" s="11" t="s">
        <v>426</v>
      </c>
      <c r="E249" s="65" t="str">
        <f>VLOOKUP(D249,Total!$C$2:$D$518,2,0)</f>
        <v>11 TSM 4</v>
      </c>
      <c r="F249" s="65" t="str">
        <f>VLOOKUP(C249,Total!$B$2:$F$514,5,0)</f>
        <v>AKTIF</v>
      </c>
      <c r="G249" s="67" t="str">
        <f>VLOOKUP($B249,master!$B$3:$S$600,16,0)</f>
        <v>081329650694</v>
      </c>
      <c r="H249" s="67" t="str">
        <f>VLOOKUP($B249,master!$B$3:$S$600,17,0)</f>
        <v>089526717873</v>
      </c>
      <c r="I249" s="67" t="str">
        <f>VLOOKUP($B249,master!$B$3:$S$600,8,0)</f>
        <v>GESIKAN IV</v>
      </c>
      <c r="J249" s="67" t="str">
        <f>VLOOKUP($B249,master!$B$3:$S$600,9,0)</f>
        <v>3</v>
      </c>
      <c r="K249" s="67" t="str">
        <f>VLOOKUP($B249,master!$B$3:$S$600,11,0)</f>
        <v>WIJIREJO</v>
      </c>
      <c r="L249" s="67" t="str">
        <f>VLOOKUP($B249,master!$B$3:$S$600,12,0)</f>
        <v>PANDAK</v>
      </c>
      <c r="M249" s="67" t="str">
        <f>VLOOKUP($B249,master!$B$3:$S$600,6,0)</f>
        <v>NUR ROHMAH MAYASARI</v>
      </c>
      <c r="N249" s="82" t="str">
        <f>VLOOKUP($B249,master!$B$3:$S$600,15,0)</f>
        <v>SMP N 1 PANDAK</v>
      </c>
      <c r="O249" s="82" t="str">
        <f>VLOOKUP($B249,master!$B$3:$S$600,4,0)</f>
        <v>17-04-2009</v>
      </c>
    </row>
    <row r="250" spans="1:15" ht="15.75" customHeight="1" x14ac:dyDescent="0.25">
      <c r="A250" s="80" t="s">
        <v>1048</v>
      </c>
      <c r="B250" s="11" t="s">
        <v>1033</v>
      </c>
      <c r="C250" s="11" t="s">
        <v>4941</v>
      </c>
      <c r="D250" s="11" t="s">
        <v>427</v>
      </c>
      <c r="E250" s="65" t="str">
        <f>VLOOKUP(D250,Total!$C$2:$D$518,2,0)</f>
        <v>11 TSM 4</v>
      </c>
      <c r="F250" s="65" t="str">
        <f>VLOOKUP(C250,Total!$B$2:$F$514,5,0)</f>
        <v>KELUAR</v>
      </c>
      <c r="G250" s="67" t="str">
        <f>VLOOKUP($B250,master!$B$3:$S$600,16,0)</f>
        <v>085842094320</v>
      </c>
      <c r="H250" s="67" t="str">
        <f>VLOOKUP($B250,master!$B$3:$S$600,17,0)</f>
        <v>-</v>
      </c>
      <c r="I250" s="67" t="str">
        <f>VLOOKUP($B250,master!$B$3:$S$600,8,0)</f>
        <v>CABEYAN</v>
      </c>
      <c r="J250" s="67" t="str">
        <f>VLOOKUP($B250,master!$B$3:$S$600,9,0)</f>
        <v>4</v>
      </c>
      <c r="K250" s="67" t="str">
        <f>VLOOKUP($B250,master!$B$3:$S$600,11,0)</f>
        <v>PANGGUNGHARJO</v>
      </c>
      <c r="L250" s="67" t="str">
        <f>VLOOKUP($B250,master!$B$3:$S$600,12,0)</f>
        <v>SEWON</v>
      </c>
      <c r="M250" s="67" t="str">
        <f>VLOOKUP($B250,master!$B$3:$S$600,6,0)</f>
        <v>WAGIMAN</v>
      </c>
      <c r="N250" s="82" t="str">
        <f>VLOOKUP($B250,master!$B$3:$S$600,15,0)</f>
        <v>SMP N 1 SEWON</v>
      </c>
      <c r="O250" s="82" t="str">
        <f>VLOOKUP($B250,master!$B$3:$S$600,4,0)</f>
        <v>18-01-2008</v>
      </c>
    </row>
    <row r="251" spans="1:15" ht="15.75" customHeight="1" x14ac:dyDescent="0.25">
      <c r="A251" s="80" t="s">
        <v>1050</v>
      </c>
      <c r="B251" s="11" t="s">
        <v>1035</v>
      </c>
      <c r="C251" s="11" t="s">
        <v>4942</v>
      </c>
      <c r="D251" s="11" t="s">
        <v>428</v>
      </c>
      <c r="E251" s="65" t="str">
        <f>VLOOKUP(D251,Total!$C$2:$D$518,2,0)</f>
        <v>11 TSM 4</v>
      </c>
      <c r="F251" s="65" t="str">
        <f>VLOOKUP(C251,Total!$B$2:$F$514,5,0)</f>
        <v>AKTIF</v>
      </c>
      <c r="G251" s="67" t="str">
        <f>VLOOKUP($B251,master!$B$3:$S$600,16,0)</f>
        <v>082138830971</v>
      </c>
      <c r="H251" s="67" t="str">
        <f>VLOOKUP($B251,master!$B$3:$S$600,17,0)</f>
        <v>-</v>
      </c>
      <c r="I251" s="67" t="str">
        <f>VLOOKUP($B251,master!$B$3:$S$600,8,0)</f>
        <v>SINGGELO</v>
      </c>
      <c r="J251" s="67" t="str">
        <f>VLOOKUP($B251,master!$B$3:$S$600,9,0)</f>
        <v>6</v>
      </c>
      <c r="K251" s="67" t="str">
        <f>VLOOKUP($B251,master!$B$3:$S$600,11,0)</f>
        <v>PONCOSARI</v>
      </c>
      <c r="L251" s="67" t="str">
        <f>VLOOKUP($B251,master!$B$3:$S$600,12,0)</f>
        <v>SRANDAKAN</v>
      </c>
      <c r="M251" s="67" t="str">
        <f>VLOOKUP($B251,master!$B$3:$S$600,6,0)</f>
        <v>SUWALJINAH</v>
      </c>
      <c r="N251" s="82" t="str">
        <f>VLOOKUP($B251,master!$B$3:$S$600,15,0)</f>
        <v>SMP N 2 SRANDAKAN</v>
      </c>
      <c r="O251" s="82" t="str">
        <f>VLOOKUP($B251,master!$B$3:$S$600,4,0)</f>
        <v>9-04-2009</v>
      </c>
    </row>
    <row r="252" spans="1:15" ht="15.75" customHeight="1" x14ac:dyDescent="0.25">
      <c r="A252" s="80" t="s">
        <v>1052</v>
      </c>
      <c r="B252" s="11" t="s">
        <v>1037</v>
      </c>
      <c r="C252" s="11" t="s">
        <v>4943</v>
      </c>
      <c r="D252" s="11" t="s">
        <v>429</v>
      </c>
      <c r="E252" s="65" t="str">
        <f>VLOOKUP(D252,Total!$C$2:$D$518,2,0)</f>
        <v>11 TSM 4</v>
      </c>
      <c r="F252" s="65" t="str">
        <f>VLOOKUP(C252,Total!$B$2:$F$514,5,0)</f>
        <v>AKTIF</v>
      </c>
      <c r="G252" s="67" t="str">
        <f>VLOOKUP($B252,master!$B$3:$S$600,16,0)</f>
        <v>089510344688</v>
      </c>
      <c r="H252" s="67" t="str">
        <f>VLOOKUP($B252,master!$B$3:$S$600,17,0)</f>
        <v>085747808730</v>
      </c>
      <c r="I252" s="67" t="str">
        <f>VLOOKUP($B252,master!$B$3:$S$600,8,0)</f>
        <v>TANUDITAN</v>
      </c>
      <c r="J252" s="67" t="str">
        <f>VLOOKUP($B252,master!$B$3:$S$600,9,0)</f>
        <v>8</v>
      </c>
      <c r="K252" s="67" t="str">
        <f>VLOOKUP($B252,master!$B$3:$S$600,11,0)</f>
        <v>TRIRENGGO</v>
      </c>
      <c r="L252" s="67" t="str">
        <f>VLOOKUP($B252,master!$B$3:$S$600,12,0)</f>
        <v>BANTUL</v>
      </c>
      <c r="M252" s="67" t="str">
        <f>VLOOKUP($B252,master!$B$3:$S$600,6,0)</f>
        <v>SUHARYADI</v>
      </c>
      <c r="N252" s="82" t="str">
        <f>VLOOKUP($B252,master!$B$3:$S$600,15,0)</f>
        <v>SMP MUHAMMADIYAH SEWON</v>
      </c>
      <c r="O252" s="82" t="str">
        <f>VLOOKUP($B252,master!$B$3:$S$600,4,0)</f>
        <v>3-03-2009</v>
      </c>
    </row>
    <row r="253" spans="1:15" ht="15.75" customHeight="1" x14ac:dyDescent="0.25">
      <c r="A253" s="80" t="s">
        <v>1054</v>
      </c>
      <c r="B253" s="11" t="s">
        <v>1039</v>
      </c>
      <c r="C253" s="11" t="s">
        <v>4944</v>
      </c>
      <c r="D253" s="11" t="s">
        <v>430</v>
      </c>
      <c r="E253" s="65" t="str">
        <f>VLOOKUP(D253,Total!$C$2:$D$518,2,0)</f>
        <v>11 TSM 4</v>
      </c>
      <c r="F253" s="65" t="str">
        <f>VLOOKUP(C253,Total!$B$2:$F$514,5,0)</f>
        <v>AKTIF</v>
      </c>
      <c r="G253" s="67" t="str">
        <f>VLOOKUP($B253,master!$B$3:$S$600,16,0)</f>
        <v>81904022467</v>
      </c>
      <c r="H253" s="67" t="str">
        <f>VLOOKUP($B253,master!$B$3:$S$600,17,0)</f>
        <v>0</v>
      </c>
      <c r="I253" s="67" t="str">
        <f>VLOOKUP($B253,master!$B$3:$S$600,8,0)</f>
        <v>SUMURAN</v>
      </c>
      <c r="J253" s="67" t="str">
        <f>VLOOKUP($B253,master!$B$3:$S$600,9,0)</f>
        <v>8</v>
      </c>
      <c r="K253" s="67" t="str">
        <f>VLOOKUP($B253,master!$B$3:$S$600,11,0)</f>
        <v>PALBAPANG</v>
      </c>
      <c r="L253" s="67" t="str">
        <f>VLOOKUP($B253,master!$B$3:$S$600,12,0)</f>
        <v>BANTUL</v>
      </c>
      <c r="M253" s="67" t="str">
        <f>VLOOKUP($B253,master!$B$3:$S$600,6,0)</f>
        <v>ENDRIYANI</v>
      </c>
      <c r="N253" s="82" t="str">
        <f>VLOOKUP($B253,master!$B$3:$S$600,15,0)</f>
        <v>SMP N 3 BANTUL</v>
      </c>
      <c r="O253" s="82" t="str">
        <f>VLOOKUP($B253,master!$B$3:$S$600,4,0)</f>
        <v>25-06-2008</v>
      </c>
    </row>
    <row r="254" spans="1:15" ht="15.75" customHeight="1" x14ac:dyDescent="0.25">
      <c r="A254" s="80" t="s">
        <v>1056</v>
      </c>
      <c r="B254" s="11" t="s">
        <v>1041</v>
      </c>
      <c r="C254" s="11" t="s">
        <v>4945</v>
      </c>
      <c r="D254" s="11" t="s">
        <v>431</v>
      </c>
      <c r="E254" s="65" t="str">
        <f>VLOOKUP(D254,Total!$C$2:$D$518,2,0)</f>
        <v>11 TSM 4</v>
      </c>
      <c r="F254" s="65" t="str">
        <f>VLOOKUP(C254,Total!$B$2:$F$514,5,0)</f>
        <v>AKTIF</v>
      </c>
      <c r="G254" s="67" t="str">
        <f>VLOOKUP($B254,master!$B$3:$S$600,16,0)</f>
        <v>082327771817</v>
      </c>
      <c r="H254" s="67" t="str">
        <f>VLOOKUP($B254,master!$B$3:$S$600,17,0)</f>
        <v>-</v>
      </c>
      <c r="I254" s="67" t="str">
        <f>VLOOKUP($B254,master!$B$3:$S$600,8,0)</f>
        <v>NGLEBAK</v>
      </c>
      <c r="J254" s="67" t="str">
        <f>VLOOKUP($B254,master!$B$3:$S$600,9,0)</f>
        <v>8</v>
      </c>
      <c r="K254" s="67" t="str">
        <f>VLOOKUP($B254,master!$B$3:$S$600,11,0)</f>
        <v>PALBAPANG</v>
      </c>
      <c r="L254" s="67" t="str">
        <f>VLOOKUP($B254,master!$B$3:$S$600,12,0)</f>
        <v>BANTUL</v>
      </c>
      <c r="M254" s="67" t="str">
        <f>VLOOKUP($B254,master!$B$3:$S$600,6,0)</f>
        <v>KUSDIHARJO</v>
      </c>
      <c r="N254" s="82" t="str">
        <f>VLOOKUP($B254,master!$B$3:$S$600,15,0)</f>
        <v>SMP N 3 BANTUL</v>
      </c>
      <c r="O254" s="82" t="str">
        <f>VLOOKUP($B254,master!$B$3:$S$600,4,0)</f>
        <v>25-11-2008</v>
      </c>
    </row>
    <row r="255" spans="1:15" ht="15.75" customHeight="1" x14ac:dyDescent="0.25">
      <c r="A255" s="80" t="s">
        <v>1058</v>
      </c>
      <c r="B255" s="11" t="s">
        <v>1043</v>
      </c>
      <c r="C255" s="11" t="s">
        <v>4946</v>
      </c>
      <c r="D255" s="11" t="s">
        <v>432</v>
      </c>
      <c r="E255" s="65" t="str">
        <f>VLOOKUP(D255,Total!$C$2:$D$518,2,0)</f>
        <v>11 TSM 4</v>
      </c>
      <c r="F255" s="65" t="str">
        <f>VLOOKUP(C255,Total!$B$2:$F$514,5,0)</f>
        <v>AKTIF</v>
      </c>
      <c r="G255" s="67" t="str">
        <f>VLOOKUP($B255,master!$B$3:$S$600,16,0)</f>
        <v>08882884427</v>
      </c>
      <c r="H255" s="67" t="str">
        <f>VLOOKUP($B255,master!$B$3:$S$600,17,0)</f>
        <v>089526717873</v>
      </c>
      <c r="I255" s="67" t="str">
        <f>VLOOKUP($B255,master!$B$3:$S$600,8,0)</f>
        <v>PRINGGAN</v>
      </c>
      <c r="J255" s="67" t="str">
        <f>VLOOKUP($B255,master!$B$3:$S$600,9,0)</f>
        <v>4</v>
      </c>
      <c r="K255" s="67" t="str">
        <f>VLOOKUP($B255,master!$B$3:$S$600,11,0)</f>
        <v>KARANGTALUN</v>
      </c>
      <c r="L255" s="67" t="str">
        <f>VLOOKUP($B255,master!$B$3:$S$600,12,0)</f>
        <v>IMOGIRI</v>
      </c>
      <c r="M255" s="67" t="str">
        <f>VLOOKUP($B255,master!$B$3:$S$600,6,0)</f>
        <v>SUPRIYANTO</v>
      </c>
      <c r="N255" s="82" t="str">
        <f>VLOOKUP($B255,master!$B$3:$S$600,15,0)</f>
        <v>SMP N 2 IMOGIRI</v>
      </c>
      <c r="O255" s="82" t="str">
        <f>VLOOKUP($B255,master!$B$3:$S$600,4,0)</f>
        <v>28-10-2007</v>
      </c>
    </row>
    <row r="256" spans="1:15" ht="15.75" customHeight="1" x14ac:dyDescent="0.25">
      <c r="A256" s="80" t="s">
        <v>1060</v>
      </c>
      <c r="B256" s="11" t="s">
        <v>1045</v>
      </c>
      <c r="C256" s="11" t="s">
        <v>4947</v>
      </c>
      <c r="D256" s="11" t="s">
        <v>433</v>
      </c>
      <c r="E256" s="65" t="str">
        <f>VLOOKUP(D256,Total!$C$2:$D$518,2,0)</f>
        <v>11 TSM 4</v>
      </c>
      <c r="F256" s="65" t="str">
        <f>VLOOKUP(C256,Total!$B$2:$F$514,5,0)</f>
        <v>AKTIF</v>
      </c>
      <c r="G256" s="67" t="str">
        <f>VLOOKUP($B256,master!$B$3:$S$600,16,0)</f>
        <v>089517227525</v>
      </c>
      <c r="H256" s="67" t="str">
        <f>VLOOKUP($B256,master!$B$3:$S$600,17,0)</f>
        <v>1212121</v>
      </c>
      <c r="I256" s="67" t="str">
        <f>VLOOKUP($B256,master!$B$3:$S$600,8,0)</f>
        <v>KERSAN</v>
      </c>
      <c r="J256" s="67" t="str">
        <f>VLOOKUP($B256,master!$B$3:$S$600,9,0)</f>
        <v>3</v>
      </c>
      <c r="K256" s="67" t="str">
        <f>VLOOKUP($B256,master!$B$3:$S$600,11,0)</f>
        <v>TIMBULHARJO</v>
      </c>
      <c r="L256" s="67" t="str">
        <f>VLOOKUP($B256,master!$B$3:$S$600,12,0)</f>
        <v>SEWON</v>
      </c>
      <c r="M256" s="67" t="str">
        <f>VLOOKUP($B256,master!$B$3:$S$600,6,0)</f>
        <v>RISWANTI</v>
      </c>
      <c r="N256" s="82" t="str">
        <f>VLOOKUP($B256,master!$B$3:$S$600,15,0)</f>
        <v>SMP N 1 SEWON</v>
      </c>
      <c r="O256" s="82" t="str">
        <f>VLOOKUP($B256,master!$B$3:$S$600,4,0)</f>
        <v>27-11-2008</v>
      </c>
    </row>
    <row r="257" spans="1:15" ht="15.75" customHeight="1" x14ac:dyDescent="0.25">
      <c r="A257" s="80" t="s">
        <v>1062</v>
      </c>
      <c r="B257" s="11" t="s">
        <v>1047</v>
      </c>
      <c r="C257" s="11" t="s">
        <v>4948</v>
      </c>
      <c r="D257" s="11" t="s">
        <v>434</v>
      </c>
      <c r="E257" s="65" t="str">
        <f>VLOOKUP(D257,Total!$C$2:$D$518,2,0)</f>
        <v>11 TSM 4</v>
      </c>
      <c r="F257" s="65" t="str">
        <f>VLOOKUP(C257,Total!$B$2:$F$514,5,0)</f>
        <v>AKTIF</v>
      </c>
      <c r="G257" s="67" t="str">
        <f>VLOOKUP($B257,master!$B$3:$S$600,16,0)</f>
        <v>082138255511</v>
      </c>
      <c r="H257" s="67" t="str">
        <f>VLOOKUP($B257,master!$B$3:$S$600,17,0)</f>
        <v>-</v>
      </c>
      <c r="I257" s="67" t="str">
        <f>VLOOKUP($B257,master!$B$3:$S$600,8,0)</f>
        <v>NYEMENGAN</v>
      </c>
      <c r="J257" s="67" t="str">
        <f>VLOOKUP($B257,master!$B$3:$S$600,9,0)</f>
        <v>5</v>
      </c>
      <c r="K257" s="67" t="str">
        <f>VLOOKUP($B257,master!$B$3:$S$600,11,0)</f>
        <v>TIRTONIRMOLO</v>
      </c>
      <c r="L257" s="67" t="str">
        <f>VLOOKUP($B257,master!$B$3:$S$600,12,0)</f>
        <v>KASIHAN</v>
      </c>
      <c r="M257" s="67" t="str">
        <f>VLOOKUP($B257,master!$B$3:$S$600,6,0)</f>
        <v>BUNTAS WARSITO</v>
      </c>
      <c r="N257" s="82" t="str">
        <f>VLOOKUP($B257,master!$B$3:$S$600,15,0)</f>
        <v>SMP MUHAMMADIYAH BANTUL</v>
      </c>
      <c r="O257" s="82" t="str">
        <f>VLOOKUP($B257,master!$B$3:$S$600,4,0)</f>
        <v>7-09-2008</v>
      </c>
    </row>
    <row r="258" spans="1:15" ht="15.75" customHeight="1" x14ac:dyDescent="0.25">
      <c r="A258" s="80" t="s">
        <v>1064</v>
      </c>
      <c r="B258" s="11" t="s">
        <v>1049</v>
      </c>
      <c r="C258" s="11" t="s">
        <v>4949</v>
      </c>
      <c r="D258" s="11" t="s">
        <v>435</v>
      </c>
      <c r="E258" s="65" t="str">
        <f>VLOOKUP(D258,Total!$C$2:$D$518,2,0)</f>
        <v>11 TSM 4</v>
      </c>
      <c r="F258" s="65" t="str">
        <f>VLOOKUP(C258,Total!$B$2:$F$514,5,0)</f>
        <v>AKTIF</v>
      </c>
      <c r="G258" s="67" t="str">
        <f>VLOOKUP($B258,master!$B$3:$S$600,16,0)</f>
        <v>83104044703</v>
      </c>
      <c r="H258" s="67" t="str">
        <f>VLOOKUP($B258,master!$B$3:$S$600,17,0)</f>
        <v>0</v>
      </c>
      <c r="I258" s="67" t="str">
        <f>VLOOKUP($B258,master!$B$3:$S$600,8,0)</f>
        <v>KWALANGAN</v>
      </c>
      <c r="J258" s="67" t="str">
        <f>VLOOKUP($B258,master!$B$3:$S$600,9,0)</f>
        <v>2</v>
      </c>
      <c r="K258" s="67" t="str">
        <f>VLOOKUP($B258,master!$B$3:$S$600,11,0)</f>
        <v>WIJIREJO</v>
      </c>
      <c r="L258" s="67" t="str">
        <f>VLOOKUP($B258,master!$B$3:$S$600,12,0)</f>
        <v>PANDAK</v>
      </c>
      <c r="M258" s="67" t="str">
        <f>VLOOKUP($B258,master!$B$3:$S$600,6,0)</f>
        <v>SUDIYONO</v>
      </c>
      <c r="N258" s="82" t="str">
        <f>VLOOKUP($B258,master!$B$3:$S$600,15,0)</f>
        <v>SMP N 4 PANDAK</v>
      </c>
      <c r="O258" s="82" t="str">
        <f>VLOOKUP($B258,master!$B$3:$S$600,4,0)</f>
        <v>27-01-2008</v>
      </c>
    </row>
    <row r="259" spans="1:15" ht="15.75" customHeight="1" x14ac:dyDescent="0.25">
      <c r="A259" s="80" t="s">
        <v>1066</v>
      </c>
      <c r="B259" s="11" t="s">
        <v>1051</v>
      </c>
      <c r="C259" s="11" t="s">
        <v>4950</v>
      </c>
      <c r="D259" s="11" t="s">
        <v>436</v>
      </c>
      <c r="E259" s="65" t="str">
        <f>VLOOKUP(D259,Total!$C$2:$D$518,2,0)</f>
        <v>11 TSM 4</v>
      </c>
      <c r="F259" s="65" t="str">
        <f>VLOOKUP(C259,Total!$B$2:$F$514,5,0)</f>
        <v>KELUAR</v>
      </c>
      <c r="G259" s="67" t="str">
        <f>VLOOKUP($B259,master!$B$3:$S$600,16,0)</f>
        <v>088988300968</v>
      </c>
      <c r="H259" s="67" t="str">
        <f>VLOOKUP($B259,master!$B$3:$S$600,17,0)</f>
        <v>08883908536</v>
      </c>
      <c r="I259" s="67" t="str">
        <f>VLOOKUP($B259,master!$B$3:$S$600,8,0)</f>
        <v>GUNTURGENI</v>
      </c>
      <c r="J259" s="67" t="str">
        <f>VLOOKUP($B259,master!$B$3:$S$600,9,0)</f>
        <v>3</v>
      </c>
      <c r="K259" s="67" t="str">
        <f>VLOOKUP($B259,master!$B$3:$S$600,11,0)</f>
        <v>PONCOSARI</v>
      </c>
      <c r="L259" s="67" t="str">
        <f>VLOOKUP($B259,master!$B$3:$S$600,12,0)</f>
        <v>SRANDAKAN</v>
      </c>
      <c r="M259" s="67" t="str">
        <f>VLOOKUP($B259,master!$B$3:$S$600,6,0)</f>
        <v>MITA NUR WULANDARI</v>
      </c>
      <c r="N259" s="82" t="str">
        <f>VLOOKUP($B259,master!$B$3:$S$600,15,0)</f>
        <v>SMP MA'ARIF IMOGIRI</v>
      </c>
      <c r="O259" s="82" t="str">
        <f>VLOOKUP($B259,master!$B$3:$S$600,4,0)</f>
        <v>1-08-2008</v>
      </c>
    </row>
    <row r="260" spans="1:15" ht="15.75" customHeight="1" x14ac:dyDescent="0.25">
      <c r="A260" s="80" t="s">
        <v>1068</v>
      </c>
      <c r="B260" s="11" t="s">
        <v>1053</v>
      </c>
      <c r="C260" s="11" t="s">
        <v>4951</v>
      </c>
      <c r="D260" s="11" t="s">
        <v>437</v>
      </c>
      <c r="E260" s="65" t="str">
        <f>VLOOKUP(D260,Total!$C$2:$D$518,2,0)</f>
        <v>11 TSM 4</v>
      </c>
      <c r="F260" s="65" t="str">
        <f>VLOOKUP(C260,Total!$B$2:$F$514,5,0)</f>
        <v>AKTIF</v>
      </c>
      <c r="G260" s="67" t="str">
        <f>VLOOKUP($B260,master!$B$3:$S$600,16,0)</f>
        <v>0878-4729-0588</v>
      </c>
      <c r="H260" s="67" t="str">
        <f>VLOOKUP($B260,master!$B$3:$S$600,17,0)</f>
        <v>-</v>
      </c>
      <c r="I260" s="67" t="str">
        <f>VLOOKUP($B260,master!$B$3:$S$600,8,0)</f>
        <v>MONGGANG KIDUL</v>
      </c>
      <c r="J260" s="67" t="str">
        <f>VLOOKUP($B260,master!$B$3:$S$600,9,0)</f>
        <v>34</v>
      </c>
      <c r="K260" s="67" t="str">
        <f>VLOOKUP($B260,master!$B$3:$S$600,11,0)</f>
        <v>PENDOWOHARJO</v>
      </c>
      <c r="L260" s="67" t="str">
        <f>VLOOKUP($B260,master!$B$3:$S$600,12,0)</f>
        <v>SEWON</v>
      </c>
      <c r="M260" s="67" t="str">
        <f>VLOOKUP($B260,master!$B$3:$S$600,6,0)</f>
        <v>NUR SAMSIATI</v>
      </c>
      <c r="N260" s="82" t="str">
        <f>VLOOKUP($B260,master!$B$3:$S$600,15,0)</f>
        <v>SMP MUHAMMADIYAH SEWON</v>
      </c>
      <c r="O260" s="82" t="str">
        <f>VLOOKUP($B260,master!$B$3:$S$600,4,0)</f>
        <v>17-07-2008</v>
      </c>
    </row>
    <row r="261" spans="1:15" ht="15.75" customHeight="1" x14ac:dyDescent="0.25">
      <c r="A261" s="80" t="s">
        <v>1070</v>
      </c>
      <c r="B261" s="11" t="s">
        <v>1055</v>
      </c>
      <c r="C261" s="11" t="s">
        <v>4952</v>
      </c>
      <c r="D261" s="11" t="s">
        <v>438</v>
      </c>
      <c r="E261" s="65" t="str">
        <f>VLOOKUP(D261,Total!$C$2:$D$518,2,0)</f>
        <v>11 TSM 4</v>
      </c>
      <c r="F261" s="65" t="str">
        <f>VLOOKUP(C261,Total!$B$2:$F$514,5,0)</f>
        <v>AKTIF</v>
      </c>
      <c r="G261" s="67" t="str">
        <f>VLOOKUP($B261,master!$B$3:$S$600,16,0)</f>
        <v>083102859732</v>
      </c>
      <c r="H261" s="67" t="str">
        <f>VLOOKUP($B261,master!$B$3:$S$600,17,0)</f>
        <v>-</v>
      </c>
      <c r="I261" s="67" t="str">
        <f>VLOOKUP($B261,master!$B$3:$S$600,8,0)</f>
        <v>KRAJAN</v>
      </c>
      <c r="J261" s="67" t="str">
        <f>VLOOKUP($B261,master!$B$3:$S$600,9,0)</f>
        <v>1</v>
      </c>
      <c r="K261" s="67" t="str">
        <f>VLOOKUP($B261,master!$B$3:$S$600,11,0)</f>
        <v>TIRTOMULYO</v>
      </c>
      <c r="L261" s="67" t="str">
        <f>VLOOKUP($B261,master!$B$3:$S$600,12,0)</f>
        <v>KRETEK</v>
      </c>
      <c r="M261" s="67" t="str">
        <f>VLOOKUP($B261,master!$B$3:$S$600,6,0)</f>
        <v>TRI UNTORO</v>
      </c>
      <c r="N261" s="82" t="str">
        <f>VLOOKUP($B261,master!$B$3:$S$600,15,0)</f>
        <v>SMP N 1 KRETEK</v>
      </c>
      <c r="O261" s="82" t="str">
        <f>VLOOKUP($B261,master!$B$3:$S$600,4,0)</f>
        <v>28-06-2009</v>
      </c>
    </row>
    <row r="262" spans="1:15" ht="15.75" customHeight="1" x14ac:dyDescent="0.25">
      <c r="A262" s="80" t="s">
        <v>1072</v>
      </c>
      <c r="B262" s="11" t="s">
        <v>1057</v>
      </c>
      <c r="C262" s="11" t="s">
        <v>4953</v>
      </c>
      <c r="D262" s="11" t="s">
        <v>439</v>
      </c>
      <c r="E262" s="65" t="str">
        <f>VLOOKUP(D262,Total!$C$2:$D$518,2,0)</f>
        <v>11 TSM 4</v>
      </c>
      <c r="F262" s="65" t="str">
        <f>VLOOKUP(C262,Total!$B$2:$F$514,5,0)</f>
        <v>KELUAR</v>
      </c>
      <c r="G262" s="67" t="str">
        <f>VLOOKUP($B262,master!$B$3:$S$600,16,0)</f>
        <v>088985877403</v>
      </c>
      <c r="H262" s="67" t="str">
        <f>VLOOKUP($B262,master!$B$3:$S$600,17,0)</f>
        <v>081575655510</v>
      </c>
      <c r="I262" s="67" t="str">
        <f>VLOOKUP($B262,master!$B$3:$S$600,8,0)</f>
        <v>JETIS</v>
      </c>
      <c r="J262" s="67" t="str">
        <f>VLOOKUP($B262,master!$B$3:$S$600,9,0)</f>
        <v>85</v>
      </c>
      <c r="K262" s="67" t="str">
        <f>VLOOKUP($B262,master!$B$3:$S$600,11,0)</f>
        <v>PENDOWOHARJO</v>
      </c>
      <c r="L262" s="67" t="str">
        <f>VLOOKUP($B262,master!$B$3:$S$600,12,0)</f>
        <v>SEWON</v>
      </c>
      <c r="M262" s="67" t="str">
        <f>VLOOKUP($B262,master!$B$3:$S$600,6,0)</f>
        <v>SUMSDI</v>
      </c>
      <c r="N262" s="82" t="str">
        <f>VLOOKUP($B262,master!$B$3:$S$600,15,0)</f>
        <v>SKB BANTUL</v>
      </c>
      <c r="O262" s="82" t="str">
        <f>VLOOKUP($B262,master!$B$3:$S$600,4,0)</f>
        <v>6-05-2007</v>
      </c>
    </row>
    <row r="263" spans="1:15" ht="15.75" customHeight="1" x14ac:dyDescent="0.25">
      <c r="A263" s="80" t="s">
        <v>1074</v>
      </c>
      <c r="B263" s="11" t="s">
        <v>1059</v>
      </c>
      <c r="C263" s="11" t="s">
        <v>4954</v>
      </c>
      <c r="D263" s="11" t="s">
        <v>440</v>
      </c>
      <c r="E263" s="65" t="str">
        <f>VLOOKUP(D263,Total!$C$2:$D$518,2,0)</f>
        <v>11 TSM 4</v>
      </c>
      <c r="F263" s="65" t="str">
        <f>VLOOKUP(C263,Total!$B$2:$F$514,5,0)</f>
        <v>KELUAR</v>
      </c>
      <c r="G263" s="67" t="str">
        <f>VLOOKUP($B263,master!$B$3:$S$600,16,0)</f>
        <v>085640956004</v>
      </c>
      <c r="H263" s="67" t="str">
        <f>VLOOKUP($B263,master!$B$3:$S$600,17,0)</f>
        <v>085727697610</v>
      </c>
      <c r="I263" s="67" t="str">
        <f>VLOOKUP($B263,master!$B$3:$S$600,8,0)</f>
        <v>SEYEGAN</v>
      </c>
      <c r="J263" s="67" t="str">
        <f>VLOOKUP($B263,master!$B$3:$S$600,9,0)</f>
        <v>1</v>
      </c>
      <c r="K263" s="67" t="str">
        <f>VLOOKUP($B263,master!$B$3:$S$600,11,0)</f>
        <v>SRIHARDONO</v>
      </c>
      <c r="L263" s="67" t="str">
        <f>VLOOKUP($B263,master!$B$3:$S$600,12,0)</f>
        <v>PUNDONG</v>
      </c>
      <c r="M263" s="67" t="str">
        <f>VLOOKUP($B263,master!$B$3:$S$600,6,0)</f>
        <v>NGAJIYEM</v>
      </c>
      <c r="N263" s="82" t="str">
        <f>VLOOKUP($B263,master!$B$3:$S$600,15,0)</f>
        <v>SMP N 2 PUNDONG</v>
      </c>
      <c r="O263" s="82" t="str">
        <f>VLOOKUP($B263,master!$B$3:$S$600,4,0)</f>
        <v>3-09-2008</v>
      </c>
    </row>
    <row r="264" spans="1:15" ht="15.75" customHeight="1" x14ac:dyDescent="0.25">
      <c r="A264" s="80" t="s">
        <v>1076</v>
      </c>
      <c r="B264" s="11" t="s">
        <v>1061</v>
      </c>
      <c r="C264" s="11" t="s">
        <v>4955</v>
      </c>
      <c r="D264" s="11" t="s">
        <v>441</v>
      </c>
      <c r="E264" s="65" t="str">
        <f>VLOOKUP(D264,Total!$C$2:$D$518,2,0)</f>
        <v>11 TSM 4</v>
      </c>
      <c r="F264" s="65" t="str">
        <f>VLOOKUP(C264,Total!$B$2:$F$514,5,0)</f>
        <v>KELUAR</v>
      </c>
      <c r="G264" s="67" t="str">
        <f>VLOOKUP($B264,master!$B$3:$S$600,16,0)</f>
        <v>089523171100</v>
      </c>
      <c r="H264" s="67" t="str">
        <f>VLOOKUP($B264,master!$B$3:$S$600,17,0)</f>
        <v>089523171100</v>
      </c>
      <c r="I264" s="67" t="str">
        <f>VLOOKUP($B264,master!$B$3:$S$600,8,0)</f>
        <v>PRIYAN</v>
      </c>
      <c r="J264" s="67" t="str">
        <f>VLOOKUP($B264,master!$B$3:$S$600,9,0)</f>
        <v>04</v>
      </c>
      <c r="K264" s="67" t="str">
        <f>VLOOKUP($B264,master!$B$3:$S$600,11,0)</f>
        <v>TRIRENGGO</v>
      </c>
      <c r="L264" s="67" t="str">
        <f>VLOOKUP($B264,master!$B$3:$S$600,12,0)</f>
        <v>BANTUL</v>
      </c>
      <c r="M264" s="67" t="str">
        <f>VLOOKUP($B264,master!$B$3:$S$600,6,0)</f>
        <v>TUMINEM</v>
      </c>
      <c r="N264" s="82" t="str">
        <f>VLOOKUP($B264,master!$B$3:$S$600,15,0)</f>
        <v>SMP N 3 BANTUL</v>
      </c>
      <c r="O264" s="82" t="str">
        <f>VLOOKUP($B264,master!$B$3:$S$600,4,0)</f>
        <v>6-07-2009</v>
      </c>
    </row>
    <row r="265" spans="1:15" ht="15.75" customHeight="1" x14ac:dyDescent="0.25">
      <c r="A265" s="80" t="s">
        <v>1078</v>
      </c>
      <c r="B265" s="11" t="s">
        <v>1063</v>
      </c>
      <c r="C265" s="11" t="s">
        <v>4956</v>
      </c>
      <c r="D265" s="11" t="s">
        <v>442</v>
      </c>
      <c r="E265" s="65" t="str">
        <f>VLOOKUP(D265,Total!$C$2:$D$518,2,0)</f>
        <v>11 TSM 4</v>
      </c>
      <c r="F265" s="65" t="str">
        <f>VLOOKUP(C265,Total!$B$2:$F$514,5,0)</f>
        <v>AKTIF</v>
      </c>
      <c r="G265" s="67" t="str">
        <f>VLOOKUP($B265,master!$B$3:$S$600,16,0)</f>
        <v>082323213171</v>
      </c>
      <c r="H265" s="67" t="str">
        <f>VLOOKUP($B265,master!$B$3:$S$600,17,0)</f>
        <v>085800136857</v>
      </c>
      <c r="I265" s="67" t="str">
        <f>VLOOKUP($B265,master!$B$3:$S$600,8,0)</f>
        <v>KRETEK</v>
      </c>
      <c r="J265" s="67" t="str">
        <f>VLOOKUP($B265,master!$B$3:$S$600,9,0)</f>
        <v>005</v>
      </c>
      <c r="K265" s="67" t="str">
        <f>VLOOKUP($B265,master!$B$3:$S$600,11,0)</f>
        <v>PARANGTRITIS</v>
      </c>
      <c r="L265" s="67" t="str">
        <f>VLOOKUP($B265,master!$B$3:$S$600,12,0)</f>
        <v>KRETEK</v>
      </c>
      <c r="M265" s="67" t="str">
        <f>VLOOKUP($B265,master!$B$3:$S$600,6,0)</f>
        <v>Siti ardaniyati</v>
      </c>
      <c r="N265" s="82" t="str">
        <f>VLOOKUP($B265,master!$B$3:$S$600,15,0)</f>
        <v>SMP ma'arif Borobudur</v>
      </c>
      <c r="O265" s="82" t="str">
        <f>VLOOKUP($B265,master!$B$3:$S$600,4,0)</f>
        <v>3-05-2009</v>
      </c>
    </row>
    <row r="266" spans="1:15" ht="15.75" customHeight="1" x14ac:dyDescent="0.25">
      <c r="A266" s="80" t="s">
        <v>1080</v>
      </c>
      <c r="B266" s="11" t="s">
        <v>1065</v>
      </c>
      <c r="C266" s="11" t="s">
        <v>4957</v>
      </c>
      <c r="D266" s="11" t="s">
        <v>443</v>
      </c>
      <c r="E266" s="65" t="str">
        <f>VLOOKUP(D266,Total!$C$2:$D$518,2,0)</f>
        <v>11 TSM 4</v>
      </c>
      <c r="F266" s="65" t="str">
        <f>VLOOKUP(C266,Total!$B$2:$F$514,5,0)</f>
        <v>AKTIF</v>
      </c>
      <c r="G266" s="67" t="str">
        <f>VLOOKUP($B266,master!$B$3:$S$600,16,0)</f>
        <v>87839586585</v>
      </c>
      <c r="H266" s="67" t="str">
        <f>VLOOKUP($B266,master!$B$3:$S$600,17,0)</f>
        <v>0</v>
      </c>
      <c r="I266" s="67" t="str">
        <f>VLOOKUP($B266,master!$B$3:$S$600,8,0)</f>
        <v>DALEMAN</v>
      </c>
      <c r="J266" s="67" t="str">
        <f>VLOOKUP($B266,master!$B$3:$S$600,9,0)</f>
        <v>3</v>
      </c>
      <c r="K266" s="67" t="str">
        <f>VLOOKUP($B266,master!$B$3:$S$600,11,0)</f>
        <v>GADINGHARJO</v>
      </c>
      <c r="L266" s="67" t="str">
        <f>VLOOKUP($B266,master!$B$3:$S$600,12,0)</f>
        <v>SANDEN</v>
      </c>
      <c r="M266" s="67" t="str">
        <f>VLOOKUP($B266,master!$B$3:$S$600,6,0)</f>
        <v>ANJAR WIDIYANTO</v>
      </c>
      <c r="N266" s="82" t="str">
        <f>VLOOKUP($B266,master!$B$3:$S$600,15,0)</f>
        <v>SMP N 2 SANDEN</v>
      </c>
      <c r="O266" s="82" t="str">
        <f>VLOOKUP($B266,master!$B$3:$S$600,4,0)</f>
        <v>8-07-2008</v>
      </c>
    </row>
    <row r="267" spans="1:15" ht="15.75" customHeight="1" x14ac:dyDescent="0.25">
      <c r="A267" s="80" t="s">
        <v>1082</v>
      </c>
      <c r="B267" s="11" t="s">
        <v>1067</v>
      </c>
      <c r="C267" s="11" t="s">
        <v>4958</v>
      </c>
      <c r="D267" s="11" t="s">
        <v>444</v>
      </c>
      <c r="E267" s="65" t="str">
        <f>VLOOKUP(D267,Total!$C$2:$D$518,2,0)</f>
        <v>11 TSM 4</v>
      </c>
      <c r="F267" s="65" t="str">
        <f>VLOOKUP(C267,Total!$B$2:$F$514,5,0)</f>
        <v>AKTIF</v>
      </c>
      <c r="G267" s="67" t="str">
        <f>VLOOKUP($B267,master!$B$3:$S$600,16,0)</f>
        <v>081228654917</v>
      </c>
      <c r="H267" s="67" t="str">
        <f>VLOOKUP($B267,master!$B$3:$S$600,17,0)</f>
        <v>085860903901</v>
      </c>
      <c r="I267" s="67" t="str">
        <f>VLOOKUP($B267,master!$B$3:$S$600,8,0)</f>
        <v>KEYONGAN KIDUL</v>
      </c>
      <c r="J267" s="67" t="str">
        <f>VLOOKUP($B267,master!$B$3:$S$600,9,0)</f>
        <v>006</v>
      </c>
      <c r="K267" s="67" t="str">
        <f>VLOOKUP($B267,master!$B$3:$S$600,11,0)</f>
        <v>SABDODADI</v>
      </c>
      <c r="L267" s="67" t="str">
        <f>VLOOKUP($B267,master!$B$3:$S$600,12,0)</f>
        <v>BANTUL</v>
      </c>
      <c r="M267" s="67" t="str">
        <f>VLOOKUP($B267,master!$B$3:$S$600,6,0)</f>
        <v>LILIK HERIYANTO</v>
      </c>
      <c r="N267" s="82" t="str">
        <f>VLOOKUP($B267,master!$B$3:$S$600,15,0)</f>
        <v>MTS N 4 BANTUL</v>
      </c>
      <c r="O267" s="82" t="str">
        <f>VLOOKUP($B267,master!$B$3:$S$600,4,0)</f>
        <v>21-10-2008</v>
      </c>
    </row>
    <row r="268" spans="1:15" ht="15.75" customHeight="1" x14ac:dyDescent="0.25">
      <c r="A268" s="80" t="s">
        <v>1084</v>
      </c>
      <c r="B268" s="11" t="s">
        <v>1069</v>
      </c>
      <c r="C268" s="11" t="s">
        <v>4638</v>
      </c>
      <c r="D268" s="11" t="s">
        <v>136</v>
      </c>
      <c r="E268" s="65" t="str">
        <f>VLOOKUP(D268,Total!$C$2:$D$518,2,0)</f>
        <v>11 TKR 1</v>
      </c>
      <c r="F268" s="65" t="str">
        <f>VLOOKUP(C268,Total!$B$2:$F$514,5,0)</f>
        <v>AKTIF</v>
      </c>
      <c r="G268" s="67" t="str">
        <f>VLOOKUP($B268,master!$B$3:$S$600,16,0)</f>
        <v>0895392515509</v>
      </c>
      <c r="H268" s="67" t="str">
        <f>VLOOKUP($B268,master!$B$3:$S$600,17,0)</f>
        <v>0895421636860</v>
      </c>
      <c r="I268" s="67" t="str">
        <f>VLOOKUP($B268,master!$B$3:$S$600,8,0)</f>
        <v>NGENTAK</v>
      </c>
      <c r="J268" s="67" t="str">
        <f>VLOOKUP($B268,master!$B$3:$S$600,9,0)</f>
        <v>4</v>
      </c>
      <c r="K268" s="67" t="str">
        <f>VLOOKUP($B268,master!$B$3:$S$600,11,0)</f>
        <v>PENDOWOHARJO</v>
      </c>
      <c r="L268" s="67" t="str">
        <f>VLOOKUP($B268,master!$B$3:$S$600,12,0)</f>
        <v>SEWON</v>
      </c>
      <c r="M268" s="67" t="str">
        <f>VLOOKUP($B268,master!$B$3:$S$600,6,0)</f>
        <v>SUKASMIYATI</v>
      </c>
      <c r="N268" s="82" t="str">
        <f>VLOOKUP($B268,master!$B$3:$S$600,15,0)</f>
        <v>SMP MUHAMMADIYAH SEWON</v>
      </c>
      <c r="O268" s="82" t="str">
        <f>VLOOKUP($B268,master!$B$3:$S$600,4,0)</f>
        <v>6-12-2008</v>
      </c>
    </row>
    <row r="269" spans="1:15" ht="15.75" customHeight="1" x14ac:dyDescent="0.25">
      <c r="A269" s="80" t="s">
        <v>1086</v>
      </c>
      <c r="B269" s="11" t="s">
        <v>1071</v>
      </c>
      <c r="C269" s="11" t="s">
        <v>4639</v>
      </c>
      <c r="D269" s="11" t="s">
        <v>137</v>
      </c>
      <c r="E269" s="65" t="str">
        <f>VLOOKUP(D269,Total!$C$2:$D$518,2,0)</f>
        <v>11 TKR 1</v>
      </c>
      <c r="F269" s="65" t="str">
        <f>VLOOKUP(C269,Total!$B$2:$F$514,5,0)</f>
        <v>AKTIF</v>
      </c>
      <c r="G269" s="67" t="str">
        <f>VLOOKUP($B269,master!$B$3:$S$600,16,0)</f>
        <v>088215453902</v>
      </c>
      <c r="H269" s="67" t="str">
        <f>VLOOKUP($B269,master!$B$3:$S$600,17,0)</f>
        <v>089526717873</v>
      </c>
      <c r="I269" s="67" t="str">
        <f>VLOOKUP($B269,master!$B$3:$S$600,8,0)</f>
        <v>PRIYAN</v>
      </c>
      <c r="J269" s="67" t="str">
        <f>VLOOKUP($B269,master!$B$3:$S$600,9,0)</f>
        <v>1</v>
      </c>
      <c r="K269" s="67" t="str">
        <f>VLOOKUP($B269,master!$B$3:$S$600,11,0)</f>
        <v>TRIRENGGO</v>
      </c>
      <c r="L269" s="67" t="str">
        <f>VLOOKUP($B269,master!$B$3:$S$600,12,0)</f>
        <v>BANTUL</v>
      </c>
      <c r="M269" s="67" t="str">
        <f>VLOOKUP($B269,master!$B$3:$S$600,6,0)</f>
        <v>JOKO SUSELO</v>
      </c>
      <c r="N269" s="82" t="str">
        <f>VLOOKUP($B269,master!$B$3:$S$600,15,0)</f>
        <v>SMP N 1 BAMBANGLIPURO</v>
      </c>
      <c r="O269" s="82" t="str">
        <f>VLOOKUP($B269,master!$B$3:$S$600,4,0)</f>
        <v>28-07-2008</v>
      </c>
    </row>
    <row r="270" spans="1:15" ht="15.75" customHeight="1" x14ac:dyDescent="0.25">
      <c r="A270" s="80" t="s">
        <v>1088</v>
      </c>
      <c r="B270" s="11" t="s">
        <v>1073</v>
      </c>
      <c r="C270" s="11" t="s">
        <v>4640</v>
      </c>
      <c r="D270" s="11" t="s">
        <v>138</v>
      </c>
      <c r="E270" s="65" t="str">
        <f>VLOOKUP(D270,Total!$C$2:$D$518,2,0)</f>
        <v>11 TKR 1</v>
      </c>
      <c r="F270" s="65" t="str">
        <f>VLOOKUP(C270,Total!$B$2:$F$514,5,0)</f>
        <v>AKTIF</v>
      </c>
      <c r="G270" s="67" t="str">
        <f>VLOOKUP($B270,master!$B$3:$S$600,16,0)</f>
        <v>089658356902</v>
      </c>
      <c r="H270" s="67" t="str">
        <f>VLOOKUP($B270,master!$B$3:$S$600,17,0)</f>
        <v>0895386259626</v>
      </c>
      <c r="I270" s="67" t="str">
        <f>VLOOKUP($B270,master!$B$3:$S$600,8,0)</f>
        <v>KADEKROWO</v>
      </c>
      <c r="J270" s="67" t="str">
        <f>VLOOKUP($B270,master!$B$3:$S$600,9,0)</f>
        <v>003</v>
      </c>
      <c r="K270" s="67" t="str">
        <f>VLOOKUP($B270,master!$B$3:$S$600,11,0)</f>
        <v>GILANGHARJO</v>
      </c>
      <c r="L270" s="67" t="str">
        <f>VLOOKUP($B270,master!$B$3:$S$600,12,0)</f>
        <v>PANDAK</v>
      </c>
      <c r="M270" s="67" t="str">
        <f>VLOOKUP($B270,master!$B$3:$S$600,6,0)</f>
        <v>ARIS NURYANTO</v>
      </c>
      <c r="N270" s="82" t="str">
        <f>VLOOKUP($B270,master!$B$3:$S$600,15,0)</f>
        <v>SMP N 3 PANDAK</v>
      </c>
      <c r="O270" s="82" t="str">
        <f>VLOOKUP($B270,master!$B$3:$S$600,4,0)</f>
        <v>4-09-2008</v>
      </c>
    </row>
    <row r="271" spans="1:15" ht="15.75" customHeight="1" x14ac:dyDescent="0.25">
      <c r="A271" s="80" t="s">
        <v>1090</v>
      </c>
      <c r="B271" s="11" t="s">
        <v>1075</v>
      </c>
      <c r="C271" s="11" t="s">
        <v>4641</v>
      </c>
      <c r="D271" s="11" t="s">
        <v>139</v>
      </c>
      <c r="E271" s="65" t="str">
        <f>VLOOKUP(D271,Total!$C$2:$D$518,2,0)</f>
        <v>11 TKR 1</v>
      </c>
      <c r="F271" s="65" t="str">
        <f>VLOOKUP(C271,Total!$B$2:$F$514,5,0)</f>
        <v>AKTIF</v>
      </c>
      <c r="G271" s="67" t="str">
        <f>VLOOKUP($B271,master!$B$3:$S$600,16,0)</f>
        <v>081804056243</v>
      </c>
      <c r="H271" s="67" t="str">
        <f>VLOOKUP($B271,master!$B$3:$S$600,17,0)</f>
        <v>081804056243</v>
      </c>
      <c r="I271" s="67" t="str">
        <f>VLOOKUP($B271,master!$B$3:$S$600,8,0)</f>
        <v>NGRANCAH</v>
      </c>
      <c r="J271" s="67" t="str">
        <f>VLOOKUP($B271,master!$B$3:$S$600,9,0)</f>
        <v>1</v>
      </c>
      <c r="K271" s="67" t="str">
        <f>VLOOKUP($B271,master!$B$3:$S$600,11,0)</f>
        <v>SRIHARJO</v>
      </c>
      <c r="L271" s="67" t="str">
        <f>VLOOKUP($B271,master!$B$3:$S$600,12,0)</f>
        <v>IMOGIRI</v>
      </c>
      <c r="M271" s="67" t="str">
        <f>VLOOKUP($B271,master!$B$3:$S$600,6,0)</f>
        <v>DWI JAYANTI</v>
      </c>
      <c r="N271" s="82" t="str">
        <f>VLOOKUP($B271,master!$B$3:$S$600,15,0)</f>
        <v>SMP N 3 IMOGIRI</v>
      </c>
      <c r="O271" s="82" t="str">
        <f>VLOOKUP($B271,master!$B$3:$S$600,4,0)</f>
        <v>18-10-2008</v>
      </c>
    </row>
    <row r="272" spans="1:15" ht="15.75" customHeight="1" x14ac:dyDescent="0.25">
      <c r="A272" s="80" t="s">
        <v>1092</v>
      </c>
      <c r="B272" s="11" t="s">
        <v>1077</v>
      </c>
      <c r="C272" s="11" t="s">
        <v>4642</v>
      </c>
      <c r="D272" s="11" t="s">
        <v>140</v>
      </c>
      <c r="E272" s="65" t="str">
        <f>VLOOKUP(D272,Total!$C$2:$D$518,2,0)</f>
        <v>11 TKR 1</v>
      </c>
      <c r="F272" s="65" t="str">
        <f>VLOOKUP(C272,Total!$B$2:$F$514,5,0)</f>
        <v>AKTIF</v>
      </c>
      <c r="G272" s="67" t="str">
        <f>VLOOKUP($B272,master!$B$3:$S$600,16,0)</f>
        <v>89653418663</v>
      </c>
      <c r="H272" s="67" t="str">
        <f>VLOOKUP($B272,master!$B$3:$S$600,17,0)</f>
        <v>0</v>
      </c>
      <c r="I272" s="67" t="str">
        <f>VLOOKUP($B272,master!$B$3:$S$600,8,0)</f>
        <v>KUKAP</v>
      </c>
      <c r="J272" s="67" t="str">
        <f>VLOOKUP($B272,master!$B$3:$S$600,9,0)</f>
        <v>4</v>
      </c>
      <c r="K272" s="67" t="str">
        <f>VLOOKUP($B272,master!$B$3:$S$600,11,0)</f>
        <v>PONCOSARI</v>
      </c>
      <c r="L272" s="67" t="str">
        <f>VLOOKUP($B272,master!$B$3:$S$600,12,0)</f>
        <v>SRANDAKAN</v>
      </c>
      <c r="M272" s="67" t="str">
        <f>VLOOKUP($B272,master!$B$3:$S$600,6,0)</f>
        <v>SUNARYO</v>
      </c>
      <c r="N272" s="82" t="str">
        <f>VLOOKUP($B272,master!$B$3:$S$600,15,0)</f>
        <v>SMP N 2 SRANDAKAN</v>
      </c>
      <c r="O272" s="82" t="str">
        <f>VLOOKUP($B272,master!$B$3:$S$600,4,0)</f>
        <v>9-05-2009</v>
      </c>
    </row>
    <row r="273" spans="1:15" ht="15.75" customHeight="1" x14ac:dyDescent="0.25">
      <c r="A273" s="80" t="s">
        <v>1094</v>
      </c>
      <c r="B273" s="11" t="s">
        <v>1079</v>
      </c>
      <c r="C273" s="11" t="s">
        <v>4643</v>
      </c>
      <c r="D273" s="11" t="s">
        <v>141</v>
      </c>
      <c r="E273" s="65" t="str">
        <f>VLOOKUP(D273,Total!$C$2:$D$518,2,0)</f>
        <v>11 TKR 1</v>
      </c>
      <c r="F273" s="65" t="str">
        <f>VLOOKUP(C273,Total!$B$2:$F$514,5,0)</f>
        <v>AKTIF</v>
      </c>
      <c r="G273" s="67" t="str">
        <f>VLOOKUP($B273,master!$B$3:$S$600,16,0)</f>
        <v>089421898043</v>
      </c>
      <c r="H273" s="67" t="str">
        <f>VLOOKUP($B273,master!$B$3:$S$600,17,0)</f>
        <v>0895327552143</v>
      </c>
      <c r="I273" s="67" t="str">
        <f>VLOOKUP($B273,master!$B$3:$S$600,8,0)</f>
        <v>TANUBAYAN</v>
      </c>
      <c r="J273" s="67" t="str">
        <f>VLOOKUP($B273,master!$B$3:$S$600,9,0)</f>
        <v>11</v>
      </c>
      <c r="K273" s="67" t="str">
        <f>VLOOKUP($B273,master!$B$3:$S$600,11,0)</f>
        <v>TRIRENGGO</v>
      </c>
      <c r="L273" s="67" t="str">
        <f>VLOOKUP($B273,master!$B$3:$S$600,12,0)</f>
        <v>BANTUL</v>
      </c>
      <c r="M273" s="67" t="str">
        <f>VLOOKUP($B273,master!$B$3:$S$600,6,0)</f>
        <v>MARJUKI</v>
      </c>
      <c r="N273" s="82" t="str">
        <f>VLOOKUP($B273,master!$B$3:$S$600,15,0)</f>
        <v>SMP MUHAMMADIYAH BANTUL</v>
      </c>
      <c r="O273" s="82" t="str">
        <f>VLOOKUP($B273,master!$B$3:$S$600,4,0)</f>
        <v>18-01-2009</v>
      </c>
    </row>
    <row r="274" spans="1:15" ht="15.75" customHeight="1" x14ac:dyDescent="0.25">
      <c r="A274" s="80" t="s">
        <v>1096</v>
      </c>
      <c r="B274" s="11" t="s">
        <v>1081</v>
      </c>
      <c r="C274" s="11" t="s">
        <v>4644</v>
      </c>
      <c r="D274" s="11" t="s">
        <v>142</v>
      </c>
      <c r="E274" s="65" t="str">
        <f>VLOOKUP(D274,Total!$C$2:$D$518,2,0)</f>
        <v>11 TKR 1</v>
      </c>
      <c r="F274" s="65" t="str">
        <f>VLOOKUP(C274,Total!$B$2:$F$514,5,0)</f>
        <v>AKTIF</v>
      </c>
      <c r="G274" s="67" t="str">
        <f>VLOOKUP($B274,master!$B$3:$S$600,16,0)</f>
        <v>089649389088</v>
      </c>
      <c r="H274" s="67" t="str">
        <f>VLOOKUP($B274,master!$B$3:$S$600,17,0)</f>
        <v>081575603259</v>
      </c>
      <c r="I274" s="67" t="str">
        <f>VLOOKUP($B274,master!$B$3:$S$600,8,0)</f>
        <v>PURON</v>
      </c>
      <c r="J274" s="67" t="str">
        <f>VLOOKUP($B274,master!$B$3:$S$600,9,0)</f>
        <v>046</v>
      </c>
      <c r="K274" s="67" t="str">
        <f>VLOOKUP($B274,master!$B$3:$S$600,11,0)</f>
        <v>TRIMURTI</v>
      </c>
      <c r="L274" s="67" t="str">
        <f>VLOOKUP($B274,master!$B$3:$S$600,12,0)</f>
        <v>SRANDAKAN</v>
      </c>
      <c r="M274" s="67" t="str">
        <f>VLOOKUP($B274,master!$B$3:$S$600,6,0)</f>
        <v>ISTINAH</v>
      </c>
      <c r="N274" s="82" t="str">
        <f>VLOOKUP($B274,master!$B$3:$S$600,15,0)</f>
        <v>SMP N 1 SRANDAKAN</v>
      </c>
      <c r="O274" s="82" t="str">
        <f>VLOOKUP($B274,master!$B$3:$S$600,4,0)</f>
        <v>15-07-2007</v>
      </c>
    </row>
    <row r="275" spans="1:15" ht="15.75" customHeight="1" x14ac:dyDescent="0.25">
      <c r="A275" s="80" t="s">
        <v>1098</v>
      </c>
      <c r="B275" s="11" t="s">
        <v>1083</v>
      </c>
      <c r="C275" s="11" t="s">
        <v>4645</v>
      </c>
      <c r="D275" s="11" t="s">
        <v>143</v>
      </c>
      <c r="E275" s="65" t="str">
        <f>VLOOKUP(D275,Total!$C$2:$D$518,2,0)</f>
        <v>11 TKR 1</v>
      </c>
      <c r="F275" s="65" t="str">
        <f>VLOOKUP(C275,Total!$B$2:$F$514,5,0)</f>
        <v>AKTIF</v>
      </c>
      <c r="G275" s="67" t="str">
        <f>VLOOKUP($B275,master!$B$3:$S$600,16,0)</f>
        <v>087738667300</v>
      </c>
      <c r="H275" s="67" t="str">
        <f>VLOOKUP($B275,master!$B$3:$S$600,17,0)</f>
        <v>-</v>
      </c>
      <c r="I275" s="67" t="str">
        <f>VLOOKUP($B275,master!$B$3:$S$600,8,0)</f>
        <v>JOMBORAN</v>
      </c>
      <c r="J275" s="67" t="str">
        <f>VLOOKUP($B275,master!$B$3:$S$600,9,0)</f>
        <v>5</v>
      </c>
      <c r="K275" s="67" t="str">
        <f>VLOOKUP($B275,master!$B$3:$S$600,11,0)</f>
        <v>GILANGHARJO</v>
      </c>
      <c r="L275" s="67" t="str">
        <f>VLOOKUP($B275,master!$B$3:$S$600,12,0)</f>
        <v>PANDAK</v>
      </c>
      <c r="M275" s="67" t="str">
        <f>VLOOKUP($B275,master!$B$3:$S$600,6,0)</f>
        <v>MUHDI NURYANTO</v>
      </c>
      <c r="N275" s="82" t="str">
        <f>VLOOKUP($B275,master!$B$3:$S$600,15,0)</f>
        <v>MTS N 4 BANTUL</v>
      </c>
      <c r="O275" s="82" t="str">
        <f>VLOOKUP($B275,master!$B$3:$S$600,4,0)</f>
        <v>28-04-2008</v>
      </c>
    </row>
    <row r="276" spans="1:15" ht="15.75" customHeight="1" x14ac:dyDescent="0.25">
      <c r="A276" s="80" t="s">
        <v>1100</v>
      </c>
      <c r="B276" s="11" t="s">
        <v>1085</v>
      </c>
      <c r="C276" s="11" t="s">
        <v>4646</v>
      </c>
      <c r="D276" s="11" t="s">
        <v>144</v>
      </c>
      <c r="E276" s="65" t="str">
        <f>VLOOKUP(D276,Total!$C$2:$D$518,2,0)</f>
        <v>11 TKR 1</v>
      </c>
      <c r="F276" s="65" t="str">
        <f>VLOOKUP(C276,Total!$B$2:$F$514,5,0)</f>
        <v>AKTIF</v>
      </c>
      <c r="G276" s="67" t="str">
        <f>VLOOKUP($B276,master!$B$3:$S$600,16,0)</f>
        <v>081247872866</v>
      </c>
      <c r="H276" s="67" t="str">
        <f>VLOOKUP($B276,master!$B$3:$S$600,17,0)</f>
        <v>089527641540</v>
      </c>
      <c r="I276" s="67" t="str">
        <f>VLOOKUP($B276,master!$B$3:$S$600,8,0)</f>
        <v>GADHINGHARJO</v>
      </c>
      <c r="J276" s="67" t="str">
        <f>VLOOKUP($B276,master!$B$3:$S$600,9,0)</f>
        <v>25</v>
      </c>
      <c r="K276" s="67" t="str">
        <f>VLOOKUP($B276,master!$B$3:$S$600,11,0)</f>
        <v>DONOTIRTO</v>
      </c>
      <c r="L276" s="67" t="str">
        <f>VLOOKUP($B276,master!$B$3:$S$600,12,0)</f>
        <v>KRETEK</v>
      </c>
      <c r="M276" s="67" t="str">
        <f>VLOOKUP($B276,master!$B$3:$S$600,6,0)</f>
        <v>EKO DESI ATMOJO</v>
      </c>
      <c r="N276" s="82" t="str">
        <f>VLOOKUP($B276,master!$B$3:$S$600,15,0)</f>
        <v>SMP N 2 KRETEK</v>
      </c>
      <c r="O276" s="82" t="str">
        <f>VLOOKUP($B276,master!$B$3:$S$600,4,0)</f>
        <v>30-09-2008</v>
      </c>
    </row>
    <row r="277" spans="1:15" ht="15.75" customHeight="1" x14ac:dyDescent="0.25">
      <c r="A277" s="80" t="s">
        <v>1102</v>
      </c>
      <c r="B277" s="11" t="s">
        <v>1087</v>
      </c>
      <c r="C277" s="11" t="s">
        <v>4647</v>
      </c>
      <c r="D277" s="11" t="s">
        <v>145</v>
      </c>
      <c r="E277" s="65" t="str">
        <f>VLOOKUP(D277,Total!$C$2:$D$518,2,0)</f>
        <v>11 TKR 1</v>
      </c>
      <c r="F277" s="65" t="str">
        <f>VLOOKUP(C277,Total!$B$2:$F$514,5,0)</f>
        <v>AKTIF</v>
      </c>
      <c r="G277" s="67" t="str">
        <f>VLOOKUP($B277,master!$B$3:$S$600,16,0)</f>
        <v>082135231297</v>
      </c>
      <c r="H277" s="67" t="str">
        <f>VLOOKUP($B277,master!$B$3:$S$600,17,0)</f>
        <v>082135231297</v>
      </c>
      <c r="I277" s="67" t="str">
        <f>VLOOKUP($B277,master!$B$3:$S$600,8,0)</f>
        <v>BEDUKAN</v>
      </c>
      <c r="J277" s="67" t="str">
        <f>VLOOKUP($B277,master!$B$3:$S$600,9,0)</f>
        <v>4</v>
      </c>
      <c r="K277" s="67" t="str">
        <f>VLOOKUP($B277,master!$B$3:$S$600,11,0)</f>
        <v>PLERET</v>
      </c>
      <c r="L277" s="67" t="str">
        <f>VLOOKUP($B277,master!$B$3:$S$600,12,0)</f>
        <v>PLERET</v>
      </c>
      <c r="M277" s="67" t="str">
        <f>VLOOKUP($B277,master!$B$3:$S$600,6,0)</f>
        <v>SUPIYATI</v>
      </c>
      <c r="N277" s="82" t="str">
        <f>VLOOKUP($B277,master!$B$3:$S$600,15,0)</f>
        <v>MTS TQ AR-RISALAH</v>
      </c>
      <c r="O277" s="82" t="str">
        <f>VLOOKUP($B277,master!$B$3:$S$600,4,0)</f>
        <v>28-08-2008</v>
      </c>
    </row>
    <row r="278" spans="1:15" ht="15.75" customHeight="1" x14ac:dyDescent="0.25">
      <c r="A278" s="80" t="s">
        <v>1104</v>
      </c>
      <c r="B278" s="11" t="s">
        <v>1089</v>
      </c>
      <c r="C278" s="11" t="s">
        <v>4648</v>
      </c>
      <c r="D278" s="11" t="s">
        <v>146</v>
      </c>
      <c r="E278" s="65" t="str">
        <f>VLOOKUP(D278,Total!$C$2:$D$518,2,0)</f>
        <v>11 TKR 1</v>
      </c>
      <c r="F278" s="65" t="str">
        <f>VLOOKUP(C278,Total!$B$2:$F$514,5,0)</f>
        <v>KELUAR</v>
      </c>
      <c r="G278" s="67" t="str">
        <f>VLOOKUP($B278,master!$B$3:$S$600,16,0)</f>
        <v>81804395111</v>
      </c>
      <c r="H278" s="67" t="str">
        <f>VLOOKUP($B278,master!$B$3:$S$600,17,0)</f>
        <v>0</v>
      </c>
      <c r="I278" s="67" t="str">
        <f>VLOOKUP($B278,master!$B$3:$S$600,8,0)</f>
        <v>PANJANG</v>
      </c>
      <c r="J278" s="67" t="str">
        <f>VLOOKUP($B278,master!$B$3:$S$600,9,0)</f>
        <v>2</v>
      </c>
      <c r="K278" s="67" t="str">
        <f>VLOOKUP($B278,master!$B$3:$S$600,11,0)</f>
        <v>PANJANGREJO</v>
      </c>
      <c r="L278" s="67" t="str">
        <f>VLOOKUP($B278,master!$B$3:$S$600,12,0)</f>
        <v>PUNDONG</v>
      </c>
      <c r="M278" s="67" t="str">
        <f>VLOOKUP($B278,master!$B$3:$S$600,6,0)</f>
        <v>PONIRAN</v>
      </c>
      <c r="N278" s="82" t="str">
        <f>VLOOKUP($B278,master!$B$3:$S$600,15,0)</f>
        <v>SMP N 1 PUNDONG</v>
      </c>
      <c r="O278" s="82" t="str">
        <f>VLOOKUP($B278,master!$B$3:$S$600,4,0)</f>
        <v>25-02-2009</v>
      </c>
    </row>
    <row r="279" spans="1:15" ht="15.75" customHeight="1" x14ac:dyDescent="0.25">
      <c r="A279" s="80" t="s">
        <v>1106</v>
      </c>
      <c r="B279" s="11" t="s">
        <v>1091</v>
      </c>
      <c r="C279" s="11" t="s">
        <v>4649</v>
      </c>
      <c r="D279" s="11" t="s">
        <v>147</v>
      </c>
      <c r="E279" s="65" t="str">
        <f>VLOOKUP(D279,Total!$C$2:$D$518,2,0)</f>
        <v>11 TKR 1</v>
      </c>
      <c r="F279" s="65" t="str">
        <f>VLOOKUP(C279,Total!$B$2:$F$514,5,0)</f>
        <v>AKTIF</v>
      </c>
      <c r="G279" s="67" t="str">
        <f>VLOOKUP($B279,master!$B$3:$S$600,16,0)</f>
        <v>081228901390</v>
      </c>
      <c r="H279" s="67" t="str">
        <f>VLOOKUP($B279,master!$B$3:$S$600,17,0)</f>
        <v>085643365818</v>
      </c>
      <c r="I279" s="67" t="str">
        <f>VLOOKUP($B279,master!$B$3:$S$600,8,0)</f>
        <v>Banyidono</v>
      </c>
      <c r="J279" s="67" t="str">
        <f>VLOOKUP($B279,master!$B$3:$S$600,9,0)</f>
        <v>04</v>
      </c>
      <c r="K279" s="67" t="str">
        <f>VLOOKUP($B279,master!$B$3:$S$600,11,0)</f>
        <v>Canden</v>
      </c>
      <c r="L279" s="67" t="str">
        <f>VLOOKUP($B279,master!$B$3:$S$600,12,0)</f>
        <v>Jetis</v>
      </c>
      <c r="M279" s="67" t="str">
        <f>VLOOKUP($B279,master!$B$3:$S$600,6,0)</f>
        <v>Gunawan</v>
      </c>
      <c r="N279" s="82" t="str">
        <f>VLOOKUP($B279,master!$B$3:$S$600,15,0)</f>
        <v>SMPN 3 JETIS</v>
      </c>
      <c r="O279" s="82" t="str">
        <f>VLOOKUP($B279,master!$B$3:$S$600,4,0)</f>
        <v>30-12-2008</v>
      </c>
    </row>
    <row r="280" spans="1:15" ht="15.75" customHeight="1" x14ac:dyDescent="0.25">
      <c r="A280" s="80" t="s">
        <v>1108</v>
      </c>
      <c r="B280" s="11" t="s">
        <v>1093</v>
      </c>
      <c r="C280" s="11" t="s">
        <v>4650</v>
      </c>
      <c r="D280" s="11" t="s">
        <v>148</v>
      </c>
      <c r="E280" s="65" t="str">
        <f>VLOOKUP(D280,Total!$C$2:$D$518,2,0)</f>
        <v>11 TKR 1</v>
      </c>
      <c r="F280" s="65" t="str">
        <f>VLOOKUP(C280,Total!$B$2:$F$514,5,0)</f>
        <v>AKTIF</v>
      </c>
      <c r="G280" s="67" t="str">
        <f>VLOOKUP($B280,master!$B$3:$S$600,16,0)</f>
        <v>08175428592</v>
      </c>
      <c r="H280" s="67" t="str">
        <f>VLOOKUP($B280,master!$B$3:$S$600,17,0)</f>
        <v>-</v>
      </c>
      <c r="I280" s="67" t="str">
        <f>VLOOKUP($B280,master!$B$3:$S$600,8,0)</f>
        <v>DAGAN</v>
      </c>
      <c r="J280" s="67" t="str">
        <f>VLOOKUP($B280,master!$B$3:$S$600,9,0)</f>
        <v>2</v>
      </c>
      <c r="K280" s="67" t="str">
        <f>VLOOKUP($B280,master!$B$3:$S$600,11,0)</f>
        <v>SIDOMULYO</v>
      </c>
      <c r="L280" s="67" t="str">
        <f>VLOOKUP($B280,master!$B$3:$S$600,12,0)</f>
        <v>BAMBANGLIPURO</v>
      </c>
      <c r="M280" s="67" t="str">
        <f>VLOOKUP($B280,master!$B$3:$S$600,6,0)</f>
        <v>ASIH MULYANI</v>
      </c>
      <c r="N280" s="82" t="str">
        <f>VLOOKUP($B280,master!$B$3:$S$600,15,0)</f>
        <v>SMP N 1 BAMBANGLIPURO</v>
      </c>
      <c r="O280" s="82" t="str">
        <f>VLOOKUP($B280,master!$B$3:$S$600,4,0)</f>
        <v>23-11-2008</v>
      </c>
    </row>
    <row r="281" spans="1:15" ht="15.75" customHeight="1" x14ac:dyDescent="0.25">
      <c r="A281" s="80" t="s">
        <v>1110</v>
      </c>
      <c r="B281" s="11" t="s">
        <v>1095</v>
      </c>
      <c r="C281" s="11" t="s">
        <v>4651</v>
      </c>
      <c r="D281" s="11" t="s">
        <v>149</v>
      </c>
      <c r="E281" s="65" t="str">
        <f>VLOOKUP(D281,Total!$C$2:$D$518,2,0)</f>
        <v>11 TKR 1</v>
      </c>
      <c r="F281" s="65" t="str">
        <f>VLOOKUP(C281,Total!$B$2:$F$514,5,0)</f>
        <v>AKTIF</v>
      </c>
      <c r="G281" s="67" t="str">
        <f>VLOOKUP($B281,master!$B$3:$S$600,16,0)</f>
        <v>0882006075058</v>
      </c>
      <c r="H281" s="67" t="str">
        <f>VLOOKUP($B281,master!$B$3:$S$600,17,0)</f>
        <v>08990980665</v>
      </c>
      <c r="I281" s="67" t="str">
        <f>VLOOKUP($B281,master!$B$3:$S$600,8,0)</f>
        <v>SONOPAKIS KIDUL</v>
      </c>
      <c r="J281" s="67" t="str">
        <f>VLOOKUP($B281,master!$B$3:$S$600,9,0)</f>
        <v>1</v>
      </c>
      <c r="K281" s="67" t="str">
        <f>VLOOKUP($B281,master!$B$3:$S$600,11,0)</f>
        <v>NGESTIHARJO</v>
      </c>
      <c r="L281" s="67" t="str">
        <f>VLOOKUP($B281,master!$B$3:$S$600,12,0)</f>
        <v>KASIHAN</v>
      </c>
      <c r="M281" s="67" t="str">
        <f>VLOOKUP($B281,master!$B$3:$S$600,6,0)</f>
        <v>SAMIATI</v>
      </c>
      <c r="N281" s="82" t="str">
        <f>VLOOKUP($B281,master!$B$3:$S$600,15,0)</f>
        <v>SMP ISLAM YOGYAKARTA</v>
      </c>
      <c r="O281" s="82" t="str">
        <f>VLOOKUP($B281,master!$B$3:$S$600,4,0)</f>
        <v>11-05-2008</v>
      </c>
    </row>
    <row r="282" spans="1:15" ht="15.75" customHeight="1" x14ac:dyDescent="0.25">
      <c r="A282" s="80" t="s">
        <v>1112</v>
      </c>
      <c r="B282" s="11" t="s">
        <v>1097</v>
      </c>
      <c r="C282" s="11" t="s">
        <v>4652</v>
      </c>
      <c r="D282" s="11" t="s">
        <v>150</v>
      </c>
      <c r="E282" s="65" t="str">
        <f>VLOOKUP(D282,Total!$C$2:$D$518,2,0)</f>
        <v>11 TKR 1</v>
      </c>
      <c r="F282" s="65" t="str">
        <f>VLOOKUP(C282,Total!$B$2:$F$514,5,0)</f>
        <v>KELUAR</v>
      </c>
      <c r="G282" s="67" t="str">
        <f>VLOOKUP($B282,master!$B$3:$S$600,16,0)</f>
        <v>085946688794</v>
      </c>
      <c r="H282" s="67" t="str">
        <f>VLOOKUP($B282,master!$B$3:$S$600,17,0)</f>
        <v>085947701164</v>
      </c>
      <c r="I282" s="67" t="str">
        <f>VLOOKUP($B282,master!$B$3:$S$600,8,0)</f>
        <v>PENDOWO</v>
      </c>
      <c r="J282" s="67" t="str">
        <f>VLOOKUP($B282,master!$B$3:$S$600,9,0)</f>
        <v>086</v>
      </c>
      <c r="K282" s="67" t="str">
        <f>VLOOKUP($B282,master!$B$3:$S$600,11,0)</f>
        <v>PENDOWOHARJO</v>
      </c>
      <c r="L282" s="67" t="str">
        <f>VLOOKUP($B282,master!$B$3:$S$600,12,0)</f>
        <v>SEWON</v>
      </c>
      <c r="M282" s="67" t="str">
        <f>VLOOKUP($B282,master!$B$3:$S$600,6,0)</f>
        <v>PARTINI</v>
      </c>
      <c r="N282" s="82" t="str">
        <f>VLOOKUP($B282,master!$B$3:$S$600,15,0)</f>
        <v>SMP MUHAMMADIYAH BANTUL</v>
      </c>
      <c r="O282" s="82" t="str">
        <f>VLOOKUP($B282,master!$B$3:$S$600,4,0)</f>
        <v>3-05-2008</v>
      </c>
    </row>
    <row r="283" spans="1:15" ht="15.75" customHeight="1" x14ac:dyDescent="0.25">
      <c r="A283" s="80" t="s">
        <v>1114</v>
      </c>
      <c r="B283" s="11" t="s">
        <v>1099</v>
      </c>
      <c r="C283" s="11" t="s">
        <v>4653</v>
      </c>
      <c r="D283" s="11" t="s">
        <v>151</v>
      </c>
      <c r="E283" s="65" t="str">
        <f>VLOOKUP(D283,Total!$C$2:$D$518,2,0)</f>
        <v>11 TKR 1</v>
      </c>
      <c r="F283" s="65" t="str">
        <f>VLOOKUP(C283,Total!$B$2:$F$514,5,0)</f>
        <v>AKTIF</v>
      </c>
      <c r="G283" s="67" t="str">
        <f>VLOOKUP($B283,master!$B$3:$S$600,16,0)</f>
        <v>083871025813</v>
      </c>
      <c r="H283" s="67" t="str">
        <f>VLOOKUP($B283,master!$B$3:$S$600,17,0)</f>
        <v>082334623783</v>
      </c>
      <c r="I283" s="67" t="str">
        <f>VLOOKUP($B283,master!$B$3:$S$600,8,0)</f>
        <v>PALANGJIWAN</v>
      </c>
      <c r="J283" s="67" t="str">
        <f>VLOOKUP($B283,master!$B$3:$S$600,9,0)</f>
        <v>11</v>
      </c>
      <c r="K283" s="67" t="str">
        <f>VLOOKUP($B283,master!$B$3:$S$600,11,0)</f>
        <v>DONOTIRTO</v>
      </c>
      <c r="L283" s="67" t="str">
        <f>VLOOKUP($B283,master!$B$3:$S$600,12,0)</f>
        <v>KRETEK</v>
      </c>
      <c r="M283" s="67" t="str">
        <f>VLOOKUP($B283,master!$B$3:$S$600,6,0)</f>
        <v>Sri Rahayu</v>
      </c>
      <c r="N283" s="82" t="str">
        <f>VLOOKUP($B283,master!$B$3:$S$600,15,0)</f>
        <v>MTS N 5 BANTUL</v>
      </c>
      <c r="O283" s="82" t="str">
        <f>VLOOKUP($B283,master!$B$3:$S$600,4,0)</f>
        <v>2-09-2008</v>
      </c>
    </row>
    <row r="284" spans="1:15" ht="15.75" customHeight="1" x14ac:dyDescent="0.25">
      <c r="A284" s="80" t="s">
        <v>1116</v>
      </c>
      <c r="B284" s="11" t="s">
        <v>1101</v>
      </c>
      <c r="C284" s="11" t="s">
        <v>4654</v>
      </c>
      <c r="D284" s="11" t="s">
        <v>152</v>
      </c>
      <c r="E284" s="65" t="str">
        <f>VLOOKUP(D284,Total!$C$2:$D$518,2,0)</f>
        <v>11 TKR 1</v>
      </c>
      <c r="F284" s="65" t="str">
        <f>VLOOKUP(C284,Total!$B$2:$F$514,5,0)</f>
        <v>AKTIF</v>
      </c>
      <c r="G284" s="67" t="str">
        <f>VLOOKUP($B284,master!$B$3:$S$600,16,0)</f>
        <v>0896 4688 8878</v>
      </c>
      <c r="H284" s="67" t="str">
        <f>VLOOKUP($B284,master!$B$3:$S$600,17,0)</f>
        <v>0817 1737 2057</v>
      </c>
      <c r="I284" s="67" t="str">
        <f>VLOOKUP($B284,master!$B$3:$S$600,8,0)</f>
        <v>BAKULAN WETAN</v>
      </c>
      <c r="J284" s="67" t="str">
        <f>VLOOKUP($B284,master!$B$3:$S$600,9,0)</f>
        <v>005</v>
      </c>
      <c r="K284" s="67" t="str">
        <f>VLOOKUP($B284,master!$B$3:$S$600,11,0)</f>
        <v>PATALAN</v>
      </c>
      <c r="L284" s="67" t="str">
        <f>VLOOKUP($B284,master!$B$3:$S$600,12,0)</f>
        <v>JETIS</v>
      </c>
      <c r="M284" s="67" t="str">
        <f>VLOOKUP($B284,master!$B$3:$S$600,6,0)</f>
        <v>Wahyudi / Rini suwanti</v>
      </c>
      <c r="N284" s="82" t="str">
        <f>VLOOKUP($B284,master!$B$3:$S$600,15,0)</f>
        <v>SMP N 2 JETIS</v>
      </c>
      <c r="O284" s="82" t="str">
        <f>VLOOKUP($B284,master!$B$3:$S$600,4,0)</f>
        <v>26-01-2009</v>
      </c>
    </row>
    <row r="285" spans="1:15" ht="15.75" customHeight="1" x14ac:dyDescent="0.25">
      <c r="A285" s="80" t="s">
        <v>1118</v>
      </c>
      <c r="B285" s="11" t="s">
        <v>1103</v>
      </c>
      <c r="C285" s="11" t="s">
        <v>4655</v>
      </c>
      <c r="D285" s="11" t="s">
        <v>153</v>
      </c>
      <c r="E285" s="65" t="str">
        <f>VLOOKUP(D285,Total!$C$2:$D$518,2,0)</f>
        <v>11 TKR 1</v>
      </c>
      <c r="F285" s="65" t="str">
        <f>VLOOKUP(C285,Total!$B$2:$F$514,5,0)</f>
        <v>KELUAR</v>
      </c>
      <c r="G285" s="67" t="str">
        <f>VLOOKUP($B285,master!$B$3:$S$600,16,0)</f>
        <v>-</v>
      </c>
      <c r="H285" s="67" t="str">
        <f>VLOOKUP($B285,master!$B$3:$S$600,17,0)</f>
        <v>0882008894310</v>
      </c>
      <c r="I285" s="67" t="str">
        <f>VLOOKUP($B285,master!$B$3:$S$600,8,0)</f>
        <v>Dukuh</v>
      </c>
      <c r="J285" s="67" t="str">
        <f>VLOOKUP($B285,master!$B$3:$S$600,9,0)</f>
        <v>01</v>
      </c>
      <c r="K285" s="67" t="str">
        <f>VLOOKUP($B285,master!$B$3:$S$600,11,0)</f>
        <v>SELOHARJO</v>
      </c>
      <c r="L285" s="67" t="str">
        <f>VLOOKUP($B285,master!$B$3:$S$600,12,0)</f>
        <v>PUNDONG</v>
      </c>
      <c r="M285" s="67" t="str">
        <f>VLOOKUP($B285,master!$B$3:$S$600,6,0)</f>
        <v>Ponidi</v>
      </c>
      <c r="N285" s="82" t="str">
        <f>VLOOKUP($B285,master!$B$3:$S$600,15,0)</f>
        <v>SMP N 1 PUNDONG</v>
      </c>
      <c r="O285" s="82" t="str">
        <f>VLOOKUP($B285,master!$B$3:$S$600,4,0)</f>
        <v>4-04-2008</v>
      </c>
    </row>
    <row r="286" spans="1:15" ht="15.75" customHeight="1" x14ac:dyDescent="0.25">
      <c r="A286" s="80" t="s">
        <v>1120</v>
      </c>
      <c r="B286" s="11" t="s">
        <v>1105</v>
      </c>
      <c r="C286" s="11" t="s">
        <v>4759</v>
      </c>
      <c r="D286" s="11" t="s">
        <v>154</v>
      </c>
      <c r="E286" s="65" t="str">
        <f>VLOOKUP(D286,Total!$C$2:$D$518,2,0)</f>
        <v>11 TKR 1</v>
      </c>
      <c r="F286" s="65" t="str">
        <f>VLOOKUP(C286,Total!$B$2:$F$514,5,0)</f>
        <v>KELUAR</v>
      </c>
      <c r="G286" s="67" t="str">
        <f>VLOOKUP($B286,master!$B$3:$S$600,16,0)</f>
        <v>85828397864</v>
      </c>
      <c r="H286" s="67" t="str">
        <f>VLOOKUP($B286,master!$B$3:$S$600,17,0)</f>
        <v>0</v>
      </c>
      <c r="I286" s="67" t="str">
        <f>VLOOKUP($B286,master!$B$3:$S$600,8,0)</f>
        <v>PLUMBUNGAN</v>
      </c>
      <c r="J286" s="67" t="str">
        <f>VLOOKUP($B286,master!$B$3:$S$600,9,0)</f>
        <v>1</v>
      </c>
      <c r="K286" s="67" t="str">
        <f>VLOOKUP($B286,master!$B$3:$S$600,11,0)</f>
        <v>SUMBERMULYO</v>
      </c>
      <c r="L286" s="67" t="str">
        <f>VLOOKUP($B286,master!$B$3:$S$600,12,0)</f>
        <v>BAMBANGLIPURO</v>
      </c>
      <c r="M286" s="67" t="str">
        <f>VLOOKUP($B286,master!$B$3:$S$600,6,0)</f>
        <v>SUHARTA</v>
      </c>
      <c r="N286" s="82" t="str">
        <f>VLOOKUP($B286,master!$B$3:$S$600,15,0)</f>
        <v>SMP N 1 BAMBANGLIPURO</v>
      </c>
      <c r="O286" s="82" t="str">
        <f>VLOOKUP($B286,master!$B$3:$S$600,4,0)</f>
        <v>8-03-2009</v>
      </c>
    </row>
    <row r="287" spans="1:15" ht="15.75" customHeight="1" x14ac:dyDescent="0.25">
      <c r="A287" s="80" t="s">
        <v>1122</v>
      </c>
      <c r="B287" s="11" t="s">
        <v>1107</v>
      </c>
      <c r="C287" s="11" t="s">
        <v>4656</v>
      </c>
      <c r="D287" s="11" t="s">
        <v>155</v>
      </c>
      <c r="E287" s="65" t="str">
        <f>VLOOKUP(D287,Total!$C$2:$D$518,2,0)</f>
        <v>11 TKR 1</v>
      </c>
      <c r="F287" s="65" t="str">
        <f>VLOOKUP(C287,Total!$B$2:$F$514,5,0)</f>
        <v>AKTIF</v>
      </c>
      <c r="G287" s="67" t="str">
        <f>VLOOKUP($B287,master!$B$3:$S$600,16,0)</f>
        <v>82221022299</v>
      </c>
      <c r="H287" s="67" t="str">
        <f>VLOOKUP($B287,master!$B$3:$S$600,17,0)</f>
        <v>0</v>
      </c>
      <c r="I287" s="67" t="str">
        <f>VLOOKUP($B287,master!$B$3:$S$600,8,0)</f>
        <v>JAYAN</v>
      </c>
      <c r="J287" s="67" t="str">
        <f>VLOOKUP($B287,master!$B$3:$S$600,9,0)</f>
        <v>2</v>
      </c>
      <c r="K287" s="67" t="str">
        <f>VLOOKUP($B287,master!$B$3:$S$600,11,0)</f>
        <v>CANDEN</v>
      </c>
      <c r="L287" s="67" t="str">
        <f>VLOOKUP($B287,master!$B$3:$S$600,12,0)</f>
        <v>JETIS</v>
      </c>
      <c r="M287" s="67" t="str">
        <f>VLOOKUP($B287,master!$B$3:$S$600,6,0)</f>
        <v>PARJILAN</v>
      </c>
      <c r="N287" s="82" t="str">
        <f>VLOOKUP($B287,master!$B$3:$S$600,15,0)</f>
        <v>SMP N 3 JETIS</v>
      </c>
      <c r="O287" s="82" t="str">
        <f>VLOOKUP($B287,master!$B$3:$S$600,4,0)</f>
        <v>24-09-2008</v>
      </c>
    </row>
    <row r="288" spans="1:15" ht="15.75" customHeight="1" x14ac:dyDescent="0.25">
      <c r="A288" s="80" t="s">
        <v>1124</v>
      </c>
      <c r="B288" s="11" t="s">
        <v>1109</v>
      </c>
      <c r="C288" s="11" t="s">
        <v>4657</v>
      </c>
      <c r="D288" s="11" t="s">
        <v>156</v>
      </c>
      <c r="E288" s="65" t="str">
        <f>VLOOKUP(D288,Total!$C$2:$D$518,2,0)</f>
        <v>11 TKR 1</v>
      </c>
      <c r="F288" s="65" t="str">
        <f>VLOOKUP(C288,Total!$B$2:$F$514,5,0)</f>
        <v>AKTIF</v>
      </c>
      <c r="G288" s="67" t="str">
        <f>VLOOKUP($B288,master!$B$3:$S$600,16,0)</f>
        <v>089665694237</v>
      </c>
      <c r="H288" s="67" t="str">
        <f>VLOOKUP($B288,master!$B$3:$S$600,17,0)</f>
        <v>085727287162</v>
      </c>
      <c r="I288" s="67" t="str">
        <f>VLOOKUP($B288,master!$B$3:$S$600,8,0)</f>
        <v>TEGAL</v>
      </c>
      <c r="J288" s="67" t="str">
        <f>VLOOKUP($B288,master!$B$3:$S$600,9,0)</f>
        <v>2</v>
      </c>
      <c r="K288" s="67" t="str">
        <f>VLOOKUP($B288,master!$B$3:$S$600,11,0)</f>
        <v>JAMBITAN</v>
      </c>
      <c r="L288" s="67" t="str">
        <f>VLOOKUP($B288,master!$B$3:$S$600,12,0)</f>
        <v>BANGUNTAPAN</v>
      </c>
      <c r="M288" s="67" t="str">
        <f>VLOOKUP($B288,master!$B$3:$S$600,6,0)</f>
        <v>MARYOTO</v>
      </c>
      <c r="N288" s="82" t="str">
        <f>VLOOKUP($B288,master!$B$3:$S$600,15,0)</f>
        <v>SMP MUHAMMADIYAH BANGUNTAPAN</v>
      </c>
      <c r="O288" s="82" t="str">
        <f>VLOOKUP($B288,master!$B$3:$S$600,4,0)</f>
        <v>27-07-2008</v>
      </c>
    </row>
    <row r="289" spans="1:15" ht="15.75" customHeight="1" x14ac:dyDescent="0.25">
      <c r="A289" s="80" t="s">
        <v>1126</v>
      </c>
      <c r="B289" s="11" t="s">
        <v>1111</v>
      </c>
      <c r="C289" s="11" t="s">
        <v>4658</v>
      </c>
      <c r="D289" s="11" t="s">
        <v>157</v>
      </c>
      <c r="E289" s="65" t="str">
        <f>VLOOKUP(D289,Total!$C$2:$D$518,2,0)</f>
        <v>11 TKR 1</v>
      </c>
      <c r="F289" s="65" t="str">
        <f>VLOOKUP(C289,Total!$B$2:$F$514,5,0)</f>
        <v>KELUAR</v>
      </c>
      <c r="G289" s="67" t="str">
        <f>VLOOKUP($B289,master!$B$3:$S$600,16,0)</f>
        <v>082136177831</v>
      </c>
      <c r="H289" s="67" t="str">
        <f>VLOOKUP($B289,master!$B$3:$S$600,17,0)</f>
        <v>-</v>
      </c>
      <c r="I289" s="67" t="str">
        <f>VLOOKUP($B289,master!$B$3:$S$600,8,0)</f>
        <v>BANDUNG</v>
      </c>
      <c r="J289" s="67" t="str">
        <f>VLOOKUP($B289,master!$B$3:$S$600,9,0)</f>
        <v>28</v>
      </c>
      <c r="K289" s="67" t="str">
        <f>VLOOKUP($B289,master!$B$3:$S$600,11,0)</f>
        <v>PENDOWOHARJO</v>
      </c>
      <c r="L289" s="67" t="str">
        <f>VLOOKUP($B289,master!$B$3:$S$600,12,0)</f>
        <v>SEWON</v>
      </c>
      <c r="M289" s="67" t="str">
        <f>VLOOKUP($B289,master!$B$3:$S$600,6,0)</f>
        <v>YULIANTO</v>
      </c>
      <c r="N289" s="82" t="str">
        <f>VLOOKUP($B289,master!$B$3:$S$600,15,0)</f>
        <v>SMP MUHAMMADIYAH BANTUL</v>
      </c>
      <c r="O289" s="82" t="str">
        <f>VLOOKUP($B289,master!$B$3:$S$600,4,0)</f>
        <v>19-01-2009</v>
      </c>
    </row>
    <row r="290" spans="1:15" ht="15.75" customHeight="1" x14ac:dyDescent="0.25">
      <c r="A290" s="80" t="s">
        <v>1128</v>
      </c>
      <c r="B290" s="11" t="s">
        <v>1113</v>
      </c>
      <c r="C290" s="11" t="s">
        <v>4659</v>
      </c>
      <c r="D290" s="11" t="s">
        <v>158</v>
      </c>
      <c r="E290" s="65" t="str">
        <f>VLOOKUP(D290,Total!$C$2:$D$518,2,0)</f>
        <v>11 TKR 1</v>
      </c>
      <c r="F290" s="65" t="str">
        <f>VLOOKUP(C290,Total!$B$2:$F$514,5,0)</f>
        <v>AKTIF</v>
      </c>
      <c r="G290" s="67" t="str">
        <f>VLOOKUP($B290,master!$B$3:$S$600,16,0)</f>
        <v>085214908577</v>
      </c>
      <c r="H290" s="67" t="str">
        <f>VLOOKUP($B290,master!$B$3:$S$600,17,0)</f>
        <v>-</v>
      </c>
      <c r="I290" s="67" t="str">
        <f>VLOOKUP($B290,master!$B$3:$S$600,8,0)</f>
        <v>PLURUGAN</v>
      </c>
      <c r="J290" s="67" t="str">
        <f>VLOOKUP($B290,master!$B$3:$S$600,9,0)</f>
        <v>10</v>
      </c>
      <c r="K290" s="67" t="str">
        <f>VLOOKUP($B290,master!$B$3:$S$600,11,0)</f>
        <v>TIRTONIRMOLO</v>
      </c>
      <c r="L290" s="67" t="str">
        <f>VLOOKUP($B290,master!$B$3:$S$600,12,0)</f>
        <v>KASIHAN</v>
      </c>
      <c r="M290" s="67" t="str">
        <f>VLOOKUP($B290,master!$B$3:$S$600,6,0)</f>
        <v>MASJONI</v>
      </c>
      <c r="N290" s="82" t="str">
        <f>VLOOKUP($B290,master!$B$3:$S$600,15,0)</f>
        <v>SMP MUHAMMADIYAH SEWON</v>
      </c>
      <c r="O290" s="82" t="str">
        <f>VLOOKUP($B290,master!$B$3:$S$600,4,0)</f>
        <v>29-04-2008</v>
      </c>
    </row>
    <row r="291" spans="1:15" ht="15.75" customHeight="1" x14ac:dyDescent="0.25">
      <c r="A291" s="80" t="s">
        <v>1130</v>
      </c>
      <c r="B291" s="11" t="s">
        <v>1115</v>
      </c>
      <c r="C291" s="11" t="s">
        <v>4660</v>
      </c>
      <c r="D291" s="11" t="s">
        <v>159</v>
      </c>
      <c r="E291" s="65" t="str">
        <f>VLOOKUP(D291,Total!$C$2:$D$518,2,0)</f>
        <v>11 TKR 1</v>
      </c>
      <c r="F291" s="65" t="str">
        <f>VLOOKUP(C291,Total!$B$2:$F$514,5,0)</f>
        <v>AKTIF</v>
      </c>
      <c r="G291" s="67" t="str">
        <f>VLOOKUP($B291,master!$B$3:$S$600,16,0)</f>
        <v>087838885805</v>
      </c>
      <c r="H291" s="67" t="str">
        <f>VLOOKUP($B291,master!$B$3:$S$600,17,0)</f>
        <v>085246527204</v>
      </c>
      <c r="I291" s="67" t="str">
        <f>VLOOKUP($B291,master!$B$3:$S$600,8,0)</f>
        <v>BANGI</v>
      </c>
      <c r="J291" s="67" t="str">
        <f>VLOOKUP($B291,master!$B$3:$S$600,9,0)</f>
        <v>07</v>
      </c>
      <c r="K291" s="67" t="str">
        <f>VLOOKUP($B291,master!$B$3:$S$600,11,0)</f>
        <v>TIMBULHARJO</v>
      </c>
      <c r="L291" s="67" t="str">
        <f>VLOOKUP($B291,master!$B$3:$S$600,12,0)</f>
        <v>SEWON</v>
      </c>
      <c r="M291" s="67" t="str">
        <f>VLOOKUP($B291,master!$B$3:$S$600,6,0)</f>
        <v>Sarjiman</v>
      </c>
      <c r="N291" s="82" t="str">
        <f>VLOOKUP($B291,master!$B$3:$S$600,15,0)</f>
        <v>SMP N 1 SEWON</v>
      </c>
      <c r="O291" s="82" t="str">
        <f>VLOOKUP($B291,master!$B$3:$S$600,4,0)</f>
        <v>26-09-2008</v>
      </c>
    </row>
    <row r="292" spans="1:15" ht="15.75" customHeight="1" x14ac:dyDescent="0.25">
      <c r="A292" s="80" t="s">
        <v>1132</v>
      </c>
      <c r="B292" s="11" t="s">
        <v>1117</v>
      </c>
      <c r="C292" s="11" t="s">
        <v>4661</v>
      </c>
      <c r="D292" s="11" t="s">
        <v>160</v>
      </c>
      <c r="E292" s="65" t="str">
        <f>VLOOKUP(D292,Total!$C$2:$D$518,2,0)</f>
        <v>11 TKR 1</v>
      </c>
      <c r="F292" s="65" t="str">
        <f>VLOOKUP(C292,Total!$B$2:$F$514,5,0)</f>
        <v>KELUAR</v>
      </c>
      <c r="G292" s="67" t="str">
        <f>VLOOKUP($B292,master!$B$3:$S$600,16,0)</f>
        <v>083815689658</v>
      </c>
      <c r="H292" s="67" t="str">
        <f>VLOOKUP($B292,master!$B$3:$S$600,17,0)</f>
        <v>-</v>
      </c>
      <c r="I292" s="67" t="str">
        <f>VLOOKUP($B292,master!$B$3:$S$600,8,0)</f>
        <v>JETIS</v>
      </c>
      <c r="J292" s="67" t="str">
        <f>VLOOKUP($B292,master!$B$3:$S$600,9,0)</f>
        <v>8</v>
      </c>
      <c r="K292" s="67" t="str">
        <f>VLOOKUP($B292,master!$B$3:$S$600,11,0)</f>
        <v>PANGGUNGHARJO</v>
      </c>
      <c r="L292" s="67" t="str">
        <f>VLOOKUP($B292,master!$B$3:$S$600,12,0)</f>
        <v>SEWON</v>
      </c>
      <c r="M292" s="67" t="str">
        <f>VLOOKUP($B292,master!$B$3:$S$600,6,0)</f>
        <v>MARJIYEM</v>
      </c>
      <c r="N292" s="82" t="str">
        <f>VLOOKUP($B292,master!$B$3:$S$600,15,0)</f>
        <v>SMP N 2 SEWON</v>
      </c>
      <c r="O292" s="82" t="str">
        <f>VLOOKUP($B292,master!$B$3:$S$600,4,0)</f>
        <v>15-02-2009</v>
      </c>
    </row>
    <row r="293" spans="1:15" ht="15.75" customHeight="1" x14ac:dyDescent="0.25">
      <c r="A293" s="80" t="s">
        <v>1134</v>
      </c>
      <c r="B293" s="11" t="s">
        <v>1119</v>
      </c>
      <c r="C293" s="11" t="s">
        <v>4662</v>
      </c>
      <c r="D293" s="11" t="s">
        <v>161</v>
      </c>
      <c r="E293" s="65" t="str">
        <f>VLOOKUP(D293,Total!$C$2:$D$518,2,0)</f>
        <v>11 TKR 1</v>
      </c>
      <c r="F293" s="65" t="str">
        <f>VLOOKUP(C293,Total!$B$2:$F$514,5,0)</f>
        <v>AKTIF</v>
      </c>
      <c r="G293" s="67" t="str">
        <f>VLOOKUP($B293,master!$B$3:$S$600,16,0)</f>
        <v>087838708661</v>
      </c>
      <c r="H293" s="67" t="str">
        <f>VLOOKUP($B293,master!$B$3:$S$600,17,0)</f>
        <v>0882006215191</v>
      </c>
      <c r="I293" s="67" t="str">
        <f>VLOOKUP($B293,master!$B$3:$S$600,8,0)</f>
        <v>SELO</v>
      </c>
      <c r="J293" s="67" t="str">
        <f>VLOOKUP($B293,master!$B$3:$S$600,9,0)</f>
        <v>05</v>
      </c>
      <c r="K293" s="67" t="str">
        <f>VLOOKUP($B293,master!$B$3:$S$600,11,0)</f>
        <v>SIDOMULYO</v>
      </c>
      <c r="L293" s="67" t="str">
        <f>VLOOKUP($B293,master!$B$3:$S$600,12,0)</f>
        <v>BAMBANGLIPURO</v>
      </c>
      <c r="M293" s="67" t="str">
        <f>VLOOKUP($B293,master!$B$3:$S$600,6,0)</f>
        <v>Gunarto</v>
      </c>
      <c r="N293" s="82" t="str">
        <f>VLOOKUP($B293,master!$B$3:$S$600,15,0)</f>
        <v>SMP N 2 BAMBANGLIPURO</v>
      </c>
      <c r="O293" s="82" t="str">
        <f>VLOOKUP($B293,master!$B$3:$S$600,4,0)</f>
        <v>3-02-2009</v>
      </c>
    </row>
    <row r="294" spans="1:15" ht="15.75" customHeight="1" x14ac:dyDescent="0.25">
      <c r="A294" s="80" t="s">
        <v>1136</v>
      </c>
      <c r="B294" s="11" t="s">
        <v>1121</v>
      </c>
      <c r="C294" s="11" t="s">
        <v>4663</v>
      </c>
      <c r="D294" s="11" t="s">
        <v>162</v>
      </c>
      <c r="E294" s="65" t="str">
        <f>VLOOKUP(D294,Total!$C$2:$D$518,2,0)</f>
        <v>11 TKR 1</v>
      </c>
      <c r="F294" s="65" t="str">
        <f>VLOOKUP(C294,Total!$B$2:$F$514,5,0)</f>
        <v>AKTIF</v>
      </c>
      <c r="G294" s="67" t="str">
        <f>VLOOKUP($B294,master!$B$3:$S$600,16,0)</f>
        <v>089648906321</v>
      </c>
      <c r="H294" s="67" t="str">
        <f>VLOOKUP($B294,master!$B$3:$S$600,17,0)</f>
        <v>083844893405</v>
      </c>
      <c r="I294" s="67" t="str">
        <f>VLOOKUP($B294,master!$B$3:$S$600,8,0)</f>
        <v>SOMPOK</v>
      </c>
      <c r="J294" s="67" t="str">
        <f>VLOOKUP($B294,master!$B$3:$S$600,9,0)</f>
        <v>1</v>
      </c>
      <c r="K294" s="67" t="str">
        <f>VLOOKUP($B294,master!$B$3:$S$600,11,0)</f>
        <v>SRIHARJO</v>
      </c>
      <c r="L294" s="67" t="str">
        <f>VLOOKUP($B294,master!$B$3:$S$600,12,0)</f>
        <v>IMOGIRI</v>
      </c>
      <c r="M294" s="67" t="str">
        <f>VLOOKUP($B294,master!$B$3:$S$600,6,0)</f>
        <v>SAPTO MARETIYANTO</v>
      </c>
      <c r="N294" s="82" t="str">
        <f>VLOOKUP($B294,master!$B$3:$S$600,15,0)</f>
        <v>SMP N 3 IMOGIRI</v>
      </c>
      <c r="O294" s="82" t="str">
        <f>VLOOKUP($B294,master!$B$3:$S$600,4,0)</f>
        <v>25-11-2008</v>
      </c>
    </row>
    <row r="295" spans="1:15" ht="15.75" customHeight="1" x14ac:dyDescent="0.25">
      <c r="A295" s="80" t="s">
        <v>1138</v>
      </c>
      <c r="B295" s="11" t="s">
        <v>1123</v>
      </c>
      <c r="C295" s="11" t="s">
        <v>4664</v>
      </c>
      <c r="D295" s="11" t="s">
        <v>163</v>
      </c>
      <c r="E295" s="65" t="str">
        <f>VLOOKUP(D295,Total!$C$2:$D$518,2,0)</f>
        <v>11 TKR 1</v>
      </c>
      <c r="F295" s="65" t="str">
        <f>VLOOKUP(C295,Total!$B$2:$F$514,5,0)</f>
        <v>AKTIF</v>
      </c>
      <c r="G295" s="67" t="str">
        <f>VLOOKUP($B295,master!$B$3:$S$600,16,0)</f>
        <v>081227932532</v>
      </c>
      <c r="H295" s="67" t="str">
        <f>VLOOKUP($B295,master!$B$3:$S$600,17,0)</f>
        <v>-</v>
      </c>
      <c r="I295" s="67" t="str">
        <f>VLOOKUP($B295,master!$B$3:$S$600,8,0)</f>
        <v>NGEPET</v>
      </c>
      <c r="J295" s="67" t="str">
        <f>VLOOKUP($B295,master!$B$3:$S$600,9,0)</f>
        <v>63</v>
      </c>
      <c r="K295" s="67" t="str">
        <f>VLOOKUP($B295,master!$B$3:$S$600,11,0)</f>
        <v>SRIGADING</v>
      </c>
      <c r="L295" s="67" t="str">
        <f>VLOOKUP($B295,master!$B$3:$S$600,12,0)</f>
        <v>SANDEN</v>
      </c>
      <c r="M295" s="67" t="str">
        <f>VLOOKUP($B295,master!$B$3:$S$600,6,0)</f>
        <v>TRI JAWANTO</v>
      </c>
      <c r="N295" s="82" t="str">
        <f>VLOOKUP($B295,master!$B$3:$S$600,15,0)</f>
        <v>SMP N 2 SANDEN</v>
      </c>
      <c r="O295" s="82" t="str">
        <f>VLOOKUP($B295,master!$B$3:$S$600,4,0)</f>
        <v>10-04-2009</v>
      </c>
    </row>
    <row r="296" spans="1:15" ht="15.75" customHeight="1" x14ac:dyDescent="0.25">
      <c r="A296" s="80" t="s">
        <v>1140</v>
      </c>
      <c r="B296" s="11" t="s">
        <v>1125</v>
      </c>
      <c r="C296" s="11" t="s">
        <v>4665</v>
      </c>
      <c r="D296" s="11" t="s">
        <v>164</v>
      </c>
      <c r="E296" s="65" t="str">
        <f>VLOOKUP(D296,Total!$C$2:$D$518,2,0)</f>
        <v>11 TKR 1</v>
      </c>
      <c r="F296" s="65" t="str">
        <f>VLOOKUP(C296,Total!$B$2:$F$514,5,0)</f>
        <v>AKTIF</v>
      </c>
      <c r="G296" s="67" t="str">
        <f>VLOOKUP($B296,master!$B$3:$S$600,16,0)</f>
        <v>083856437334</v>
      </c>
      <c r="H296" s="67" t="str">
        <f>VLOOKUP($B296,master!$B$3:$S$600,17,0)</f>
        <v>-</v>
      </c>
      <c r="I296" s="67" t="str">
        <f>VLOOKUP($B296,master!$B$3:$S$600,8,0)</f>
        <v>GERJEN</v>
      </c>
      <c r="J296" s="67" t="str">
        <f>VLOOKUP($B296,master!$B$3:$S$600,9,0)</f>
        <v>11</v>
      </c>
      <c r="K296" s="67" t="str">
        <f>VLOOKUP($B296,master!$B$3:$S$600,11,0)</f>
        <v>SIDOREJO</v>
      </c>
      <c r="L296" s="67" t="str">
        <f>VLOOKUP($B296,master!$B$3:$S$600,12,0)</f>
        <v>LENDAH</v>
      </c>
      <c r="M296" s="67" t="str">
        <f>VLOOKUP($B296,master!$B$3:$S$600,6,0)</f>
        <v>SUYADI</v>
      </c>
      <c r="N296" s="82" t="str">
        <f>VLOOKUP($B296,master!$B$3:$S$600,15,0)</f>
        <v>SMP N 2 LENDAH</v>
      </c>
      <c r="O296" s="82" t="str">
        <f>VLOOKUP($B296,master!$B$3:$S$600,4,0)</f>
        <v>21-01-2009</v>
      </c>
    </row>
    <row r="297" spans="1:15" ht="15.75" customHeight="1" x14ac:dyDescent="0.25">
      <c r="A297" s="80" t="s">
        <v>1142</v>
      </c>
      <c r="B297" s="11" t="s">
        <v>1127</v>
      </c>
      <c r="C297" s="11" t="s">
        <v>4666</v>
      </c>
      <c r="D297" s="11" t="s">
        <v>165</v>
      </c>
      <c r="E297" s="65" t="str">
        <f>VLOOKUP(D297,Total!$C$2:$D$518,2,0)</f>
        <v>11 TKR 1</v>
      </c>
      <c r="F297" s="65" t="str">
        <f>VLOOKUP(C297,Total!$B$2:$F$514,5,0)</f>
        <v>AKTIF</v>
      </c>
      <c r="G297" s="67" t="str">
        <f>VLOOKUP($B297,master!$B$3:$S$600,16,0)</f>
        <v>081229971176</v>
      </c>
      <c r="H297" s="67" t="str">
        <f>VLOOKUP($B297,master!$B$3:$S$600,17,0)</f>
        <v>-</v>
      </c>
      <c r="I297" s="67" t="str">
        <f>VLOOKUP($B297,master!$B$3:$S$600,8,0)</f>
        <v>GUYANGAN</v>
      </c>
      <c r="J297" s="67" t="str">
        <f>VLOOKUP($B297,master!$B$3:$S$600,9,0)</f>
        <v>2</v>
      </c>
      <c r="K297" s="67" t="str">
        <f>VLOOKUP($B297,master!$B$3:$S$600,11,0)</f>
        <v>WONOLELO</v>
      </c>
      <c r="L297" s="67" t="str">
        <f>VLOOKUP($B297,master!$B$3:$S$600,12,0)</f>
        <v>PLERET</v>
      </c>
      <c r="M297" s="67" t="str">
        <f>VLOOKUP($B297,master!$B$3:$S$600,6,0)</f>
        <v>ARIEF SUBEKTI</v>
      </c>
      <c r="N297" s="82" t="str">
        <f>VLOOKUP($B297,master!$B$3:$S$600,15,0)</f>
        <v>SMP MUHAMMADIYAH BANTUL</v>
      </c>
      <c r="O297" s="82" t="str">
        <f>VLOOKUP($B297,master!$B$3:$S$600,4,0)</f>
        <v>15-12-2007</v>
      </c>
    </row>
    <row r="298" spans="1:15" ht="15.75" customHeight="1" x14ac:dyDescent="0.25">
      <c r="A298" s="80" t="s">
        <v>1144</v>
      </c>
      <c r="B298" s="11" t="s">
        <v>1129</v>
      </c>
      <c r="C298" s="11" t="s">
        <v>4667</v>
      </c>
      <c r="D298" s="11" t="s">
        <v>166</v>
      </c>
      <c r="E298" s="65" t="str">
        <f>VLOOKUP(D298,Total!$C$2:$D$518,2,0)</f>
        <v>11 TKR 1</v>
      </c>
      <c r="F298" s="65" t="str">
        <f>VLOOKUP(C298,Total!$B$2:$F$514,5,0)</f>
        <v>KELUAR</v>
      </c>
      <c r="G298" s="67" t="str">
        <f>VLOOKUP($B298,master!$B$3:$S$600,16,0)</f>
        <v>081311217690</v>
      </c>
      <c r="H298" s="67" t="str">
        <f>VLOOKUP($B298,master!$B$3:$S$600,17,0)</f>
        <v>-</v>
      </c>
      <c r="I298" s="67" t="str">
        <f>VLOOKUP($B298,master!$B$3:$S$600,8,0)</f>
        <v>JALAKAN</v>
      </c>
      <c r="J298" s="67" t="str">
        <f>VLOOKUP($B298,master!$B$3:$S$600,9,0)</f>
        <v>1</v>
      </c>
      <c r="K298" s="67" t="str">
        <f>VLOOKUP($B298,master!$B$3:$S$600,11,0)</f>
        <v>TRIHARJO</v>
      </c>
      <c r="L298" s="67" t="str">
        <f>VLOOKUP($B298,master!$B$3:$S$600,12,0)</f>
        <v>PANDAK</v>
      </c>
      <c r="M298" s="67" t="str">
        <f>VLOOKUP($B298,master!$B$3:$S$600,6,0)</f>
        <v>MARGIYANTO</v>
      </c>
      <c r="N298" s="82" t="str">
        <f>VLOOKUP($B298,master!$B$3:$S$600,15,0)</f>
        <v>SMP Dharma Bhakti Bambanglipuro</v>
      </c>
      <c r="O298" s="82" t="str">
        <f>VLOOKUP($B298,master!$B$3:$S$600,4,0)</f>
        <v>23-03-2008</v>
      </c>
    </row>
    <row r="299" spans="1:15" ht="15.75" customHeight="1" x14ac:dyDescent="0.25">
      <c r="A299" s="80" t="s">
        <v>1146</v>
      </c>
      <c r="B299" s="11" t="s">
        <v>1133</v>
      </c>
      <c r="C299" s="11" t="s">
        <v>4668</v>
      </c>
      <c r="D299" s="11" t="s">
        <v>167</v>
      </c>
      <c r="E299" s="65" t="str">
        <f>VLOOKUP(D299,Total!$C$2:$D$518,2,0)</f>
        <v>11 TKR 1</v>
      </c>
      <c r="F299" s="65" t="str">
        <f>VLOOKUP(C299,Total!$B$2:$F$514,5,0)</f>
        <v>AKTIF</v>
      </c>
      <c r="G299" s="67" t="str">
        <f>VLOOKUP($B299,master!$B$3:$S$600,16,0)</f>
        <v>083863536861</v>
      </c>
      <c r="H299" s="67" t="str">
        <f>VLOOKUP($B299,master!$B$3:$S$600,17,0)</f>
        <v>088232552851</v>
      </c>
      <c r="I299" s="67" t="str">
        <f>VLOOKUP($B299,master!$B$3:$S$600,8,0)</f>
        <v>TLENGGONGAN</v>
      </c>
      <c r="J299" s="67" t="str">
        <f>VLOOKUP($B299,master!$B$3:$S$600,9,0)</f>
        <v>05</v>
      </c>
      <c r="K299" s="67" t="str">
        <f>VLOOKUP($B299,master!$B$3:$S$600,11,0)</f>
        <v>KEBONAGUNG</v>
      </c>
      <c r="L299" s="67" t="str">
        <f>VLOOKUP($B299,master!$B$3:$S$600,12,0)</f>
        <v>IMOGIRI</v>
      </c>
      <c r="M299" s="67" t="str">
        <f>VLOOKUP($B299,master!$B$3:$S$600,6,0)</f>
        <v>RAHAYU</v>
      </c>
      <c r="N299" s="82" t="str">
        <f>VLOOKUP($B299,master!$B$3:$S$600,15,0)</f>
        <v>SMP N 2 IMGORI</v>
      </c>
      <c r="O299" s="82" t="str">
        <f>VLOOKUP($B299,master!$B$3:$S$600,4,0)</f>
        <v>5-10-2008</v>
      </c>
    </row>
    <row r="300" spans="1:15" ht="15.75" customHeight="1" x14ac:dyDescent="0.25">
      <c r="A300" s="80" t="s">
        <v>1148</v>
      </c>
      <c r="B300" s="11" t="s">
        <v>1135</v>
      </c>
      <c r="C300" s="11" t="s">
        <v>4669</v>
      </c>
      <c r="D300" s="11" t="s">
        <v>168</v>
      </c>
      <c r="E300" s="65" t="str">
        <f>VLOOKUP(D300,Total!$C$2:$D$518,2,0)</f>
        <v>11 TKR 1</v>
      </c>
      <c r="F300" s="65" t="str">
        <f>VLOOKUP(C300,Total!$B$2:$F$514,5,0)</f>
        <v>AKTIF</v>
      </c>
      <c r="G300" s="67" t="str">
        <f>VLOOKUP($B300,master!$B$3:$S$600,16,0)</f>
        <v>0</v>
      </c>
      <c r="H300" s="67" t="str">
        <f>VLOOKUP($B300,master!$B$3:$S$600,17,0)</f>
        <v>0</v>
      </c>
      <c r="I300" s="67" t="str">
        <f>VLOOKUP($B300,master!$B$3:$S$600,8,0)</f>
        <v>KUKAP</v>
      </c>
      <c r="J300" s="67" t="str">
        <f>VLOOKUP($B300,master!$B$3:$S$600,9,0)</f>
        <v>2</v>
      </c>
      <c r="K300" s="67" t="str">
        <f>VLOOKUP($B300,master!$B$3:$S$600,11,0)</f>
        <v>PONCOSARI</v>
      </c>
      <c r="L300" s="67" t="str">
        <f>VLOOKUP($B300,master!$B$3:$S$600,12,0)</f>
        <v>SRANDAKAN</v>
      </c>
      <c r="M300" s="67" t="str">
        <f>VLOOKUP($B300,master!$B$3:$S$600,6,0)</f>
        <v>ISMANTO</v>
      </c>
      <c r="N300" s="82" t="str">
        <f>VLOOKUP($B300,master!$B$3:$S$600,15,0)</f>
        <v>SMP N 2 SRANDAKAN</v>
      </c>
      <c r="O300" s="82" t="str">
        <f>VLOOKUP($B300,master!$B$3:$S$600,4,0)</f>
        <v>19-03-2008</v>
      </c>
    </row>
    <row r="301" spans="1:15" ht="15.75" customHeight="1" x14ac:dyDescent="0.25">
      <c r="A301" s="80" t="s">
        <v>1150</v>
      </c>
      <c r="B301" s="11" t="s">
        <v>1137</v>
      </c>
      <c r="C301" s="11" t="s">
        <v>4670</v>
      </c>
      <c r="D301" s="11" t="s">
        <v>169</v>
      </c>
      <c r="E301" s="65" t="str">
        <f>VLOOKUP(D301,Total!$C$2:$D$518,2,0)</f>
        <v>11 TKR 1</v>
      </c>
      <c r="F301" s="65" t="str">
        <f>VLOOKUP(C301,Total!$B$2:$F$514,5,0)</f>
        <v>AKTIF</v>
      </c>
      <c r="G301" s="67" t="str">
        <f>VLOOKUP($B301,master!$B$3:$S$600,16,0)</f>
        <v>0895402627804</v>
      </c>
      <c r="H301" s="67" t="str">
        <f>VLOOKUP($B301,master!$B$3:$S$600,17,0)</f>
        <v>-</v>
      </c>
      <c r="I301" s="67" t="str">
        <f>VLOOKUP($B301,master!$B$3:$S$600,8,0)</f>
        <v>JALAKAN</v>
      </c>
      <c r="J301" s="67" t="str">
        <f>VLOOKUP($B301,master!$B$3:$S$600,9,0)</f>
        <v>5</v>
      </c>
      <c r="K301" s="67" t="str">
        <f>VLOOKUP($B301,master!$B$3:$S$600,11,0)</f>
        <v>TRIHARJO</v>
      </c>
      <c r="L301" s="67" t="str">
        <f>VLOOKUP($B301,master!$B$3:$S$600,12,0)</f>
        <v>PANDAK</v>
      </c>
      <c r="M301" s="67" t="str">
        <f>VLOOKUP($B301,master!$B$3:$S$600,6,0)</f>
        <v>SUSI SUHARYATI</v>
      </c>
      <c r="N301" s="82" t="str">
        <f>VLOOKUP($B301,master!$B$3:$S$600,15,0)</f>
        <v>SMP N 2 PANDAK</v>
      </c>
      <c r="O301" s="82" t="str">
        <f>VLOOKUP($B301,master!$B$3:$S$600,4,0)</f>
        <v>28-09-2008</v>
      </c>
    </row>
    <row r="302" spans="1:15" ht="15.75" customHeight="1" x14ac:dyDescent="0.25">
      <c r="A302" s="80" t="s">
        <v>1152</v>
      </c>
      <c r="B302" s="11" t="s">
        <v>1139</v>
      </c>
      <c r="C302" s="11" t="s">
        <v>4671</v>
      </c>
      <c r="D302" s="11" t="s">
        <v>170</v>
      </c>
      <c r="E302" s="65" t="str">
        <f>VLOOKUP(D302,Total!$C$2:$D$518,2,0)</f>
        <v>11 TKR 1</v>
      </c>
      <c r="F302" s="65" t="str">
        <f>VLOOKUP(C302,Total!$B$2:$F$514,5,0)</f>
        <v>AKTIF</v>
      </c>
      <c r="G302" s="67" t="str">
        <f>VLOOKUP($B302,master!$B$3:$S$600,16,0)</f>
        <v>89510339989</v>
      </c>
      <c r="H302" s="67" t="str">
        <f>VLOOKUP($B302,master!$B$3:$S$600,17,0)</f>
        <v>0</v>
      </c>
      <c r="I302" s="67" t="str">
        <f>VLOOKUP($B302,master!$B$3:$S$600,8,0)</f>
        <v>PROKETEN</v>
      </c>
      <c r="J302" s="67" t="str">
        <f>VLOOKUP($B302,master!$B$3:$S$600,9,0)</f>
        <v>23</v>
      </c>
      <c r="K302" s="67" t="str">
        <f>VLOOKUP($B302,master!$B$3:$S$600,11,0)</f>
        <v>TRIMURTI</v>
      </c>
      <c r="L302" s="67" t="str">
        <f>VLOOKUP($B302,master!$B$3:$S$600,12,0)</f>
        <v>SRANDAKAN</v>
      </c>
      <c r="M302" s="67" t="str">
        <f>VLOOKUP($B302,master!$B$3:$S$600,6,0)</f>
        <v>EKO MARYANTO</v>
      </c>
      <c r="N302" s="82" t="str">
        <f>VLOOKUP($B302,master!$B$3:$S$600,15,0)</f>
        <v>SMP N 2 SRANDAKAN</v>
      </c>
      <c r="O302" s="82" t="str">
        <f>VLOOKUP($B302,master!$B$3:$S$600,4,0)</f>
        <v>27-03-2007</v>
      </c>
    </row>
    <row r="303" spans="1:15" ht="15.75" customHeight="1" x14ac:dyDescent="0.25">
      <c r="A303" s="80" t="s">
        <v>1154</v>
      </c>
      <c r="B303" s="11" t="s">
        <v>1141</v>
      </c>
      <c r="C303" s="11" t="s">
        <v>4672</v>
      </c>
      <c r="D303" s="11" t="s">
        <v>171</v>
      </c>
      <c r="E303" s="65" t="str">
        <f>VLOOKUP(D303,Total!$C$2:$D$518,2,0)</f>
        <v>11 TKR 2</v>
      </c>
      <c r="F303" s="65" t="str">
        <f>VLOOKUP(C303,Total!$B$2:$F$514,5,0)</f>
        <v>AKTIF</v>
      </c>
      <c r="G303" s="67" t="str">
        <f>VLOOKUP($B303,master!$B$3:$S$600,16,0)</f>
        <v>085641198611</v>
      </c>
      <c r="H303" s="67" t="str">
        <f>VLOOKUP($B303,master!$B$3:$S$600,17,0)</f>
        <v>085641198611</v>
      </c>
      <c r="I303" s="67" t="str">
        <f>VLOOKUP($B303,master!$B$3:$S$600,8,0)</f>
        <v>GROGOL 7</v>
      </c>
      <c r="J303" s="67" t="str">
        <f>VLOOKUP($B303,master!$B$3:$S$600,9,0)</f>
        <v>03</v>
      </c>
      <c r="K303" s="67" t="str">
        <f>VLOOKUP($B303,master!$B$3:$S$600,11,0)</f>
        <v>PARANGTRITIS</v>
      </c>
      <c r="L303" s="67" t="str">
        <f>VLOOKUP($B303,master!$B$3:$S$600,12,0)</f>
        <v>KRETEK</v>
      </c>
      <c r="M303" s="67" t="str">
        <f>VLOOKUP($B303,master!$B$3:$S$600,6,0)</f>
        <v>Umi asry</v>
      </c>
      <c r="N303" s="82" t="str">
        <f>VLOOKUP($B303,master!$B$3:$S$600,15,0)</f>
        <v>SMP N 2 KRETEK</v>
      </c>
      <c r="O303" s="82" t="str">
        <f>VLOOKUP($B303,master!$B$3:$S$600,4,0)</f>
        <v>14-06-2008</v>
      </c>
    </row>
    <row r="304" spans="1:15" ht="15.75" customHeight="1" x14ac:dyDescent="0.25">
      <c r="A304" s="80" t="s">
        <v>1156</v>
      </c>
      <c r="B304" s="11" t="s">
        <v>1143</v>
      </c>
      <c r="C304" s="11" t="s">
        <v>4673</v>
      </c>
      <c r="D304" s="11" t="s">
        <v>172</v>
      </c>
      <c r="E304" s="65" t="str">
        <f>VLOOKUP(D304,Total!$C$2:$D$518,2,0)</f>
        <v>11 TKR 2</v>
      </c>
      <c r="F304" s="65" t="str">
        <f>VLOOKUP(C304,Total!$B$2:$F$514,5,0)</f>
        <v>AKTIF</v>
      </c>
      <c r="G304" s="67" t="str">
        <f>VLOOKUP($B304,master!$B$3:$S$600,16,0)</f>
        <v>082220944742</v>
      </c>
      <c r="H304" s="67" t="str">
        <f>VLOOKUP($B304,master!$B$3:$S$600,17,0)</f>
        <v>088200574474</v>
      </c>
      <c r="I304" s="67" t="str">
        <f>VLOOKUP($B304,master!$B$3:$S$600,8,0)</f>
        <v>PAKER</v>
      </c>
      <c r="J304" s="67" t="str">
        <f>VLOOKUP($B304,master!$B$3:$S$600,9,0)</f>
        <v>4</v>
      </c>
      <c r="K304" s="67" t="str">
        <f>VLOOKUP($B304,master!$B$3:$S$600,11,0)</f>
        <v>MULYODADI</v>
      </c>
      <c r="L304" s="67" t="str">
        <f>VLOOKUP($B304,master!$B$3:$S$600,12,0)</f>
        <v>BAMBANGLIPURO</v>
      </c>
      <c r="M304" s="67" t="str">
        <f>VLOOKUP($B304,master!$B$3:$S$600,6,0)</f>
        <v>YULI RIYANTA</v>
      </c>
      <c r="N304" s="82" t="str">
        <f>VLOOKUP($B304,master!$B$3:$S$600,15,0)</f>
        <v>SMP N 2 BAMBANGLIPURO</v>
      </c>
      <c r="O304" s="82" t="str">
        <f>VLOOKUP($B304,master!$B$3:$S$600,4,0)</f>
        <v>1-10-2008</v>
      </c>
    </row>
    <row r="305" spans="1:15" ht="15.75" customHeight="1" x14ac:dyDescent="0.25">
      <c r="A305" s="80" t="s">
        <v>1158</v>
      </c>
      <c r="B305" s="11" t="s">
        <v>1145</v>
      </c>
      <c r="C305" s="11" t="s">
        <v>4674</v>
      </c>
      <c r="D305" s="11" t="s">
        <v>173</v>
      </c>
      <c r="E305" s="65" t="str">
        <f>VLOOKUP(D305,Total!$C$2:$D$518,2,0)</f>
        <v>11 TKR 2</v>
      </c>
      <c r="F305" s="65" t="str">
        <f>VLOOKUP(C305,Total!$B$2:$F$514,5,0)</f>
        <v>AKTIF</v>
      </c>
      <c r="G305" s="67" t="str">
        <f>VLOOKUP($B305,master!$B$3:$S$600,16,0)</f>
        <v>+6289646317521</v>
      </c>
      <c r="H305" s="67" t="str">
        <f>VLOOKUP($B305,master!$B$3:$S$600,17,0)</f>
        <v>+6282138730557</v>
      </c>
      <c r="I305" s="67" t="str">
        <f>VLOOKUP($B305,master!$B$3:$S$600,8,0)</f>
        <v>KOWEN 2</v>
      </c>
      <c r="J305" s="67" t="str">
        <f>VLOOKUP($B305,master!$B$3:$S$600,9,0)</f>
        <v>05</v>
      </c>
      <c r="K305" s="67" t="str">
        <f>VLOOKUP($B305,master!$B$3:$S$600,11,0)</f>
        <v>TIMBULHARJO</v>
      </c>
      <c r="L305" s="67" t="str">
        <f>VLOOKUP($B305,master!$B$3:$S$600,12,0)</f>
        <v>SEWON</v>
      </c>
      <c r="M305" s="67" t="str">
        <f>VLOOKUP($B305,master!$B$3:$S$600,6,0)</f>
        <v>Davit efendi</v>
      </c>
      <c r="N305" s="82" t="str">
        <f>VLOOKUP($B305,master!$B$3:$S$600,15,0)</f>
        <v>SMP MATARAM</v>
      </c>
      <c r="O305" s="82" t="str">
        <f>VLOOKUP($B305,master!$B$3:$S$600,4,0)</f>
        <v>25-11-2008</v>
      </c>
    </row>
    <row r="306" spans="1:15" ht="15.75" customHeight="1" x14ac:dyDescent="0.25">
      <c r="A306" s="80" t="s">
        <v>1160</v>
      </c>
      <c r="B306" s="11" t="s">
        <v>1147</v>
      </c>
      <c r="C306" s="11" t="s">
        <v>4675</v>
      </c>
      <c r="D306" s="11" t="s">
        <v>174</v>
      </c>
      <c r="E306" s="65" t="str">
        <f>VLOOKUP(D306,Total!$C$2:$D$518,2,0)</f>
        <v>11 TKR 2</v>
      </c>
      <c r="F306" s="65" t="str">
        <f>VLOOKUP(C306,Total!$B$2:$F$514,5,0)</f>
        <v>AKTIF</v>
      </c>
      <c r="G306" s="67" t="str">
        <f>VLOOKUP($B306,master!$B$3:$S$600,16,0)</f>
        <v>83877290538</v>
      </c>
      <c r="H306" s="67" t="str">
        <f>VLOOKUP($B306,master!$B$3:$S$600,17,0)</f>
        <v>0</v>
      </c>
      <c r="I306" s="67" t="str">
        <f>VLOOKUP($B306,master!$B$3:$S$600,8,0)</f>
        <v>KUKAP</v>
      </c>
      <c r="J306" s="67" t="str">
        <f>VLOOKUP($B306,master!$B$3:$S$600,9,0)</f>
        <v>0</v>
      </c>
      <c r="K306" s="67" t="str">
        <f>VLOOKUP($B306,master!$B$3:$S$600,11,0)</f>
        <v>PONCOSARI</v>
      </c>
      <c r="L306" s="67" t="str">
        <f>VLOOKUP($B306,master!$B$3:$S$600,12,0)</f>
        <v>SRANDAKAN</v>
      </c>
      <c r="M306" s="67" t="str">
        <f>VLOOKUP($B306,master!$B$3:$S$600,6,0)</f>
        <v>BAMBANG ISMANTO</v>
      </c>
      <c r="N306" s="82" t="str">
        <f>VLOOKUP($B306,master!$B$3:$S$600,15,0)</f>
        <v>SMP N 1 SRANDAKAN</v>
      </c>
      <c r="O306" s="82" t="str">
        <f>VLOOKUP($B306,master!$B$3:$S$600,4,0)</f>
        <v>30-01-2010</v>
      </c>
    </row>
    <row r="307" spans="1:15" ht="15.75" customHeight="1" x14ac:dyDescent="0.25">
      <c r="A307" s="80" t="s">
        <v>1162</v>
      </c>
      <c r="B307" s="11" t="s">
        <v>1149</v>
      </c>
      <c r="C307" s="11" t="s">
        <v>4676</v>
      </c>
      <c r="D307" s="11" t="s">
        <v>175</v>
      </c>
      <c r="E307" s="65" t="str">
        <f>VLOOKUP(D307,Total!$C$2:$D$518,2,0)</f>
        <v>11 TKR 2</v>
      </c>
      <c r="F307" s="65" t="str">
        <f>VLOOKUP(C307,Total!$B$2:$F$514,5,0)</f>
        <v>AKTIF</v>
      </c>
      <c r="G307" s="67" t="str">
        <f>VLOOKUP($B307,master!$B$3:$S$600,16,0)</f>
        <v>0895414314755</v>
      </c>
      <c r="H307" s="67" t="str">
        <f>VLOOKUP($B307,master!$B$3:$S$600,17,0)</f>
        <v>0</v>
      </c>
      <c r="I307" s="67" t="str">
        <f>VLOOKUP($B307,master!$B$3:$S$600,8,0)</f>
        <v>KUROBOYO</v>
      </c>
      <c r="J307" s="67" t="str">
        <f>VLOOKUP($B307,master!$B$3:$S$600,9,0)</f>
        <v>1</v>
      </c>
      <c r="K307" s="67" t="str">
        <f>VLOOKUP($B307,master!$B$3:$S$600,11,0)</f>
        <v>CATURHARJO</v>
      </c>
      <c r="L307" s="67" t="str">
        <f>VLOOKUP($B307,master!$B$3:$S$600,12,0)</f>
        <v>PANDAK</v>
      </c>
      <c r="M307" s="67" t="str">
        <f>VLOOKUP($B307,master!$B$3:$S$600,6,0)</f>
        <v>PURWONO</v>
      </c>
      <c r="N307" s="82" t="str">
        <f>VLOOKUP($B307,master!$B$3:$S$600,15,0)</f>
        <v>SMP N 2 PANDAK</v>
      </c>
      <c r="O307" s="82" t="str">
        <f>VLOOKUP($B307,master!$B$3:$S$600,4,0)</f>
        <v>30-03-2008</v>
      </c>
    </row>
    <row r="308" spans="1:15" ht="15.75" customHeight="1" x14ac:dyDescent="0.25">
      <c r="A308" s="80" t="s">
        <v>1164</v>
      </c>
      <c r="B308" s="11" t="s">
        <v>1151</v>
      </c>
      <c r="C308" s="11" t="s">
        <v>4677</v>
      </c>
      <c r="D308" s="11" t="s">
        <v>176</v>
      </c>
      <c r="E308" s="65" t="str">
        <f>VLOOKUP(D308,Total!$C$2:$D$518,2,0)</f>
        <v>11 TKR 2</v>
      </c>
      <c r="F308" s="65" t="str">
        <f>VLOOKUP(C308,Total!$B$2:$F$514,5,0)</f>
        <v>AKTIF</v>
      </c>
      <c r="G308" s="67" t="str">
        <f>VLOOKUP($B308,master!$B$3:$S$600,16,0)</f>
        <v>081226849306</v>
      </c>
      <c r="H308" s="67" t="str">
        <f>VLOOKUP($B308,master!$B$3:$S$600,17,0)</f>
        <v>0895611014020</v>
      </c>
      <c r="I308" s="67" t="str">
        <f>VLOOKUP($B308,master!$B$3:$S$600,8,0)</f>
        <v>JOGONALAN LOR</v>
      </c>
      <c r="J308" s="67" t="str">
        <f>VLOOKUP($B308,master!$B$3:$S$600,9,0)</f>
        <v>005</v>
      </c>
      <c r="K308" s="67" t="str">
        <f>VLOOKUP($B308,master!$B$3:$S$600,11,0)</f>
        <v>TIRTONIRMOLO</v>
      </c>
      <c r="L308" s="67" t="str">
        <f>VLOOKUP($B308,master!$B$3:$S$600,12,0)</f>
        <v>KASIHAN</v>
      </c>
      <c r="M308" s="67" t="str">
        <f>VLOOKUP($B308,master!$B$3:$S$600,6,0)</f>
        <v>WISNU UTOMO</v>
      </c>
      <c r="N308" s="82" t="str">
        <f>VLOOKUP($B308,master!$B$3:$S$600,15,0)</f>
        <v>SMP MUHAMMADIYAH KASIHAN</v>
      </c>
      <c r="O308" s="82" t="str">
        <f>VLOOKUP($B308,master!$B$3:$S$600,4,0)</f>
        <v>9-04-2008</v>
      </c>
    </row>
    <row r="309" spans="1:15" ht="15.75" customHeight="1" x14ac:dyDescent="0.25">
      <c r="A309" s="80" t="s">
        <v>1166</v>
      </c>
      <c r="B309" s="11" t="s">
        <v>1153</v>
      </c>
      <c r="C309" s="11" t="s">
        <v>4678</v>
      </c>
      <c r="D309" s="11" t="s">
        <v>177</v>
      </c>
      <c r="E309" s="65" t="str">
        <f>VLOOKUP(D309,Total!$C$2:$D$518,2,0)</f>
        <v>11 TKR 2</v>
      </c>
      <c r="F309" s="65" t="str">
        <f>VLOOKUP(C309,Total!$B$2:$F$514,5,0)</f>
        <v>AKTIF</v>
      </c>
      <c r="G309" s="67" t="str">
        <f>VLOOKUP($B309,master!$B$3:$S$600,16,0)</f>
        <v>88806851818</v>
      </c>
      <c r="H309" s="67" t="str">
        <f>VLOOKUP($B309,master!$B$3:$S$600,17,0)</f>
        <v>0</v>
      </c>
      <c r="I309" s="67" t="str">
        <f>VLOOKUP($B309,master!$B$3:$S$600,8,0)</f>
        <v>SRIBIT</v>
      </c>
      <c r="J309" s="67" t="str">
        <f>VLOOKUP($B309,master!$B$3:$S$600,9,0)</f>
        <v>3</v>
      </c>
      <c r="K309" s="67" t="str">
        <f>VLOOKUP($B309,master!$B$3:$S$600,11,0)</f>
        <v>MULYODADI</v>
      </c>
      <c r="L309" s="67" t="str">
        <f>VLOOKUP($B309,master!$B$3:$S$600,12,0)</f>
        <v>BAMBANGLIPURO</v>
      </c>
      <c r="M309" s="67" t="str">
        <f>VLOOKUP($B309,master!$B$3:$S$600,6,0)</f>
        <v>SABARI</v>
      </c>
      <c r="N309" s="82" t="str">
        <f>VLOOKUP($B309,master!$B$3:$S$600,15,0)</f>
        <v>SMP N 1 BAMBANGLIPURO</v>
      </c>
      <c r="O309" s="82" t="str">
        <f>VLOOKUP($B309,master!$B$3:$S$600,4,0)</f>
        <v>27-12-2008</v>
      </c>
    </row>
    <row r="310" spans="1:15" ht="15.75" customHeight="1" x14ac:dyDescent="0.25">
      <c r="A310" s="80" t="s">
        <v>1168</v>
      </c>
      <c r="B310" s="11" t="s">
        <v>1155</v>
      </c>
      <c r="C310" s="11" t="s">
        <v>4679</v>
      </c>
      <c r="D310" s="11" t="s">
        <v>178</v>
      </c>
      <c r="E310" s="65" t="str">
        <f>VLOOKUP(D310,Total!$C$2:$D$518,2,0)</f>
        <v>11 TKR 2</v>
      </c>
      <c r="F310" s="65" t="str">
        <f>VLOOKUP(C310,Total!$B$2:$F$514,5,0)</f>
        <v>AKTIF</v>
      </c>
      <c r="G310" s="67" t="str">
        <f>VLOOKUP($B310,master!$B$3:$S$600,16,0)</f>
        <v>083801915123</v>
      </c>
      <c r="H310" s="67" t="str">
        <f>VLOOKUP($B310,master!$B$3:$S$600,17,0)</f>
        <v>083836772827</v>
      </c>
      <c r="I310" s="67" t="str">
        <f>VLOOKUP($B310,master!$B$3:$S$600,8,0)</f>
        <v>BONGGALAN</v>
      </c>
      <c r="J310" s="67" t="str">
        <f>VLOOKUP($B310,master!$B$3:$S$600,9,0)</f>
        <v>012</v>
      </c>
      <c r="K310" s="67" t="str">
        <f>VLOOKUP($B310,master!$B$3:$S$600,11,0)</f>
        <v>SRIGADING</v>
      </c>
      <c r="L310" s="67" t="str">
        <f>VLOOKUP($B310,master!$B$3:$S$600,12,0)</f>
        <v>SANDEN</v>
      </c>
      <c r="M310" s="67" t="str">
        <f>VLOOKUP($B310,master!$B$3:$S$600,6,0)</f>
        <v>HERMAWAN</v>
      </c>
      <c r="N310" s="82" t="str">
        <f>VLOOKUP($B310,master!$B$3:$S$600,15,0)</f>
        <v>SMP N 1 SANDEN</v>
      </c>
      <c r="O310" s="82" t="str">
        <f>VLOOKUP($B310,master!$B$3:$S$600,4,0)</f>
        <v>26-07-2008</v>
      </c>
    </row>
    <row r="311" spans="1:15" ht="15.75" customHeight="1" x14ac:dyDescent="0.25">
      <c r="A311" s="80" t="s">
        <v>1170</v>
      </c>
      <c r="B311" s="11" t="s">
        <v>1157</v>
      </c>
      <c r="C311" s="11" t="s">
        <v>4680</v>
      </c>
      <c r="D311" s="11" t="s">
        <v>179</v>
      </c>
      <c r="E311" s="65" t="str">
        <f>VLOOKUP(D311,Total!$C$2:$D$518,2,0)</f>
        <v>11 TKR 2</v>
      </c>
      <c r="F311" s="65" t="str">
        <f>VLOOKUP(C311,Total!$B$2:$F$514,5,0)</f>
        <v>AKTIF</v>
      </c>
      <c r="G311" s="67" t="str">
        <f>VLOOKUP($B311,master!$B$3:$S$600,16,0)</f>
        <v>83824619811</v>
      </c>
      <c r="H311" s="67" t="str">
        <f>VLOOKUP($B311,master!$B$3:$S$600,17,0)</f>
        <v>0</v>
      </c>
      <c r="I311" s="67" t="str">
        <f>VLOOKUP($B311,master!$B$3:$S$600,8,0)</f>
        <v>SEYEGAN</v>
      </c>
      <c r="J311" s="67" t="str">
        <f>VLOOKUP($B311,master!$B$3:$S$600,9,0)</f>
        <v>2</v>
      </c>
      <c r="K311" s="67" t="str">
        <f>VLOOKUP($B311,master!$B$3:$S$600,11,0)</f>
        <v>SRIHARDONO</v>
      </c>
      <c r="L311" s="67" t="str">
        <f>VLOOKUP($B311,master!$B$3:$S$600,12,0)</f>
        <v>PUNDONG</v>
      </c>
      <c r="M311" s="67" t="str">
        <f>VLOOKUP($B311,master!$B$3:$S$600,6,0)</f>
        <v>LISTYANTO</v>
      </c>
      <c r="N311" s="82" t="str">
        <f>VLOOKUP($B311,master!$B$3:$S$600,15,0)</f>
        <v>SMP N 2 PUNDONG</v>
      </c>
      <c r="O311" s="82" t="str">
        <f>VLOOKUP($B311,master!$B$3:$S$600,4,0)</f>
        <v>9-01-2009</v>
      </c>
    </row>
    <row r="312" spans="1:15" ht="15.75" customHeight="1" x14ac:dyDescent="0.25">
      <c r="A312" s="80" t="s">
        <v>1172</v>
      </c>
      <c r="B312" s="11" t="s">
        <v>1159</v>
      </c>
      <c r="C312" s="11" t="s">
        <v>4681</v>
      </c>
      <c r="D312" s="11" t="s">
        <v>180</v>
      </c>
      <c r="E312" s="65" t="str">
        <f>VLOOKUP(D312,Total!$C$2:$D$518,2,0)</f>
        <v>11 TKR 2</v>
      </c>
      <c r="F312" s="65" t="str">
        <f>VLOOKUP(C312,Total!$B$2:$F$514,5,0)</f>
        <v>AKTIF</v>
      </c>
      <c r="G312" s="67" t="str">
        <f>VLOOKUP($B312,master!$B$3:$S$600,16,0)</f>
        <v>081311156963</v>
      </c>
      <c r="H312" s="67" t="str">
        <f>VLOOKUP($B312,master!$B$3:$S$600,17,0)</f>
        <v>-</v>
      </c>
      <c r="I312" s="67" t="str">
        <f>VLOOKUP($B312,master!$B$3:$S$600,8,0)</f>
        <v>KORIPAN</v>
      </c>
      <c r="J312" s="67" t="str">
        <f>VLOOKUP($B312,master!$B$3:$S$600,9,0)</f>
        <v>0</v>
      </c>
      <c r="K312" s="67" t="str">
        <f>VLOOKUP($B312,master!$B$3:$S$600,11,0)</f>
        <v>PONCOSARI</v>
      </c>
      <c r="L312" s="67" t="str">
        <f>VLOOKUP($B312,master!$B$3:$S$600,12,0)</f>
        <v>SRANDAKAN</v>
      </c>
      <c r="M312" s="67" t="str">
        <f>VLOOKUP($B312,master!$B$3:$S$600,6,0)</f>
        <v>ARIYANTO</v>
      </c>
      <c r="N312" s="82" t="str">
        <f>VLOOKUP($B312,master!$B$3:$S$600,15,0)</f>
        <v>SMP N 5 PANGGANG</v>
      </c>
      <c r="O312" s="82" t="str">
        <f>VLOOKUP($B312,master!$B$3:$S$600,4,0)</f>
        <v>10-09-2008</v>
      </c>
    </row>
    <row r="313" spans="1:15" ht="15.75" customHeight="1" x14ac:dyDescent="0.25">
      <c r="A313" s="80" t="s">
        <v>1174</v>
      </c>
      <c r="B313" s="11" t="s">
        <v>1161</v>
      </c>
      <c r="C313" s="11" t="s">
        <v>4682</v>
      </c>
      <c r="D313" s="11" t="s">
        <v>181</v>
      </c>
      <c r="E313" s="65" t="str">
        <f>VLOOKUP(D313,Total!$C$2:$D$518,2,0)</f>
        <v>11 TKR 2</v>
      </c>
      <c r="F313" s="65" t="str">
        <f>VLOOKUP(C313,Total!$B$2:$F$514,5,0)</f>
        <v>AKTIF</v>
      </c>
      <c r="G313" s="67" t="str">
        <f>VLOOKUP($B313,master!$B$3:$S$600,16,0)</f>
        <v>085879420537</v>
      </c>
      <c r="H313" s="67" t="str">
        <f>VLOOKUP($B313,master!$B$3:$S$600,17,0)</f>
        <v>085713574164</v>
      </c>
      <c r="I313" s="67" t="str">
        <f>VLOOKUP($B313,master!$B$3:$S$600,8,0)</f>
        <v>JATIREJO</v>
      </c>
      <c r="J313" s="67" t="str">
        <f>VLOOKUP($B313,master!$B$3:$S$600,9,0)</f>
        <v>1</v>
      </c>
      <c r="K313" s="67" t="str">
        <f>VLOOKUP($B313,master!$B$3:$S$600,11,0)</f>
        <v>WUKIRSARI</v>
      </c>
      <c r="L313" s="67" t="str">
        <f>VLOOKUP($B313,master!$B$3:$S$600,12,0)</f>
        <v>IMOGIRI</v>
      </c>
      <c r="M313" s="67" t="str">
        <f>VLOOKUP($B313,master!$B$3:$S$600,6,0)</f>
        <v>TIMBUL RIYADI</v>
      </c>
      <c r="N313" s="82" t="str">
        <f>VLOOKUP($B313,master!$B$3:$S$600,15,0)</f>
        <v>MTs N 3 BANTUL</v>
      </c>
      <c r="O313" s="82" t="str">
        <f>VLOOKUP($B313,master!$B$3:$S$600,4,0)</f>
        <v>2-04-2009</v>
      </c>
    </row>
    <row r="314" spans="1:15" ht="15.75" customHeight="1" x14ac:dyDescent="0.25">
      <c r="A314" s="80" t="s">
        <v>1176</v>
      </c>
      <c r="B314" s="11" t="s">
        <v>1163</v>
      </c>
      <c r="C314" s="11" t="s">
        <v>4683</v>
      </c>
      <c r="D314" s="11" t="s">
        <v>182</v>
      </c>
      <c r="E314" s="65" t="str">
        <f>VLOOKUP(D314,Total!$C$2:$D$518,2,0)</f>
        <v>11 TKR 2</v>
      </c>
      <c r="F314" s="65" t="str">
        <f>VLOOKUP(C314,Total!$B$2:$F$514,5,0)</f>
        <v>KELUAR</v>
      </c>
      <c r="G314" s="67" t="str">
        <f>VLOOKUP($B314,master!$B$3:$S$600,16,0)</f>
        <v>08995040556</v>
      </c>
      <c r="H314" s="67" t="str">
        <f>VLOOKUP($B314,master!$B$3:$S$600,17,0)</f>
        <v>088233134989</v>
      </c>
      <c r="I314" s="67" t="str">
        <f>VLOOKUP($B314,master!$B$3:$S$600,8,0)</f>
        <v>MRISI</v>
      </c>
      <c r="J314" s="67" t="str">
        <f>VLOOKUP($B314,master!$B$3:$S$600,9,0)</f>
        <v>10</v>
      </c>
      <c r="K314" s="67" t="str">
        <f>VLOOKUP($B314,master!$B$3:$S$600,11,0)</f>
        <v>TIRTONIRMOLO</v>
      </c>
      <c r="L314" s="67" t="str">
        <f>VLOOKUP($B314,master!$B$3:$S$600,12,0)</f>
        <v>KASIHAN</v>
      </c>
      <c r="M314" s="67" t="str">
        <f>VLOOKUP($B314,master!$B$3:$S$600,6,0)</f>
        <v>SUMADI</v>
      </c>
      <c r="N314" s="82" t="str">
        <f>VLOOKUP($B314,master!$B$3:$S$600,15,0)</f>
        <v>SMP MUHAMMADIYAH BANTUL</v>
      </c>
      <c r="O314" s="82" t="str">
        <f>VLOOKUP($B314,master!$B$3:$S$600,4,0)</f>
        <v>9-12-2008</v>
      </c>
    </row>
    <row r="315" spans="1:15" ht="15.75" customHeight="1" x14ac:dyDescent="0.25">
      <c r="A315" s="80" t="s">
        <v>1178</v>
      </c>
      <c r="B315" s="11" t="s">
        <v>1165</v>
      </c>
      <c r="C315" s="11" t="s">
        <v>4684</v>
      </c>
      <c r="D315" s="11" t="s">
        <v>183</v>
      </c>
      <c r="E315" s="65" t="str">
        <f>VLOOKUP(D315,Total!$C$2:$D$518,2,0)</f>
        <v>11 TKR 2</v>
      </c>
      <c r="F315" s="65" t="str">
        <f>VLOOKUP(C315,Total!$B$2:$F$514,5,0)</f>
        <v>AKTIF</v>
      </c>
      <c r="G315" s="67" t="str">
        <f>VLOOKUP($B315,master!$B$3:$S$600,16,0)</f>
        <v>85867789386</v>
      </c>
      <c r="H315" s="67" t="str">
        <f>VLOOKUP($B315,master!$B$3:$S$600,17,0)</f>
        <v>0</v>
      </c>
      <c r="I315" s="67" t="str">
        <f>VLOOKUP($B315,master!$B$3:$S$600,8,0)</f>
        <v>CANGKRING</v>
      </c>
      <c r="J315" s="67" t="str">
        <f>VLOOKUP($B315,master!$B$3:$S$600,9,0)</f>
        <v>2</v>
      </c>
      <c r="K315" s="67" t="str">
        <f>VLOOKUP($B315,master!$B$3:$S$600,11,0)</f>
        <v>SUMBERAGUNG</v>
      </c>
      <c r="L315" s="67" t="str">
        <f>VLOOKUP($B315,master!$B$3:$S$600,12,0)</f>
        <v>JETIS</v>
      </c>
      <c r="M315" s="67" t="str">
        <f>VLOOKUP($B315,master!$B$3:$S$600,6,0)</f>
        <v>PAIJAN</v>
      </c>
      <c r="N315" s="82" t="str">
        <f>VLOOKUP($B315,master!$B$3:$S$600,15,0)</f>
        <v>SMP MUHAMMADIYAH JETIS</v>
      </c>
      <c r="O315" s="82" t="str">
        <f>VLOOKUP($B315,master!$B$3:$S$600,4,0)</f>
        <v>7-07-2007</v>
      </c>
    </row>
    <row r="316" spans="1:15" ht="15.75" customHeight="1" x14ac:dyDescent="0.25">
      <c r="A316" s="80" t="s">
        <v>1180</v>
      </c>
      <c r="B316" s="11" t="s">
        <v>1167</v>
      </c>
      <c r="C316" s="11" t="s">
        <v>4685</v>
      </c>
      <c r="D316" s="11" t="s">
        <v>184</v>
      </c>
      <c r="E316" s="65" t="str">
        <f>VLOOKUP(D316,Total!$C$2:$D$518,2,0)</f>
        <v>11 TKR 2</v>
      </c>
      <c r="F316" s="65" t="str">
        <f>VLOOKUP(C316,Total!$B$2:$F$514,5,0)</f>
        <v>AKTIF</v>
      </c>
      <c r="G316" s="67" t="str">
        <f>VLOOKUP($B316,master!$B$3:$S$600,16,0)</f>
        <v>819614889</v>
      </c>
      <c r="H316" s="67" t="str">
        <f>VLOOKUP($B316,master!$B$3:$S$600,17,0)</f>
        <v>0</v>
      </c>
      <c r="I316" s="67" t="str">
        <f>VLOOKUP($B316,master!$B$3:$S$600,8,0)</f>
        <v>BOTO</v>
      </c>
      <c r="J316" s="67" t="str">
        <f>VLOOKUP($B316,master!$B$3:$S$600,9,0)</f>
        <v>69</v>
      </c>
      <c r="K316" s="67" t="str">
        <f>VLOOKUP($B316,master!$B$3:$S$600,11,0)</f>
        <v>PATALAN</v>
      </c>
      <c r="L316" s="67" t="str">
        <f>VLOOKUP($B316,master!$B$3:$S$600,12,0)</f>
        <v>JETIS</v>
      </c>
      <c r="M316" s="67" t="str">
        <f>VLOOKUP($B316,master!$B$3:$S$600,6,0)</f>
        <v>WAGIYANTO</v>
      </c>
      <c r="N316" s="82" t="str">
        <f>VLOOKUP($B316,master!$B$3:$S$600,15,0)</f>
        <v>SMP N 1 BAMBANGLIPURO</v>
      </c>
      <c r="O316" s="82" t="str">
        <f>VLOOKUP($B316,master!$B$3:$S$600,4,0)</f>
        <v>2-10-2008</v>
      </c>
    </row>
    <row r="317" spans="1:15" ht="15.75" customHeight="1" x14ac:dyDescent="0.25">
      <c r="A317" s="80" t="s">
        <v>1182</v>
      </c>
      <c r="B317" s="11" t="s">
        <v>1169</v>
      </c>
      <c r="C317" s="11" t="s">
        <v>4686</v>
      </c>
      <c r="D317" s="11" t="s">
        <v>185</v>
      </c>
      <c r="E317" s="65" t="str">
        <f>VLOOKUP(D317,Total!$C$2:$D$518,2,0)</f>
        <v>11 TKR 2</v>
      </c>
      <c r="F317" s="65" t="str">
        <f>VLOOKUP(C317,Total!$B$2:$F$514,5,0)</f>
        <v>AKTIF</v>
      </c>
      <c r="G317" s="67" t="str">
        <f>VLOOKUP($B317,master!$B$3:$S$600,16,0)</f>
        <v>085729968969</v>
      </c>
      <c r="H317" s="67" t="str">
        <f>VLOOKUP($B317,master!$B$3:$S$600,17,0)</f>
        <v>089664251919</v>
      </c>
      <c r="I317" s="67" t="str">
        <f>VLOOKUP($B317,master!$B$3:$S$600,8,0)</f>
        <v>Dukuh</v>
      </c>
      <c r="J317" s="67" t="str">
        <f>VLOOKUP($B317,master!$B$3:$S$600,9,0)</f>
        <v>02</v>
      </c>
      <c r="K317" s="67" t="str">
        <f>VLOOKUP($B317,master!$B$3:$S$600,11,0)</f>
        <v>Seloharjo</v>
      </c>
      <c r="L317" s="67" t="str">
        <f>VLOOKUP($B317,master!$B$3:$S$600,12,0)</f>
        <v>Pundong</v>
      </c>
      <c r="M317" s="67" t="str">
        <f>VLOOKUP($B317,master!$B$3:$S$600,6,0)</f>
        <v>Rianto</v>
      </c>
      <c r="N317" s="82" t="str">
        <f>VLOOKUP($B317,master!$B$3:$S$600,15,0)</f>
        <v>SMP N 2 KRETEK</v>
      </c>
      <c r="O317" s="82" t="str">
        <f>VLOOKUP($B317,master!$B$3:$S$600,4,0)</f>
        <v>26-05-2008</v>
      </c>
    </row>
    <row r="318" spans="1:15" ht="15.75" customHeight="1" x14ac:dyDescent="0.25">
      <c r="A318" s="80" t="s">
        <v>1184</v>
      </c>
      <c r="B318" s="11" t="s">
        <v>1171</v>
      </c>
      <c r="C318" s="11" t="s">
        <v>4687</v>
      </c>
      <c r="D318" s="11" t="s">
        <v>186</v>
      </c>
      <c r="E318" s="65" t="str">
        <f>VLOOKUP(D318,Total!$C$2:$D$518,2,0)</f>
        <v>11 TKR 2</v>
      </c>
      <c r="F318" s="65" t="str">
        <f>VLOOKUP(C318,Total!$B$2:$F$514,5,0)</f>
        <v>AKTIF</v>
      </c>
      <c r="G318" s="67" t="str">
        <f>VLOOKUP($B318,master!$B$3:$S$600,16,0)</f>
        <v>81215680049</v>
      </c>
      <c r="H318" s="67" t="str">
        <f>VLOOKUP($B318,master!$B$3:$S$600,17,0)</f>
        <v>0</v>
      </c>
      <c r="I318" s="67" t="str">
        <f>VLOOKUP($B318,master!$B$3:$S$600,8,0)</f>
        <v>NOGOSARI</v>
      </c>
      <c r="J318" s="67" t="str">
        <f>VLOOKUP($B318,master!$B$3:$S$600,9,0)</f>
        <v>6</v>
      </c>
      <c r="K318" s="67" t="str">
        <f>VLOOKUP($B318,master!$B$3:$S$600,11,0)</f>
        <v>GILANGHARJO</v>
      </c>
      <c r="L318" s="67" t="str">
        <f>VLOOKUP($B318,master!$B$3:$S$600,12,0)</f>
        <v>PANDAK</v>
      </c>
      <c r="M318" s="67" t="str">
        <f>VLOOKUP($B318,master!$B$3:$S$600,6,0)</f>
        <v>SUMIDI</v>
      </c>
      <c r="N318" s="82" t="str">
        <f>VLOOKUP($B318,master!$B$3:$S$600,15,0)</f>
        <v>SMP N 1 PANDAK</v>
      </c>
      <c r="O318" s="82" t="str">
        <f>VLOOKUP($B318,master!$B$3:$S$600,4,0)</f>
        <v>14-05-2009</v>
      </c>
    </row>
    <row r="319" spans="1:15" ht="15.75" customHeight="1" x14ac:dyDescent="0.25">
      <c r="A319" s="80" t="s">
        <v>1186</v>
      </c>
      <c r="B319" s="11" t="s">
        <v>1173</v>
      </c>
      <c r="C319" s="11" t="s">
        <v>4688</v>
      </c>
      <c r="D319" s="11" t="s">
        <v>187</v>
      </c>
      <c r="E319" s="65" t="str">
        <f>VLOOKUP(D319,Total!$C$2:$D$518,2,0)</f>
        <v>11 TKR 2</v>
      </c>
      <c r="F319" s="65" t="str">
        <f>VLOOKUP(C319,Total!$B$2:$F$514,5,0)</f>
        <v>AKTIF</v>
      </c>
      <c r="G319" s="67" t="str">
        <f>VLOOKUP($B319,master!$B$3:$S$600,16,0)</f>
        <v>88220293064</v>
      </c>
      <c r="H319" s="67" t="str">
        <f>VLOOKUP($B319,master!$B$3:$S$600,17,0)</f>
        <v>0</v>
      </c>
      <c r="I319" s="67" t="str">
        <f>VLOOKUP($B319,master!$B$3:$S$600,8,0)</f>
        <v>GENTING</v>
      </c>
      <c r="J319" s="67" t="str">
        <f>VLOOKUP($B319,master!$B$3:$S$600,9,0)</f>
        <v>4</v>
      </c>
      <c r="K319" s="67" t="str">
        <f>VLOOKUP($B319,master!$B$3:$S$600,11,0)</f>
        <v>TIRTOMULYO</v>
      </c>
      <c r="L319" s="67" t="str">
        <f>VLOOKUP($B319,master!$B$3:$S$600,12,0)</f>
        <v>KRETEK</v>
      </c>
      <c r="M319" s="67" t="str">
        <f>VLOOKUP($B319,master!$B$3:$S$600,6,0)</f>
        <v>SAGIYA</v>
      </c>
      <c r="N319" s="82" t="str">
        <f>VLOOKUP($B319,master!$B$3:$S$600,15,0)</f>
        <v>SMP N 2 BAMBANGLIPURO</v>
      </c>
      <c r="O319" s="82" t="str">
        <f>VLOOKUP($B319,master!$B$3:$S$600,4,0)</f>
        <v>26-07-2008</v>
      </c>
    </row>
    <row r="320" spans="1:15" ht="15.75" customHeight="1" x14ac:dyDescent="0.25">
      <c r="A320" s="80" t="s">
        <v>1188</v>
      </c>
      <c r="B320" s="11" t="s">
        <v>1175</v>
      </c>
      <c r="C320" s="11" t="s">
        <v>4689</v>
      </c>
      <c r="D320" s="11" t="s">
        <v>188</v>
      </c>
      <c r="E320" s="65" t="str">
        <f>VLOOKUP(D320,Total!$C$2:$D$518,2,0)</f>
        <v>11 TKR 2</v>
      </c>
      <c r="F320" s="65" t="str">
        <f>VLOOKUP(C320,Total!$B$2:$F$514,5,0)</f>
        <v>AKTIF</v>
      </c>
      <c r="G320" s="67" t="str">
        <f>VLOOKUP($B320,master!$B$3:$S$600,16,0)</f>
        <v>087839973486</v>
      </c>
      <c r="H320" s="67" t="str">
        <f>VLOOKUP($B320,master!$B$3:$S$600,17,0)</f>
        <v>087738998374</v>
      </c>
      <c r="I320" s="67" t="str">
        <f>VLOOKUP($B320,master!$B$3:$S$600,8,0)</f>
        <v>BIBIS</v>
      </c>
      <c r="J320" s="67" t="str">
        <f>VLOOKUP($B320,master!$B$3:$S$600,9,0)</f>
        <v>03</v>
      </c>
      <c r="K320" s="67" t="str">
        <f>VLOOKUP($B320,master!$B$3:$S$600,11,0)</f>
        <v>PONCOSARI</v>
      </c>
      <c r="L320" s="67" t="str">
        <f>VLOOKUP($B320,master!$B$3:$S$600,12,0)</f>
        <v>SRANDKAN</v>
      </c>
      <c r="M320" s="67" t="str">
        <f>VLOOKUP($B320,master!$B$3:$S$600,6,0)</f>
        <v>Risdiyanto</v>
      </c>
      <c r="N320" s="82" t="str">
        <f>VLOOKUP($B320,master!$B$3:$S$600,15,0)</f>
        <v>SMP N 2 KRETEK</v>
      </c>
      <c r="O320" s="82" t="str">
        <f>VLOOKUP($B320,master!$B$3:$S$600,4,0)</f>
        <v>9-03-2008</v>
      </c>
    </row>
    <row r="321" spans="1:15" ht="15.75" customHeight="1" x14ac:dyDescent="0.25">
      <c r="A321" s="80" t="s">
        <v>1190</v>
      </c>
      <c r="B321" s="11" t="s">
        <v>1177</v>
      </c>
      <c r="C321" s="11" t="s">
        <v>4690</v>
      </c>
      <c r="D321" s="11" t="s">
        <v>189</v>
      </c>
      <c r="E321" s="65" t="str">
        <f>VLOOKUP(D321,Total!$C$2:$D$518,2,0)</f>
        <v>11 TKR 2</v>
      </c>
      <c r="F321" s="65" t="str">
        <f>VLOOKUP(C321,Total!$B$2:$F$514,5,0)</f>
        <v>AKTIF</v>
      </c>
      <c r="G321" s="67" t="str">
        <f>VLOOKUP($B321,master!$B$3:$S$600,16,0)</f>
        <v>085713199166</v>
      </c>
      <c r="H321" s="67" t="str">
        <f>VLOOKUP($B321,master!$B$3:$S$600,17,0)</f>
        <v>083821997495</v>
      </c>
      <c r="I321" s="67" t="str">
        <f>VLOOKUP($B321,master!$B$3:$S$600,8,0)</f>
        <v>SEYEGAN</v>
      </c>
      <c r="J321" s="67" t="str">
        <f>VLOOKUP($B321,master!$B$3:$S$600,9,0)</f>
        <v>1</v>
      </c>
      <c r="K321" s="67" t="str">
        <f>VLOOKUP($B321,master!$B$3:$S$600,11,0)</f>
        <v>SRIHARDONO</v>
      </c>
      <c r="L321" s="67" t="str">
        <f>VLOOKUP($B321,master!$B$3:$S$600,12,0)</f>
        <v>PUNDONG</v>
      </c>
      <c r="M321" s="67" t="str">
        <f>VLOOKUP($B321,master!$B$3:$S$600,6,0)</f>
        <v>SUGIYANTO / SUYANTI</v>
      </c>
      <c r="N321" s="82" t="str">
        <f>VLOOKUP($B321,master!$B$3:$S$600,15,0)</f>
        <v>SMP N 2 PUNDONG</v>
      </c>
      <c r="O321" s="82" t="str">
        <f>VLOOKUP($B321,master!$B$3:$S$600,4,0)</f>
        <v>5-04-2009</v>
      </c>
    </row>
    <row r="322" spans="1:15" ht="15.75" customHeight="1" x14ac:dyDescent="0.25">
      <c r="A322" s="80" t="s">
        <v>1192</v>
      </c>
      <c r="B322" s="11" t="s">
        <v>1179</v>
      </c>
      <c r="C322" s="11" t="s">
        <v>4691</v>
      </c>
      <c r="D322" s="11" t="s">
        <v>190</v>
      </c>
      <c r="E322" s="65" t="str">
        <f>VLOOKUP(D322,Total!$C$2:$D$518,2,0)</f>
        <v>11 TKR 2</v>
      </c>
      <c r="F322" s="65" t="str">
        <f>VLOOKUP(C322,Total!$B$2:$F$514,5,0)</f>
        <v>AKTIF</v>
      </c>
      <c r="G322" s="67" t="str">
        <f>VLOOKUP($B322,master!$B$3:$S$600,16,0)</f>
        <v>083144665201</v>
      </c>
      <c r="H322" s="67" t="str">
        <f>VLOOKUP($B322,master!$B$3:$S$600,17,0)</f>
        <v>085747291590</v>
      </c>
      <c r="I322" s="67" t="str">
        <f>VLOOKUP($B322,master!$B$3:$S$600,8,0)</f>
        <v>MANDING TENGAH</v>
      </c>
      <c r="J322" s="67" t="str">
        <f>VLOOKUP($B322,master!$B$3:$S$600,9,0)</f>
        <v>10</v>
      </c>
      <c r="K322" s="67" t="str">
        <f>VLOOKUP($B322,master!$B$3:$S$600,11,0)</f>
        <v>SABDODADI</v>
      </c>
      <c r="L322" s="67" t="str">
        <f>VLOOKUP($B322,master!$B$3:$S$600,12,0)</f>
        <v>BANTUL</v>
      </c>
      <c r="M322" s="67" t="str">
        <f>VLOOKUP($B322,master!$B$3:$S$600,6,0)</f>
        <v>Supar duwi yanti</v>
      </c>
      <c r="N322" s="82" t="str">
        <f>VLOOKUP($B322,master!$B$3:$S$600,15,0)</f>
        <v>SMP N 1 BANTUL</v>
      </c>
      <c r="O322" s="82" t="str">
        <f>VLOOKUP($B322,master!$B$3:$S$600,4,0)</f>
        <v>11-01-2009</v>
      </c>
    </row>
    <row r="323" spans="1:15" ht="15.75" customHeight="1" x14ac:dyDescent="0.25">
      <c r="A323" s="80" t="s">
        <v>1194</v>
      </c>
      <c r="B323" s="11" t="s">
        <v>1181</v>
      </c>
      <c r="C323" s="11" t="s">
        <v>4692</v>
      </c>
      <c r="D323" s="11" t="s">
        <v>191</v>
      </c>
      <c r="E323" s="65" t="str">
        <f>VLOOKUP(D323,Total!$C$2:$D$518,2,0)</f>
        <v>11 TKR 2</v>
      </c>
      <c r="F323" s="65" t="str">
        <f>VLOOKUP(C323,Total!$B$2:$F$514,5,0)</f>
        <v>AKTIF</v>
      </c>
      <c r="G323" s="67" t="str">
        <f>VLOOKUP($B323,master!$B$3:$S$600,16,0)</f>
        <v>082182711134</v>
      </c>
      <c r="H323" s="67" t="str">
        <f>VLOOKUP($B323,master!$B$3:$S$600,17,0)</f>
        <v>082182711134</v>
      </c>
      <c r="I323" s="67" t="str">
        <f>VLOOKUP($B323,master!$B$3:$S$600,8,0)</f>
        <v>Ngijo</v>
      </c>
      <c r="J323" s="67" t="str">
        <f>VLOOKUP($B323,master!$B$3:$S$600,9,0)</f>
        <v>05</v>
      </c>
      <c r="K323" s="67" t="str">
        <f>VLOOKUP($B323,master!$B$3:$S$600,11,0)</f>
        <v>Bangunharjo</v>
      </c>
      <c r="L323" s="67" t="str">
        <f>VLOOKUP($B323,master!$B$3:$S$600,12,0)</f>
        <v>Sewon</v>
      </c>
      <c r="M323" s="67" t="str">
        <f>VLOOKUP($B323,master!$B$3:$S$600,6,0)</f>
        <v>TRI HARTANTO</v>
      </c>
      <c r="N323" s="82" t="str">
        <f>VLOOKUP($B323,master!$B$3:$S$600,15,0)</f>
        <v>MTS N 1 BANTUL</v>
      </c>
      <c r="O323" s="82" t="str">
        <f>VLOOKUP($B323,master!$B$3:$S$600,4,0)</f>
        <v>1-05-2009</v>
      </c>
    </row>
    <row r="324" spans="1:15" ht="15.75" customHeight="1" x14ac:dyDescent="0.25">
      <c r="A324" s="80" t="s">
        <v>1196</v>
      </c>
      <c r="B324" s="11" t="s">
        <v>1183</v>
      </c>
      <c r="C324" s="11" t="s">
        <v>4693</v>
      </c>
      <c r="D324" s="11" t="s">
        <v>192</v>
      </c>
      <c r="E324" s="65" t="str">
        <f>VLOOKUP(D324,Total!$C$2:$D$518,2,0)</f>
        <v>11 TKR 2</v>
      </c>
      <c r="F324" s="65" t="str">
        <f>VLOOKUP(C324,Total!$B$2:$F$514,5,0)</f>
        <v>AKTIF</v>
      </c>
      <c r="G324" s="67" t="str">
        <f>VLOOKUP($B324,master!$B$3:$S$600,16,0)</f>
        <v>088221427010</v>
      </c>
      <c r="H324" s="67" t="str">
        <f>VLOOKUP($B324,master!$B$3:$S$600,17,0)</f>
        <v>08818564018</v>
      </c>
      <c r="I324" s="67" t="str">
        <f>VLOOKUP($B324,master!$B$3:$S$600,8,0)</f>
        <v>dukuh</v>
      </c>
      <c r="J324" s="67" t="str">
        <f>VLOOKUP($B324,master!$B$3:$S$600,9,0)</f>
        <v>4</v>
      </c>
      <c r="K324" s="67" t="str">
        <f>VLOOKUP($B324,master!$B$3:$S$600,11,0)</f>
        <v>SELOHARJO</v>
      </c>
      <c r="L324" s="67" t="str">
        <f>VLOOKUP($B324,master!$B$3:$S$600,12,0)</f>
        <v>PUNDONG</v>
      </c>
      <c r="M324" s="67" t="str">
        <f>VLOOKUP($B324,master!$B$3:$S$600,6,0)</f>
        <v>Sarinten</v>
      </c>
      <c r="N324" s="82" t="str">
        <f>VLOOKUP($B324,master!$B$3:$S$600,15,0)</f>
        <v>SMP N 2 KRETEK</v>
      </c>
      <c r="O324" s="82" t="str">
        <f>VLOOKUP($B324,master!$B$3:$S$600,4,0)</f>
        <v>20-06-2008</v>
      </c>
    </row>
    <row r="325" spans="1:15" ht="15.75" customHeight="1" x14ac:dyDescent="0.25">
      <c r="A325" s="80" t="s">
        <v>1198</v>
      </c>
      <c r="B325" s="11" t="s">
        <v>1185</v>
      </c>
      <c r="C325" s="11" t="s">
        <v>4694</v>
      </c>
      <c r="D325" s="11" t="s">
        <v>193</v>
      </c>
      <c r="E325" s="65" t="str">
        <f>VLOOKUP(D325,Total!$C$2:$D$518,2,0)</f>
        <v>11 TKR 2</v>
      </c>
      <c r="F325" s="65" t="str">
        <f>VLOOKUP(C325,Total!$B$2:$F$514,5,0)</f>
        <v>AKTIF</v>
      </c>
      <c r="G325" s="67" t="str">
        <f>VLOOKUP($B325,master!$B$3:$S$600,16,0)</f>
        <v>87700043003</v>
      </c>
      <c r="H325" s="67" t="str">
        <f>VLOOKUP($B325,master!$B$3:$S$600,17,0)</f>
        <v>0</v>
      </c>
      <c r="I325" s="67" t="str">
        <f>VLOOKUP($B325,master!$B$3:$S$600,8,0)</f>
        <v>PEPE</v>
      </c>
      <c r="J325" s="67" t="str">
        <f>VLOOKUP($B325,master!$B$3:$S$600,9,0)</f>
        <v>4</v>
      </c>
      <c r="K325" s="67" t="str">
        <f>VLOOKUP($B325,master!$B$3:$S$600,11,0)</f>
        <v>TRIRENGGO</v>
      </c>
      <c r="L325" s="67" t="str">
        <f>VLOOKUP($B325,master!$B$3:$S$600,12,0)</f>
        <v>BANTUL</v>
      </c>
      <c r="M325" s="67" t="str">
        <f>VLOOKUP($B325,master!$B$3:$S$600,6,0)</f>
        <v>ADHI PRASTOWO</v>
      </c>
      <c r="N325" s="82" t="str">
        <f>VLOOKUP($B325,master!$B$3:$S$600,15,0)</f>
        <v>SMP N 1 BANTUL</v>
      </c>
      <c r="O325" s="82" t="str">
        <f>VLOOKUP($B325,master!$B$3:$S$600,4,0)</f>
        <v>13-05-2008</v>
      </c>
    </row>
    <row r="326" spans="1:15" ht="15.75" customHeight="1" x14ac:dyDescent="0.25">
      <c r="A326" s="80" t="s">
        <v>1200</v>
      </c>
      <c r="B326" s="11" t="s">
        <v>1187</v>
      </c>
      <c r="C326" s="11" t="s">
        <v>4695</v>
      </c>
      <c r="D326" s="11" t="s">
        <v>194</v>
      </c>
      <c r="E326" s="65" t="str">
        <f>VLOOKUP(D326,Total!$C$2:$D$518,2,0)</f>
        <v>11 TKR 2</v>
      </c>
      <c r="F326" s="65" t="str">
        <f>VLOOKUP(C326,Total!$B$2:$F$514,5,0)</f>
        <v>AKTIF</v>
      </c>
      <c r="G326" s="67" t="str">
        <f>VLOOKUP($B326,master!$B$3:$S$600,16,0)</f>
        <v>88983875861</v>
      </c>
      <c r="H326" s="67" t="str">
        <f>VLOOKUP($B326,master!$B$3:$S$600,17,0)</f>
        <v>0</v>
      </c>
      <c r="I326" s="67" t="str">
        <f>VLOOKUP($B326,master!$B$3:$S$600,8,0)</f>
        <v>DEMAKAN</v>
      </c>
      <c r="J326" s="67" t="str">
        <f>VLOOKUP($B326,master!$B$3:$S$600,9,0)</f>
        <v>3</v>
      </c>
      <c r="K326" s="67" t="str">
        <f>VLOOKUP($B326,master!$B$3:$S$600,11,0)</f>
        <v>GADINGSARI</v>
      </c>
      <c r="L326" s="67" t="str">
        <f>VLOOKUP($B326,master!$B$3:$S$600,12,0)</f>
        <v>SANDEN</v>
      </c>
      <c r="M326" s="67" t="str">
        <f>VLOOKUP($B326,master!$B$3:$S$600,6,0)</f>
        <v>PONIMIN</v>
      </c>
      <c r="N326" s="82" t="str">
        <f>VLOOKUP($B326,master!$B$3:$S$600,15,0)</f>
        <v>SMP N 1 SANDEN</v>
      </c>
      <c r="O326" s="82" t="str">
        <f>VLOOKUP($B326,master!$B$3:$S$600,4,0)</f>
        <v>20-09-2008</v>
      </c>
    </row>
    <row r="327" spans="1:15" ht="15.75" customHeight="1" x14ac:dyDescent="0.25">
      <c r="A327" s="80" t="s">
        <v>1202</v>
      </c>
      <c r="B327" s="11" t="s">
        <v>1189</v>
      </c>
      <c r="C327" s="11" t="s">
        <v>4696</v>
      </c>
      <c r="D327" s="11" t="s">
        <v>5042</v>
      </c>
      <c r="E327" s="65" t="str">
        <f>VLOOKUP(D327,Total!$C$2:$D$518,2,0)</f>
        <v>11 TKR 2</v>
      </c>
      <c r="F327" s="65" t="str">
        <f>VLOOKUP(C327,Total!$B$2:$F$514,5,0)</f>
        <v>AKTIF</v>
      </c>
      <c r="G327" s="67" t="str">
        <f>VLOOKUP($B327,master!$B$3:$S$600,16,0)</f>
        <v>081327512382</v>
      </c>
      <c r="H327" s="67" t="str">
        <f>VLOOKUP($B327,master!$B$3:$S$600,17,0)</f>
        <v>085869274155</v>
      </c>
      <c r="I327" s="67" t="str">
        <f>VLOOKUP($B327,master!$B$3:$S$600,8,0)</f>
        <v>KRAPYAK WETAN</v>
      </c>
      <c r="J327" s="67" t="str">
        <f>VLOOKUP($B327,master!$B$3:$S$600,9,0)</f>
        <v>6</v>
      </c>
      <c r="K327" s="67" t="str">
        <f>VLOOKUP($B327,master!$B$3:$S$600,11,0)</f>
        <v>PANJANGREJO</v>
      </c>
      <c r="L327" s="67" t="str">
        <f>VLOOKUP($B327,master!$B$3:$S$600,12,0)</f>
        <v>PUNDONG</v>
      </c>
      <c r="M327" s="67" t="str">
        <f>VLOOKUP($B327,master!$B$3:$S$600,6,0)</f>
        <v>Muhammad akhlis</v>
      </c>
      <c r="N327" s="82" t="str">
        <f>VLOOKUP($B327,master!$B$3:$S$600,15,0)</f>
        <v>Mts Darul Qur'an wal Irsyad</v>
      </c>
      <c r="O327" s="82" t="str">
        <f>VLOOKUP($B327,master!$B$3:$S$600,4,0)</f>
        <v>23-05-2008</v>
      </c>
    </row>
    <row r="328" spans="1:15" ht="15.75" customHeight="1" x14ac:dyDescent="0.25">
      <c r="A328" s="80" t="s">
        <v>1204</v>
      </c>
      <c r="B328" s="11" t="s">
        <v>1191</v>
      </c>
      <c r="C328" s="11" t="s">
        <v>4697</v>
      </c>
      <c r="D328" s="11" t="s">
        <v>195</v>
      </c>
      <c r="E328" s="65" t="str">
        <f>VLOOKUP(D328,Total!$C$2:$D$518,2,0)</f>
        <v>11 TKR 2</v>
      </c>
      <c r="F328" s="65" t="str">
        <f>VLOOKUP(C328,Total!$B$2:$F$514,5,0)</f>
        <v>AKTIF</v>
      </c>
      <c r="G328" s="67" t="str">
        <f>VLOOKUP($B328,master!$B$3:$S$600,16,0)</f>
        <v>082131906445</v>
      </c>
      <c r="H328" s="67" t="str">
        <f>VLOOKUP($B328,master!$B$3:$S$600,17,0)</f>
        <v>081991081576</v>
      </c>
      <c r="I328" s="67" t="str">
        <f>VLOOKUP($B328,master!$B$3:$S$600,8,0)</f>
        <v>PATRAN</v>
      </c>
      <c r="J328" s="67" t="str">
        <f>VLOOKUP($B328,master!$B$3:$S$600,9,0)</f>
        <v>1</v>
      </c>
      <c r="K328" s="67" t="str">
        <f>VLOOKUP($B328,master!$B$3:$S$600,11,0)</f>
        <v>CANDEN</v>
      </c>
      <c r="L328" s="67" t="str">
        <f>VLOOKUP($B328,master!$B$3:$S$600,12,0)</f>
        <v>JETIS</v>
      </c>
      <c r="M328" s="67" t="str">
        <f>VLOOKUP($B328,master!$B$3:$S$600,6,0)</f>
        <v>ALIP PRIYANTO</v>
      </c>
      <c r="N328" s="82" t="str">
        <f>VLOOKUP($B328,master!$B$3:$S$600,15,0)</f>
        <v>SMP NEGERI 2 JETIS</v>
      </c>
      <c r="O328" s="82" t="str">
        <f>VLOOKUP($B328,master!$B$3:$S$600,4,0)</f>
        <v>6-03-2009</v>
      </c>
    </row>
    <row r="329" spans="1:15" ht="15.75" customHeight="1" x14ac:dyDescent="0.25">
      <c r="A329" s="80" t="s">
        <v>1206</v>
      </c>
      <c r="B329" s="11" t="s">
        <v>1193</v>
      </c>
      <c r="C329" s="11" t="s">
        <v>4698</v>
      </c>
      <c r="D329" s="11" t="s">
        <v>196</v>
      </c>
      <c r="E329" s="65" t="str">
        <f>VLOOKUP(D329,Total!$C$2:$D$518,2,0)</f>
        <v>11 TKR 2</v>
      </c>
      <c r="F329" s="65" t="str">
        <f>VLOOKUP(C329,Total!$B$2:$F$514,5,0)</f>
        <v>AKTIF</v>
      </c>
      <c r="G329" s="67" t="str">
        <f>VLOOKUP($B329,master!$B$3:$S$600,16,0)</f>
        <v>81210114765</v>
      </c>
      <c r="H329" s="67" t="str">
        <f>VLOOKUP($B329,master!$B$3:$S$600,17,0)</f>
        <v>0</v>
      </c>
      <c r="I329" s="67" t="str">
        <f>VLOOKUP($B329,master!$B$3:$S$600,8,0)</f>
        <v>MANDING</v>
      </c>
      <c r="J329" s="67" t="str">
        <f>VLOOKUP($B329,master!$B$3:$S$600,9,0)</f>
        <v>5</v>
      </c>
      <c r="K329" s="67" t="str">
        <f>VLOOKUP($B329,master!$B$3:$S$600,11,0)</f>
        <v>TRIRENGGO</v>
      </c>
      <c r="L329" s="67" t="str">
        <f>VLOOKUP($B329,master!$B$3:$S$600,12,0)</f>
        <v>BANTUL</v>
      </c>
      <c r="M329" s="67" t="str">
        <f>VLOOKUP($B329,master!$B$3:$S$600,6,0)</f>
        <v>JUMADI</v>
      </c>
      <c r="N329" s="82" t="str">
        <f>VLOOKUP($B329,master!$B$3:$S$600,15,0)</f>
        <v>SMP N 1 BANTUL</v>
      </c>
      <c r="O329" s="82" t="str">
        <f>VLOOKUP($B329,master!$B$3:$S$600,4,0)</f>
        <v>26-10-2008</v>
      </c>
    </row>
    <row r="330" spans="1:15" ht="15.75" customHeight="1" x14ac:dyDescent="0.25">
      <c r="A330" s="80" t="s">
        <v>1208</v>
      </c>
      <c r="B330" s="11" t="s">
        <v>1195</v>
      </c>
      <c r="C330" s="11" t="s">
        <v>4699</v>
      </c>
      <c r="D330" s="11" t="s">
        <v>197</v>
      </c>
      <c r="E330" s="65" t="str">
        <f>VLOOKUP(D330,Total!$C$2:$D$518,2,0)</f>
        <v>11 TKR 2</v>
      </c>
      <c r="F330" s="65" t="str">
        <f>VLOOKUP(C330,Total!$B$2:$F$514,5,0)</f>
        <v>AKTIF</v>
      </c>
      <c r="G330" s="67" t="str">
        <f>VLOOKUP($B330,master!$B$3:$S$600,16,0)</f>
        <v>081326222893</v>
      </c>
      <c r="H330" s="67" t="str">
        <f>VLOOKUP($B330,master!$B$3:$S$600,17,0)</f>
        <v>082231035942</v>
      </c>
      <c r="I330" s="67" t="str">
        <f>VLOOKUP($B330,master!$B$3:$S$600,8,0)</f>
        <v>WONOREJO I</v>
      </c>
      <c r="J330" s="67" t="str">
        <f>VLOOKUP($B330,master!$B$3:$S$600,9,0)</f>
        <v>6</v>
      </c>
      <c r="K330" s="67" t="str">
        <f>VLOOKUP($B330,master!$B$3:$S$600,11,0)</f>
        <v>SRIGADING</v>
      </c>
      <c r="L330" s="67" t="str">
        <f>VLOOKUP($B330,master!$B$3:$S$600,12,0)</f>
        <v>SANDEN</v>
      </c>
      <c r="M330" s="67" t="str">
        <f>VLOOKUP($B330,master!$B$3:$S$600,6,0)</f>
        <v>RATIH BUDIYANTO</v>
      </c>
      <c r="N330" s="82" t="str">
        <f>VLOOKUP($B330,master!$B$3:$S$600,15,0)</f>
        <v>SMP N 2 SANDEN</v>
      </c>
      <c r="O330" s="82" t="str">
        <f>VLOOKUP($B330,master!$B$3:$S$600,4,0)</f>
        <v>24-08-2009</v>
      </c>
    </row>
    <row r="331" spans="1:15" ht="15.75" customHeight="1" x14ac:dyDescent="0.25">
      <c r="A331" s="80" t="s">
        <v>1210</v>
      </c>
      <c r="B331" s="11" t="s">
        <v>1197</v>
      </c>
      <c r="C331" s="11" t="s">
        <v>4700</v>
      </c>
      <c r="D331" s="11" t="s">
        <v>198</v>
      </c>
      <c r="E331" s="65" t="str">
        <f>VLOOKUP(D331,Total!$C$2:$D$518,2,0)</f>
        <v>11 TKR 2</v>
      </c>
      <c r="F331" s="65" t="str">
        <f>VLOOKUP(C331,Total!$B$2:$F$514,5,0)</f>
        <v>KELUAR</v>
      </c>
      <c r="G331" s="67" t="str">
        <f>VLOOKUP($B331,master!$B$3:$S$600,16,0)</f>
        <v>088983255878</v>
      </c>
      <c r="H331" s="67" t="str">
        <f>VLOOKUP($B331,master!$B$3:$S$600,17,0)</f>
        <v>088983255878</v>
      </c>
      <c r="I331" s="67" t="str">
        <f>VLOOKUP($B331,master!$B$3:$S$600,8,0)</f>
        <v>MENANG</v>
      </c>
      <c r="J331" s="67" t="str">
        <f>VLOOKUP($B331,master!$B$3:$S$600,9,0)</f>
        <v>002</v>
      </c>
      <c r="K331" s="67" t="str">
        <f>VLOOKUP($B331,master!$B$3:$S$600,11,0)</f>
        <v>SELOHARJO</v>
      </c>
      <c r="L331" s="67" t="str">
        <f>VLOOKUP($B331,master!$B$3:$S$600,12,0)</f>
        <v>PUNDONG</v>
      </c>
      <c r="M331" s="67" t="str">
        <f>VLOOKUP($B331,master!$B$3:$S$600,6,0)</f>
        <v>PARJILAH</v>
      </c>
      <c r="N331" s="82" t="str">
        <f>VLOOKUP($B331,master!$B$3:$S$600,15,0)</f>
        <v>SMP N 2 PUNDONG</v>
      </c>
      <c r="O331" s="82" t="str">
        <f>VLOOKUP($B331,master!$B$3:$S$600,4,0)</f>
        <v>11-09-2008</v>
      </c>
    </row>
    <row r="332" spans="1:15" ht="15.75" customHeight="1" x14ac:dyDescent="0.25">
      <c r="A332" s="80" t="s">
        <v>1212</v>
      </c>
      <c r="B332" s="11" t="s">
        <v>1199</v>
      </c>
      <c r="C332" s="11" t="s">
        <v>4701</v>
      </c>
      <c r="D332" s="11" t="s">
        <v>199</v>
      </c>
      <c r="E332" s="65" t="str">
        <f>VLOOKUP(D332,Total!$C$2:$D$518,2,0)</f>
        <v>11 TKR 2</v>
      </c>
      <c r="F332" s="65" t="str">
        <f>VLOOKUP(C332,Total!$B$2:$F$514,5,0)</f>
        <v>KELUAR</v>
      </c>
      <c r="G332" s="67" t="str">
        <f>VLOOKUP($B332,master!$B$3:$S$600,16,0)</f>
        <v>083840508997</v>
      </c>
      <c r="H332" s="67" t="str">
        <f>VLOOKUP($B332,master!$B$3:$S$600,17,0)</f>
        <v>083840508997</v>
      </c>
      <c r="I332" s="67" t="str">
        <f>VLOOKUP($B332,master!$B$3:$S$600,8,0)</f>
        <v>JAMBU</v>
      </c>
      <c r="J332" s="67" t="str">
        <f>VLOOKUP($B332,master!$B$3:$S$600,9,0)</f>
        <v>7</v>
      </c>
      <c r="K332" s="67" t="str">
        <f>VLOOKUP($B332,master!$B$3:$S$600,11,0)</f>
        <v>GIRICAHYO</v>
      </c>
      <c r="L332" s="67" t="str">
        <f>VLOOKUP($B332,master!$B$3:$S$600,12,0)</f>
        <v>PURWOSARI</v>
      </c>
      <c r="M332" s="67" t="str">
        <f>VLOOKUP($B332,master!$B$3:$S$600,6,0)</f>
        <v>SURAJI / AMIN YUNI ASTUTI</v>
      </c>
      <c r="N332" s="82" t="str">
        <f>VLOOKUP($B332,master!$B$3:$S$600,15,0)</f>
        <v>SMP N 1 PURWOSARI</v>
      </c>
      <c r="O332" s="82" t="str">
        <f>VLOOKUP($B332,master!$B$3:$S$600,4,0)</f>
        <v>5-09-2008</v>
      </c>
    </row>
    <row r="333" spans="1:15" ht="15.75" customHeight="1" x14ac:dyDescent="0.25">
      <c r="A333" s="80" t="s">
        <v>1214</v>
      </c>
      <c r="B333" s="11" t="s">
        <v>1201</v>
      </c>
      <c r="C333" s="11" t="s">
        <v>4702</v>
      </c>
      <c r="D333" s="11" t="s">
        <v>200</v>
      </c>
      <c r="E333" s="65" t="str">
        <f>VLOOKUP(D333,Total!$C$2:$D$518,2,0)</f>
        <v>11 TKR 2</v>
      </c>
      <c r="F333" s="65" t="str">
        <f>VLOOKUP(C333,Total!$B$2:$F$514,5,0)</f>
        <v>AKTIF</v>
      </c>
      <c r="G333" s="67" t="str">
        <f>VLOOKUP($B333,master!$B$3:$S$600,16,0)</f>
        <v>085236925647</v>
      </c>
      <c r="H333" s="67" t="str">
        <f>VLOOKUP($B333,master!$B$3:$S$600,17,0)</f>
        <v>-</v>
      </c>
      <c r="I333" s="67" t="str">
        <f>VLOOKUP($B333,master!$B$3:$S$600,8,0)</f>
        <v>BURUHAN</v>
      </c>
      <c r="J333" s="67" t="str">
        <f>VLOOKUP($B333,master!$B$3:$S$600,9,0)</f>
        <v>4</v>
      </c>
      <c r="K333" s="67" t="str">
        <f>VLOOKUP($B333,master!$B$3:$S$600,11,0)</f>
        <v>TIRTOSARI</v>
      </c>
      <c r="L333" s="67" t="str">
        <f>VLOOKUP($B333,master!$B$3:$S$600,12,0)</f>
        <v>KRETEK</v>
      </c>
      <c r="M333" s="67" t="str">
        <f>VLOOKUP($B333,master!$B$3:$S$600,6,0)</f>
        <v>NURDATIN</v>
      </c>
      <c r="N333" s="82" t="str">
        <f>VLOOKUP($B333,master!$B$3:$S$600,15,0)</f>
        <v>SMP MUHAMMADIYAH KRETEK</v>
      </c>
      <c r="O333" s="82" t="str">
        <f>VLOOKUP($B333,master!$B$3:$S$600,4,0)</f>
        <v>23-04-2009</v>
      </c>
    </row>
    <row r="334" spans="1:15" ht="15.75" customHeight="1" x14ac:dyDescent="0.25">
      <c r="A334" s="80" t="s">
        <v>1216</v>
      </c>
      <c r="B334" s="11" t="s">
        <v>1131</v>
      </c>
      <c r="C334" s="11" t="s">
        <v>4703</v>
      </c>
      <c r="D334" s="11" t="s">
        <v>201</v>
      </c>
      <c r="E334" s="65" t="str">
        <f>VLOOKUP(D334,Total!$C$2:$D$518,2,0)</f>
        <v>11 TKR 2</v>
      </c>
      <c r="F334" s="65" t="str">
        <f>VLOOKUP(C334,Total!$B$2:$F$514,5,0)</f>
        <v>AKTIF</v>
      </c>
      <c r="G334" s="67" t="str">
        <f>VLOOKUP($B334,master!$B$3:$S$600,16,0)</f>
        <v>085691475952</v>
      </c>
      <c r="H334" s="67" t="str">
        <f>VLOOKUP($B334,master!$B$3:$S$600,17,0)</f>
        <v>-</v>
      </c>
      <c r="I334" s="67" t="str">
        <f>VLOOKUP($B334,master!$B$3:$S$600,8,0)</f>
        <v>JATIREJO</v>
      </c>
      <c r="J334" s="67" t="str">
        <f>VLOOKUP($B334,master!$B$3:$S$600,9,0)</f>
        <v>4</v>
      </c>
      <c r="K334" s="67" t="str">
        <f>VLOOKUP($B334,master!$B$3:$S$600,11,0)</f>
        <v>WUKIRSARI</v>
      </c>
      <c r="L334" s="67" t="str">
        <f>VLOOKUP($B334,master!$B$3:$S$600,12,0)</f>
        <v>IMOGIRI</v>
      </c>
      <c r="M334" s="67" t="str">
        <f>VLOOKUP($B334,master!$B$3:$S$600,6,0)</f>
        <v>SARYONO</v>
      </c>
      <c r="N334" s="82" t="str">
        <f>VLOOKUP($B334,master!$B$3:$S$600,15,0)</f>
        <v>MTS N 3 BANTUL</v>
      </c>
      <c r="O334" s="82" t="str">
        <f>VLOOKUP($B334,master!$B$3:$S$600,4,0)</f>
        <v>1-03-2009</v>
      </c>
    </row>
    <row r="335" spans="1:15" ht="15.75" customHeight="1" x14ac:dyDescent="0.25">
      <c r="A335" s="80" t="s">
        <v>1218</v>
      </c>
      <c r="B335" s="11" t="s">
        <v>1203</v>
      </c>
      <c r="C335" s="11" t="s">
        <v>4704</v>
      </c>
      <c r="D335" s="11" t="s">
        <v>202</v>
      </c>
      <c r="E335" s="65" t="str">
        <f>VLOOKUP(D335,Total!$C$2:$D$518,2,0)</f>
        <v>11 TKR 2</v>
      </c>
      <c r="F335" s="65" t="str">
        <f>VLOOKUP(C335,Total!$B$2:$F$514,5,0)</f>
        <v>AKTIF</v>
      </c>
      <c r="G335" s="67" t="str">
        <f>VLOOKUP($B335,master!$B$3:$S$600,16,0)</f>
        <v>083144745777</v>
      </c>
      <c r="H335" s="67" t="str">
        <f>VLOOKUP($B335,master!$B$3:$S$600,17,0)</f>
        <v>088980956177</v>
      </c>
      <c r="I335" s="67" t="str">
        <f>VLOOKUP($B335,master!$B$3:$S$600,8,0)</f>
        <v>CIREN</v>
      </c>
      <c r="J335" s="67" t="str">
        <f>VLOOKUP($B335,master!$B$3:$S$600,9,0)</f>
        <v>003</v>
      </c>
      <c r="K335" s="67" t="str">
        <f>VLOOKUP($B335,master!$B$3:$S$600,11,0)</f>
        <v>TRIHARJO</v>
      </c>
      <c r="L335" s="67" t="str">
        <f>VLOOKUP($B335,master!$B$3:$S$600,12,0)</f>
        <v>PANDAK</v>
      </c>
      <c r="M335" s="67" t="str">
        <f>VLOOKUP($B335,master!$B$3:$S$600,6,0)</f>
        <v>RAHMANTO</v>
      </c>
      <c r="N335" s="82" t="str">
        <f>VLOOKUP($B335,master!$B$3:$S$600,15,0)</f>
        <v>SMP N 2 PANDAK</v>
      </c>
      <c r="O335" s="82" t="str">
        <f>VLOOKUP($B335,master!$B$3:$S$600,4,0)</f>
        <v>30-04-2008</v>
      </c>
    </row>
    <row r="336" spans="1:15" ht="15.75" customHeight="1" x14ac:dyDescent="0.25">
      <c r="A336" s="80" t="s">
        <v>1220</v>
      </c>
      <c r="B336" s="11" t="s">
        <v>1205</v>
      </c>
      <c r="C336" s="11" t="s">
        <v>4705</v>
      </c>
      <c r="D336" s="11" t="s">
        <v>203</v>
      </c>
      <c r="E336" s="65" t="str">
        <f>VLOOKUP(D336,Total!$C$2:$D$518,2,0)</f>
        <v>11 TKR 2</v>
      </c>
      <c r="F336" s="65" t="str">
        <f>VLOOKUP(C336,Total!$B$2:$F$514,5,0)</f>
        <v>AKTIF</v>
      </c>
      <c r="G336" s="67" t="str">
        <f>VLOOKUP($B336,master!$B$3:$S$600,16,0)</f>
        <v>081392539267</v>
      </c>
      <c r="H336" s="67" t="str">
        <f>VLOOKUP($B336,master!$B$3:$S$600,17,0)</f>
        <v>081392539267</v>
      </c>
      <c r="I336" s="67" t="str">
        <f>VLOOKUP($B336,master!$B$3:$S$600,8,0)</f>
        <v>DENGKENG</v>
      </c>
      <c r="J336" s="67" t="str">
        <f>VLOOKUP($B336,master!$B$3:$S$600,9,0)</f>
        <v>01</v>
      </c>
      <c r="K336" s="67" t="str">
        <f>VLOOKUP($B336,master!$B$3:$S$600,11,0)</f>
        <v>WUKIRSARI</v>
      </c>
      <c r="L336" s="67" t="str">
        <f>VLOOKUP($B336,master!$B$3:$S$600,12,0)</f>
        <v>IMOGIRI</v>
      </c>
      <c r="M336" s="67" t="str">
        <f>VLOOKUP($B336,master!$B$3:$S$600,6,0)</f>
        <v>Giat pujiarto</v>
      </c>
      <c r="N336" s="82" t="str">
        <f>VLOOKUP($B336,master!$B$3:$S$600,15,0)</f>
        <v>SMP MUHAMMADIYAH IMOGIRI</v>
      </c>
      <c r="O336" s="82" t="str">
        <f>VLOOKUP($B336,master!$B$3:$S$600,4,0)</f>
        <v>26-09-2008</v>
      </c>
    </row>
    <row r="337" spans="1:15" ht="15.75" customHeight="1" x14ac:dyDescent="0.25">
      <c r="A337" s="80" t="s">
        <v>1222</v>
      </c>
      <c r="B337" s="11" t="s">
        <v>1207</v>
      </c>
      <c r="C337" s="11" t="s">
        <v>4706</v>
      </c>
      <c r="D337" s="11" t="s">
        <v>204</v>
      </c>
      <c r="E337" s="65" t="str">
        <f>VLOOKUP(D337,Total!$C$2:$D$518,2,0)</f>
        <v>11 TKR 2</v>
      </c>
      <c r="F337" s="65" t="str">
        <f>VLOOKUP(C337,Total!$B$2:$F$514,5,0)</f>
        <v>AKTIF</v>
      </c>
      <c r="G337" s="67" t="str">
        <f>VLOOKUP($B337,master!$B$3:$S$600,16,0)</f>
        <v>0882008066542/0882003315352</v>
      </c>
      <c r="H337" s="67" t="str">
        <f>VLOOKUP($B337,master!$B$3:$S$600,17,0)</f>
        <v>-</v>
      </c>
      <c r="I337" s="67" t="str">
        <f>VLOOKUP($B337,master!$B$3:$S$600,8,0)</f>
        <v>DODOTAN</v>
      </c>
      <c r="J337" s="67" t="str">
        <f>VLOOKUP($B337,master!$B$3:$S$600,9,0)</f>
        <v>2</v>
      </c>
      <c r="K337" s="67" t="str">
        <f>VLOOKUP($B337,master!$B$3:$S$600,11,0)</f>
        <v>SUMBERMULYO</v>
      </c>
      <c r="L337" s="67" t="str">
        <f>VLOOKUP($B337,master!$B$3:$S$600,12,0)</f>
        <v>BAMBANGLIPURO</v>
      </c>
      <c r="M337" s="67" t="str">
        <f>VLOOKUP($B337,master!$B$3:$S$600,6,0)</f>
        <v>SUTRISNO</v>
      </c>
      <c r="N337" s="82" t="str">
        <f>VLOOKUP($B337,master!$B$3:$S$600,15,0)</f>
        <v>SMP N 1 BAMBANGLIPURO</v>
      </c>
      <c r="O337" s="82" t="str">
        <f>VLOOKUP($B337,master!$B$3:$S$600,4,0)</f>
        <v>22-04-2008</v>
      </c>
    </row>
    <row r="338" spans="1:15" ht="15.75" customHeight="1" x14ac:dyDescent="0.25">
      <c r="A338" s="80" t="s">
        <v>1224</v>
      </c>
      <c r="B338" s="11" t="s">
        <v>1209</v>
      </c>
      <c r="C338" s="11" t="s">
        <v>4707</v>
      </c>
      <c r="D338" s="11" t="s">
        <v>205</v>
      </c>
      <c r="E338" s="65" t="str">
        <f>VLOOKUP(D338,Total!$C$2:$D$518,2,0)</f>
        <v>11 TKR 2</v>
      </c>
      <c r="F338" s="65" t="str">
        <f>VLOOKUP(C338,Total!$B$2:$F$514,5,0)</f>
        <v>AKTIF</v>
      </c>
      <c r="G338" s="67" t="str">
        <f>VLOOKUP($B338,master!$B$3:$S$600,16,0)</f>
        <v>088226891774</v>
      </c>
      <c r="H338" s="67" t="str">
        <f>VLOOKUP($B338,master!$B$3:$S$600,17,0)</f>
        <v>-</v>
      </c>
      <c r="I338" s="67" t="str">
        <f>VLOOKUP($B338,master!$B$3:$S$600,8,0)</f>
        <v>DALEMAN</v>
      </c>
      <c r="J338" s="67" t="str">
        <f>VLOOKUP($B338,master!$B$3:$S$600,9,0)</f>
        <v>-</v>
      </c>
      <c r="K338" s="67" t="str">
        <f>VLOOKUP($B338,master!$B$3:$S$600,11,0)</f>
        <v>GADINGHARJO</v>
      </c>
      <c r="L338" s="67" t="str">
        <f>VLOOKUP($B338,master!$B$3:$S$600,12,0)</f>
        <v>SANDEN</v>
      </c>
      <c r="M338" s="67" t="str">
        <f>VLOOKUP($B338,master!$B$3:$S$600,6,0)</f>
        <v>SUGENG ROHMADI</v>
      </c>
      <c r="N338" s="82" t="str">
        <f>VLOOKUP($B338,master!$B$3:$S$600,15,0)</f>
        <v>SMP N 2 SANDEN</v>
      </c>
      <c r="O338" s="82" t="str">
        <f>VLOOKUP($B338,master!$B$3:$S$600,4,0)</f>
        <v>23-11-2008</v>
      </c>
    </row>
    <row r="339" spans="1:15" ht="15.75" customHeight="1" x14ac:dyDescent="0.25">
      <c r="A339" s="80" t="s">
        <v>1226</v>
      </c>
      <c r="B339" s="11" t="s">
        <v>1211</v>
      </c>
      <c r="C339" s="11" t="s">
        <v>4708</v>
      </c>
      <c r="D339" s="11" t="s">
        <v>5096</v>
      </c>
      <c r="E339" s="65" t="str">
        <f>VLOOKUP(D339,Total!$C$2:$D$518,2,0)</f>
        <v>11 TKR 2</v>
      </c>
      <c r="F339" s="65" t="str">
        <f>VLOOKUP(C339,Total!$B$2:$F$514,5,0)</f>
        <v>AKTIF</v>
      </c>
      <c r="G339" s="67" t="str">
        <f>VLOOKUP($B339,master!$B$3:$S$600,16,0)</f>
        <v>089508052991</v>
      </c>
      <c r="H339" s="67" t="str">
        <f>VLOOKUP($B339,master!$B$3:$S$600,17,0)</f>
        <v>083163028564</v>
      </c>
      <c r="I339" s="67" t="str">
        <f>VLOOKUP($B339,master!$B$3:$S$600,8,0)</f>
        <v>BULUS KULON</v>
      </c>
      <c r="J339" s="67" t="str">
        <f>VLOOKUP($B339,master!$B$3:$S$600,9,0)</f>
        <v>001</v>
      </c>
      <c r="K339" s="67" t="str">
        <f>VLOOKUP($B339,master!$B$3:$S$600,11,0)</f>
        <v>SUMBERAGUNG</v>
      </c>
      <c r="L339" s="67" t="str">
        <f>VLOOKUP($B339,master!$B$3:$S$600,12,0)</f>
        <v>JETIS</v>
      </c>
      <c r="M339" s="67" t="str">
        <f>VLOOKUP($B339,master!$B$3:$S$600,6,0)</f>
        <v>Siti Aminah</v>
      </c>
      <c r="N339" s="82" t="str">
        <f>VLOOKUP($B339,master!$B$3:$S$600,15,0)</f>
        <v>SMP MUHAMMADIYAH IMOGIRI</v>
      </c>
      <c r="O339" s="82" t="str">
        <f>VLOOKUP($B339,master!$B$3:$S$600,4,0)</f>
        <v>25-02-2009</v>
      </c>
    </row>
    <row r="340" spans="1:15" ht="15.75" customHeight="1" x14ac:dyDescent="0.25">
      <c r="A340" s="80" t="s">
        <v>1228</v>
      </c>
      <c r="B340" s="11" t="s">
        <v>1213</v>
      </c>
      <c r="C340" s="11" t="s">
        <v>4709</v>
      </c>
      <c r="D340" s="11" t="s">
        <v>206</v>
      </c>
      <c r="E340" s="65" t="str">
        <f>VLOOKUP(D340,Total!$C$2:$D$518,2,0)</f>
        <v>11 TKR 3</v>
      </c>
      <c r="F340" s="65" t="str">
        <f>VLOOKUP(C340,Total!$B$2:$F$514,5,0)</f>
        <v>AKTIF</v>
      </c>
      <c r="G340" s="67" t="str">
        <f>VLOOKUP($B340,master!$B$3:$S$600,16,0)</f>
        <v>89612622928</v>
      </c>
      <c r="H340" s="67" t="str">
        <f>VLOOKUP($B340,master!$B$3:$S$600,17,0)</f>
        <v>0</v>
      </c>
      <c r="I340" s="67" t="str">
        <f>VLOOKUP($B340,master!$B$3:$S$600,8,0)</f>
        <v>TEGALSEMPU</v>
      </c>
      <c r="J340" s="67" t="str">
        <f>VLOOKUP($B340,master!$B$3:$S$600,9,0)</f>
        <v>4</v>
      </c>
      <c r="K340" s="67" t="str">
        <f>VLOOKUP($B340,master!$B$3:$S$600,11,0)</f>
        <v>CATURHARJO</v>
      </c>
      <c r="L340" s="67" t="str">
        <f>VLOOKUP($B340,master!$B$3:$S$600,12,0)</f>
        <v>PANDAK</v>
      </c>
      <c r="M340" s="67" t="str">
        <f>VLOOKUP($B340,master!$B$3:$S$600,6,0)</f>
        <v>EKO PURWANTO</v>
      </c>
      <c r="N340" s="82" t="str">
        <f>VLOOKUP($B340,master!$B$3:$S$600,15,0)</f>
        <v>SMP N 2 PANDAK</v>
      </c>
      <c r="O340" s="82" t="str">
        <f>VLOOKUP($B340,master!$B$3:$S$600,4,0)</f>
        <v>28-02-2009</v>
      </c>
    </row>
    <row r="341" spans="1:15" ht="15.75" customHeight="1" x14ac:dyDescent="0.25">
      <c r="A341" s="80" t="s">
        <v>1230</v>
      </c>
      <c r="B341" s="11" t="s">
        <v>1215</v>
      </c>
      <c r="C341" s="11" t="s">
        <v>4710</v>
      </c>
      <c r="D341" s="11" t="s">
        <v>207</v>
      </c>
      <c r="E341" s="65" t="str">
        <f>VLOOKUP(D341,Total!$C$2:$D$518,2,0)</f>
        <v>11 TKR 3</v>
      </c>
      <c r="F341" s="65" t="str">
        <f>VLOOKUP(C341,Total!$B$2:$F$514,5,0)</f>
        <v>AKTIF</v>
      </c>
      <c r="G341" s="67" t="str">
        <f>VLOOKUP($B341,master!$B$3:$S$600,16,0)</f>
        <v>0813275888877</v>
      </c>
      <c r="H341" s="67" t="str">
        <f>VLOOKUP($B341,master!$B$3:$S$600,17,0)</f>
        <v>089525308092</v>
      </c>
      <c r="I341" s="67" t="str">
        <f>VLOOKUP($B341,master!$B$3:$S$600,8,0)</f>
        <v>PECIRO</v>
      </c>
      <c r="J341" s="67" t="str">
        <f>VLOOKUP($B341,master!$B$3:$S$600,9,0)</f>
        <v>03</v>
      </c>
      <c r="K341" s="67" t="str">
        <f>VLOOKUP($B341,master!$B$3:$S$600,11,0)</f>
        <v>MURTIGADING</v>
      </c>
      <c r="L341" s="67" t="str">
        <f>VLOOKUP($B341,master!$B$3:$S$600,12,0)</f>
        <v>SANDEN</v>
      </c>
      <c r="M341" s="67" t="str">
        <f>VLOOKUP($B341,master!$B$3:$S$600,6,0)</f>
        <v>MURYANI</v>
      </c>
      <c r="N341" s="82" t="str">
        <f>VLOOKUP($B341,master!$B$3:$S$600,15,0)</f>
        <v>SMP N 2 SANDEN</v>
      </c>
      <c r="O341" s="82" t="str">
        <f>VLOOKUP($B341,master!$B$3:$S$600,4,0)</f>
        <v>25-05-2008</v>
      </c>
    </row>
    <row r="342" spans="1:15" ht="15.75" customHeight="1" x14ac:dyDescent="0.25">
      <c r="A342" s="80" t="s">
        <v>1232</v>
      </c>
      <c r="B342" s="11" t="s">
        <v>1217</v>
      </c>
      <c r="C342" s="11" t="s">
        <v>4711</v>
      </c>
      <c r="D342" s="11" t="s">
        <v>208</v>
      </c>
      <c r="E342" s="65" t="str">
        <f>VLOOKUP(D342,Total!$C$2:$D$518,2,0)</f>
        <v>11 TKR 3</v>
      </c>
      <c r="F342" s="65" t="str">
        <f>VLOOKUP(C342,Total!$B$2:$F$514,5,0)</f>
        <v>AKTIF</v>
      </c>
      <c r="G342" s="67" t="str">
        <f>VLOOKUP($B342,master!$B$3:$S$600,16,0)</f>
        <v>81328664064</v>
      </c>
      <c r="H342" s="67" t="str">
        <f>VLOOKUP($B342,master!$B$3:$S$600,17,0)</f>
        <v>0</v>
      </c>
      <c r="I342" s="67" t="str">
        <f>VLOOKUP($B342,master!$B$3:$S$600,8,0)</f>
        <v>SEMAMPIR</v>
      </c>
      <c r="J342" s="67" t="str">
        <f>VLOOKUP($B342,master!$B$3:$S$600,9,0)</f>
        <v>5</v>
      </c>
      <c r="K342" s="67" t="str">
        <f>VLOOKUP($B342,master!$B$3:$S$600,11,0)</f>
        <v>PANJANGREJO</v>
      </c>
      <c r="L342" s="67" t="str">
        <f>VLOOKUP($B342,master!$B$3:$S$600,12,0)</f>
        <v>PUNDONG</v>
      </c>
      <c r="M342" s="67" t="str">
        <f>VLOOKUP($B342,master!$B$3:$S$600,6,0)</f>
        <v>ISTADI</v>
      </c>
      <c r="N342" s="82" t="str">
        <f>VLOOKUP($B342,master!$B$3:$S$600,15,0)</f>
        <v>MTS N 5 BANTUL</v>
      </c>
      <c r="O342" s="82" t="str">
        <f>VLOOKUP($B342,master!$B$3:$S$600,4,0)</f>
        <v>8-12-2008</v>
      </c>
    </row>
    <row r="343" spans="1:15" ht="15.75" customHeight="1" x14ac:dyDescent="0.25">
      <c r="A343" s="80" t="s">
        <v>1234</v>
      </c>
      <c r="B343" s="11" t="s">
        <v>1219</v>
      </c>
      <c r="C343" s="11" t="s">
        <v>4712</v>
      </c>
      <c r="D343" s="11" t="s">
        <v>209</v>
      </c>
      <c r="E343" s="65" t="str">
        <f>VLOOKUP(D343,Total!$C$2:$D$518,2,0)</f>
        <v>11 TKR 3</v>
      </c>
      <c r="F343" s="65" t="str">
        <f>VLOOKUP(C343,Total!$B$2:$F$514,5,0)</f>
        <v>AKTIF</v>
      </c>
      <c r="G343" s="67" t="str">
        <f>VLOOKUP($B343,master!$B$3:$S$600,16,0)</f>
        <v>085600064009</v>
      </c>
      <c r="H343" s="67" t="str">
        <f>VLOOKUP($B343,master!$B$3:$S$600,17,0)</f>
        <v>085600064009</v>
      </c>
      <c r="I343" s="67" t="str">
        <f>VLOOKUP($B343,master!$B$3:$S$600,8,0)</f>
        <v>KARANGGAYAM</v>
      </c>
      <c r="J343" s="67" t="str">
        <f>VLOOKUP($B343,master!$B$3:$S$600,9,0)</f>
        <v>7</v>
      </c>
      <c r="K343" s="67" t="str">
        <f>VLOOKUP($B343,master!$B$3:$S$600,11,0)</f>
        <v>BANTUL</v>
      </c>
      <c r="L343" s="67" t="str">
        <f>VLOOKUP($B343,master!$B$3:$S$600,12,0)</f>
        <v>BANTUL</v>
      </c>
      <c r="M343" s="67" t="str">
        <f>VLOOKUP($B343,master!$B$3:$S$600,6,0)</f>
        <v>SUPARJAN</v>
      </c>
      <c r="N343" s="82" t="str">
        <f>VLOOKUP($B343,master!$B$3:$S$600,15,0)</f>
        <v>MTS N 4 BANTUL</v>
      </c>
      <c r="O343" s="82" t="str">
        <f>VLOOKUP($B343,master!$B$3:$S$600,4,0)</f>
        <v>20-01-2009</v>
      </c>
    </row>
    <row r="344" spans="1:15" ht="15.75" customHeight="1" x14ac:dyDescent="0.25">
      <c r="A344" s="80" t="s">
        <v>1236</v>
      </c>
      <c r="B344" s="11" t="s">
        <v>1221</v>
      </c>
      <c r="C344" s="11" t="s">
        <v>4713</v>
      </c>
      <c r="D344" s="11" t="s">
        <v>210</v>
      </c>
      <c r="E344" s="65" t="str">
        <f>VLOOKUP(D344,Total!$C$2:$D$518,2,0)</f>
        <v>11 TKR 3</v>
      </c>
      <c r="F344" s="65" t="str">
        <f>VLOOKUP(C344,Total!$B$2:$F$514,5,0)</f>
        <v>AKTIF</v>
      </c>
      <c r="G344" s="67" t="str">
        <f>VLOOKUP($B344,master!$B$3:$S$600,16,0)</f>
        <v>082322487769</v>
      </c>
      <c r="H344" s="67" t="str">
        <f>VLOOKUP($B344,master!$B$3:$S$600,17,0)</f>
        <v>088225424039</v>
      </c>
      <c r="I344" s="67" t="str">
        <f>VLOOKUP($B344,master!$B$3:$S$600,8,0)</f>
        <v>BOBOK TEMPEL</v>
      </c>
      <c r="J344" s="67" t="str">
        <f>VLOOKUP($B344,master!$B$3:$S$600,9,0)</f>
        <v>5</v>
      </c>
      <c r="K344" s="67" t="str">
        <f>VLOOKUP($B344,master!$B$3:$S$600,11,0)</f>
        <v>SELOHARJO</v>
      </c>
      <c r="L344" s="67" t="str">
        <f>VLOOKUP($B344,master!$B$3:$S$600,12,0)</f>
        <v>PUNDONG</v>
      </c>
      <c r="M344" s="67" t="str">
        <f>VLOOKUP($B344,master!$B$3:$S$600,6,0)</f>
        <v>PONIDI</v>
      </c>
      <c r="N344" s="82" t="str">
        <f>VLOOKUP($B344,master!$B$3:$S$600,15,0)</f>
        <v>SMP N 2 PUNDONG</v>
      </c>
      <c r="O344" s="82" t="str">
        <f>VLOOKUP($B344,master!$B$3:$S$600,4,0)</f>
        <v>18-08-2008</v>
      </c>
    </row>
    <row r="345" spans="1:15" ht="15.75" customHeight="1" x14ac:dyDescent="0.25">
      <c r="A345" s="80" t="s">
        <v>1238</v>
      </c>
      <c r="B345" s="11" t="s">
        <v>1223</v>
      </c>
      <c r="C345" s="11" t="s">
        <v>4714</v>
      </c>
      <c r="D345" s="11" t="s">
        <v>211</v>
      </c>
      <c r="E345" s="65" t="str">
        <f>VLOOKUP(D345,Total!$C$2:$D$518,2,0)</f>
        <v>11 TKR 3</v>
      </c>
      <c r="F345" s="65" t="str">
        <f>VLOOKUP(C345,Total!$B$2:$F$514,5,0)</f>
        <v>AKTIF</v>
      </c>
      <c r="G345" s="67" t="str">
        <f>VLOOKUP($B345,master!$B$3:$S$600,16,0)</f>
        <v>08886855010</v>
      </c>
      <c r="H345" s="67" t="str">
        <f>VLOOKUP($B345,master!$B$3:$S$600,17,0)</f>
        <v>08886855010</v>
      </c>
      <c r="I345" s="67" t="str">
        <f>VLOOKUP($B345,master!$B$3:$S$600,8,0)</f>
        <v>DUKUH JATEN</v>
      </c>
      <c r="J345" s="67" t="str">
        <f>VLOOKUP($B345,master!$B$3:$S$600,9,0)</f>
        <v>1</v>
      </c>
      <c r="K345" s="67" t="str">
        <f>VLOOKUP($B345,master!$B$3:$S$600,11,0)</f>
        <v>TRIHARJO</v>
      </c>
      <c r="L345" s="67" t="str">
        <f>VLOOKUP($B345,master!$B$3:$S$600,12,0)</f>
        <v>PANDAK</v>
      </c>
      <c r="M345" s="67" t="str">
        <f>VLOOKUP($B345,master!$B$3:$S$600,6,0)</f>
        <v>SARJIYEM</v>
      </c>
      <c r="N345" s="82" t="str">
        <f>VLOOKUP($B345,master!$B$3:$S$600,15,0)</f>
        <v>SMP N 4 PANDAK</v>
      </c>
      <c r="O345" s="82" t="str">
        <f>VLOOKUP($B345,master!$B$3:$S$600,4,0)</f>
        <v>27-07-2007</v>
      </c>
    </row>
    <row r="346" spans="1:15" ht="15.75" customHeight="1" x14ac:dyDescent="0.25">
      <c r="A346" s="80" t="s">
        <v>1240</v>
      </c>
      <c r="B346" s="11" t="s">
        <v>1225</v>
      </c>
      <c r="C346" s="11" t="s">
        <v>4715</v>
      </c>
      <c r="D346" s="11" t="s">
        <v>212</v>
      </c>
      <c r="E346" s="65" t="str">
        <f>VLOOKUP(D346,Total!$C$2:$D$518,2,0)</f>
        <v>11 TKR 3</v>
      </c>
      <c r="F346" s="65" t="str">
        <f>VLOOKUP(C346,Total!$B$2:$F$514,5,0)</f>
        <v>AKTIF</v>
      </c>
      <c r="G346" s="67" t="str">
        <f>VLOOKUP($B346,master!$B$3:$S$600,16,0)</f>
        <v>085701118130</v>
      </c>
      <c r="H346" s="67" t="str">
        <f>VLOOKUP($B346,master!$B$3:$S$600,17,0)</f>
        <v>085701118130</v>
      </c>
      <c r="I346" s="67" t="str">
        <f>VLOOKUP($B346,master!$B$3:$S$600,8,0)</f>
        <v>KASIHAN</v>
      </c>
      <c r="J346" s="67" t="str">
        <f>VLOOKUP($B346,master!$B$3:$S$600,9,0)</f>
        <v>07</v>
      </c>
      <c r="K346" s="67" t="str">
        <f>VLOOKUP($B346,master!$B$3:$S$600,11,0)</f>
        <v>TAMANTIRTO</v>
      </c>
      <c r="L346" s="67" t="str">
        <f>VLOOKUP($B346,master!$B$3:$S$600,12,0)</f>
        <v>KASIHAN</v>
      </c>
      <c r="M346" s="67" t="str">
        <f>VLOOKUP($B346,master!$B$3:$S$600,6,0)</f>
        <v>Ariyanto/Widiati</v>
      </c>
      <c r="N346" s="82" t="str">
        <f>VLOOKUP($B346,master!$B$3:$S$600,15,0)</f>
        <v>SMP MUHAMMADIYAH KASIHAN</v>
      </c>
      <c r="O346" s="82" t="str">
        <f>VLOOKUP($B346,master!$B$3:$S$600,4,0)</f>
        <v>14-10-2008</v>
      </c>
    </row>
    <row r="347" spans="1:15" ht="15.75" customHeight="1" x14ac:dyDescent="0.25">
      <c r="A347" s="80" t="s">
        <v>1242</v>
      </c>
      <c r="B347" s="11" t="s">
        <v>1227</v>
      </c>
      <c r="C347" s="11" t="s">
        <v>4716</v>
      </c>
      <c r="D347" s="11" t="s">
        <v>213</v>
      </c>
      <c r="E347" s="65" t="str">
        <f>VLOOKUP(D347,Total!$C$2:$D$518,2,0)</f>
        <v>11 TKR 3</v>
      </c>
      <c r="F347" s="65" t="str">
        <f>VLOOKUP(C347,Total!$B$2:$F$514,5,0)</f>
        <v>AKTIF</v>
      </c>
      <c r="G347" s="67" t="str">
        <f>VLOOKUP($B347,master!$B$3:$S$600,16,0)</f>
        <v>081 779 234 777</v>
      </c>
      <c r="H347" s="67" t="str">
        <f>VLOOKUP($B347,master!$B$3:$S$600,17,0)</f>
        <v>0878-1903-2600</v>
      </c>
      <c r="I347" s="67" t="str">
        <f>VLOOKUP($B347,master!$B$3:$S$600,8,0)</f>
        <v>PLURUGAN</v>
      </c>
      <c r="J347" s="67" t="str">
        <f>VLOOKUP($B347,master!$B$3:$S$600,9,0)</f>
        <v>006</v>
      </c>
      <c r="K347" s="67" t="str">
        <f>VLOOKUP($B347,master!$B$3:$S$600,11,0)</f>
        <v>TIRTONIRMOLO</v>
      </c>
      <c r="L347" s="67" t="str">
        <f>VLOOKUP($B347,master!$B$3:$S$600,12,0)</f>
        <v>KASIHAN</v>
      </c>
      <c r="M347" s="67" t="str">
        <f>VLOOKUP($B347,master!$B$3:$S$600,6,0)</f>
        <v>YULIANTI</v>
      </c>
      <c r="N347" s="82" t="str">
        <f>VLOOKUP($B347,master!$B$3:$S$600,15,0)</f>
        <v>SMP N 3 JETIS</v>
      </c>
      <c r="O347" s="82" t="str">
        <f>VLOOKUP($B347,master!$B$3:$S$600,4,0)</f>
        <v>22-09-2008</v>
      </c>
    </row>
    <row r="348" spans="1:15" ht="15.75" customHeight="1" x14ac:dyDescent="0.25">
      <c r="A348" s="80" t="s">
        <v>1244</v>
      </c>
      <c r="B348" s="11" t="s">
        <v>1229</v>
      </c>
      <c r="C348" s="11" t="s">
        <v>4717</v>
      </c>
      <c r="D348" s="11" t="s">
        <v>214</v>
      </c>
      <c r="E348" s="65" t="str">
        <f>VLOOKUP(D348,Total!$C$2:$D$518,2,0)</f>
        <v>11 TKR 3</v>
      </c>
      <c r="F348" s="65" t="str">
        <f>VLOOKUP(C348,Total!$B$2:$F$514,5,0)</f>
        <v>AKTIF</v>
      </c>
      <c r="G348" s="67" t="str">
        <f>VLOOKUP($B348,master!$B$3:$S$600,16,0)</f>
        <v>8</v>
      </c>
      <c r="H348" s="67" t="str">
        <f>VLOOKUP($B348,master!$B$3:$S$600,17,0)</f>
        <v>0</v>
      </c>
      <c r="I348" s="67" t="str">
        <f>VLOOKUP($B348,master!$B$3:$S$600,8,0)</f>
        <v>BURUHAN</v>
      </c>
      <c r="J348" s="67" t="str">
        <f>VLOOKUP($B348,master!$B$3:$S$600,9,0)</f>
        <v>4</v>
      </c>
      <c r="K348" s="67" t="str">
        <f>VLOOKUP($B348,master!$B$3:$S$600,11,0)</f>
        <v>TIRTOSARI</v>
      </c>
      <c r="L348" s="67" t="str">
        <f>VLOOKUP($B348,master!$B$3:$S$600,12,0)</f>
        <v>KRETEK</v>
      </c>
      <c r="M348" s="67" t="str">
        <f>VLOOKUP($B348,master!$B$3:$S$600,6,0)</f>
        <v>SUTARTO</v>
      </c>
      <c r="N348" s="82" t="str">
        <f>VLOOKUP($B348,master!$B$3:$S$600,15,0)</f>
        <v>SMP MUHAMMADIYAH KRETEK</v>
      </c>
      <c r="O348" s="82" t="str">
        <f>VLOOKUP($B348,master!$B$3:$S$600,4,0)</f>
        <v>28-02-2009</v>
      </c>
    </row>
    <row r="349" spans="1:15" ht="15.75" customHeight="1" x14ac:dyDescent="0.25">
      <c r="A349" s="80" t="s">
        <v>1246</v>
      </c>
      <c r="B349" s="11" t="s">
        <v>1231</v>
      </c>
      <c r="C349" s="11" t="s">
        <v>4718</v>
      </c>
      <c r="D349" s="11" t="s">
        <v>215</v>
      </c>
      <c r="E349" s="65" t="str">
        <f>VLOOKUP(D349,Total!$C$2:$D$518,2,0)</f>
        <v>11 TKR 3</v>
      </c>
      <c r="F349" s="65" t="str">
        <f>VLOOKUP(C349,Total!$B$2:$F$514,5,0)</f>
        <v>AKTIF</v>
      </c>
      <c r="G349" s="67" t="str">
        <f>VLOOKUP($B349,master!$B$3:$S$600,16,0)</f>
        <v>0882006351779/0882006959834</v>
      </c>
      <c r="H349" s="67" t="str">
        <f>VLOOKUP($B349,master!$B$3:$S$600,17,0)</f>
        <v>0</v>
      </c>
      <c r="I349" s="67" t="str">
        <f>VLOOKUP($B349,master!$B$3:$S$600,8,0)</f>
        <v>KUKAP</v>
      </c>
      <c r="J349" s="67" t="str">
        <f>VLOOKUP($B349,master!$B$3:$S$600,9,0)</f>
        <v>5</v>
      </c>
      <c r="K349" s="67" t="str">
        <f>VLOOKUP($B349,master!$B$3:$S$600,11,0)</f>
        <v>PONCOSARI</v>
      </c>
      <c r="L349" s="67" t="str">
        <f>VLOOKUP($B349,master!$B$3:$S$600,12,0)</f>
        <v>SRANDAKAN</v>
      </c>
      <c r="M349" s="67" t="str">
        <f>VLOOKUP($B349,master!$B$3:$S$600,6,0)</f>
        <v>DIAN RAHMADI</v>
      </c>
      <c r="N349" s="82" t="str">
        <f>VLOOKUP($B349,master!$B$3:$S$600,15,0)</f>
        <v>SMP N 1 SRANDAKAN</v>
      </c>
      <c r="O349" s="82" t="str">
        <f>VLOOKUP($B349,master!$B$3:$S$600,4,0)</f>
        <v>21-06-2008</v>
      </c>
    </row>
    <row r="350" spans="1:15" ht="15.75" customHeight="1" x14ac:dyDescent="0.25">
      <c r="A350" s="80" t="s">
        <v>1248</v>
      </c>
      <c r="B350" s="11" t="s">
        <v>1233</v>
      </c>
      <c r="C350" s="11" t="s">
        <v>4719</v>
      </c>
      <c r="D350" s="11" t="s">
        <v>216</v>
      </c>
      <c r="E350" s="65" t="str">
        <f>VLOOKUP(D350,Total!$C$2:$D$518,2,0)</f>
        <v>11 TKR 3</v>
      </c>
      <c r="F350" s="65" t="str">
        <f>VLOOKUP(C350,Total!$B$2:$F$514,5,0)</f>
        <v>AKTIF</v>
      </c>
      <c r="G350" s="67" t="str">
        <f>VLOOKUP($B350,master!$B$3:$S$600,16,0)</f>
        <v>081317711909</v>
      </c>
      <c r="H350" s="67" t="str">
        <f>VLOOKUP($B350,master!$B$3:$S$600,17,0)</f>
        <v>-</v>
      </c>
      <c r="I350" s="67" t="str">
        <f>VLOOKUP($B350,master!$B$3:$S$600,8,0)</f>
        <v>SINDET</v>
      </c>
      <c r="J350" s="67" t="str">
        <f>VLOOKUP($B350,master!$B$3:$S$600,9,0)</f>
        <v>03</v>
      </c>
      <c r="K350" s="67" t="str">
        <f>VLOOKUP($B350,master!$B$3:$S$600,11,0)</f>
        <v>WUKIRSARI</v>
      </c>
      <c r="L350" s="67" t="str">
        <f>VLOOKUP($B350,master!$B$3:$S$600,12,0)</f>
        <v>IMOGIRI</v>
      </c>
      <c r="M350" s="67" t="str">
        <f>VLOOKUP($B350,master!$B$3:$S$600,6,0)</f>
        <v>MOHAMMAD SIDIK</v>
      </c>
      <c r="N350" s="82" t="str">
        <f>VLOOKUP($B350,master!$B$3:$S$600,15,0)</f>
        <v>SMP IT SALSABILA</v>
      </c>
      <c r="O350" s="82" t="str">
        <f>VLOOKUP($B350,master!$B$3:$S$600,4,0)</f>
        <v>13-01-2009</v>
      </c>
    </row>
    <row r="351" spans="1:15" ht="15.75" customHeight="1" x14ac:dyDescent="0.25">
      <c r="A351" s="80" t="s">
        <v>1250</v>
      </c>
      <c r="B351" s="11" t="s">
        <v>1235</v>
      </c>
      <c r="C351" s="11" t="s">
        <v>4720</v>
      </c>
      <c r="D351" s="11" t="s">
        <v>217</v>
      </c>
      <c r="E351" s="65" t="str">
        <f>VLOOKUP(D351,Total!$C$2:$D$518,2,0)</f>
        <v>11 TKR 3</v>
      </c>
      <c r="F351" s="65" t="str">
        <f>VLOOKUP(C351,Total!$B$2:$F$514,5,0)</f>
        <v>KELUAR</v>
      </c>
      <c r="G351" s="67" t="str">
        <f>VLOOKUP($B351,master!$B$3:$S$600,16,0)</f>
        <v>81328154090</v>
      </c>
      <c r="H351" s="67" t="str">
        <f>VLOOKUP($B351,master!$B$3:$S$600,17,0)</f>
        <v>0</v>
      </c>
      <c r="I351" s="67" t="str">
        <f>VLOOKUP($B351,master!$B$3:$S$600,8,0)</f>
        <v>TEGALSARI</v>
      </c>
      <c r="J351" s="67" t="str">
        <f>VLOOKUP($B351,master!$B$3:$S$600,9,0)</f>
        <v>68</v>
      </c>
      <c r="K351" s="67" t="str">
        <f>VLOOKUP($B351,master!$B$3:$S$600,11,0)</f>
        <v>SRIGADING</v>
      </c>
      <c r="L351" s="67" t="str">
        <f>VLOOKUP($B351,master!$B$3:$S$600,12,0)</f>
        <v>SANDEN</v>
      </c>
      <c r="M351" s="67" t="str">
        <f>VLOOKUP($B351,master!$B$3:$S$600,6,0)</f>
        <v>SUNTARA</v>
      </c>
      <c r="N351" s="82" t="str">
        <f>VLOOKUP($B351,master!$B$3:$S$600,15,0)</f>
        <v>SMP N 2 SANDEN</v>
      </c>
      <c r="O351" s="82" t="str">
        <f>VLOOKUP($B351,master!$B$3:$S$600,4,0)</f>
        <v>2-07-2009</v>
      </c>
    </row>
    <row r="352" spans="1:15" ht="15.75" customHeight="1" x14ac:dyDescent="0.25">
      <c r="A352" s="80" t="s">
        <v>1252</v>
      </c>
      <c r="B352" s="11" t="s">
        <v>1237</v>
      </c>
      <c r="C352" s="11" t="s">
        <v>4721</v>
      </c>
      <c r="D352" s="11" t="s">
        <v>218</v>
      </c>
      <c r="E352" s="65" t="str">
        <f>VLOOKUP(D352,Total!$C$2:$D$518,2,0)</f>
        <v>11 TKR 3</v>
      </c>
      <c r="F352" s="65" t="str">
        <f>VLOOKUP(C352,Total!$B$2:$F$514,5,0)</f>
        <v>AKTIF</v>
      </c>
      <c r="G352" s="67" t="str">
        <f>VLOOKUP($B352,master!$B$3:$S$600,16,0)</f>
        <v>81804110331</v>
      </c>
      <c r="H352" s="67" t="str">
        <f>VLOOKUP($B352,master!$B$3:$S$600,17,0)</f>
        <v>0</v>
      </c>
      <c r="I352" s="67" t="str">
        <f>VLOOKUP($B352,master!$B$3:$S$600,8,0)</f>
        <v>WONOKROMO II</v>
      </c>
      <c r="J352" s="67" t="str">
        <f>VLOOKUP($B352,master!$B$3:$S$600,9,0)</f>
        <v>6</v>
      </c>
      <c r="K352" s="67" t="str">
        <f>VLOOKUP($B352,master!$B$3:$S$600,11,0)</f>
        <v>WONOKROMO</v>
      </c>
      <c r="L352" s="67" t="str">
        <f>VLOOKUP($B352,master!$B$3:$S$600,12,0)</f>
        <v>PLERET</v>
      </c>
      <c r="M352" s="67" t="str">
        <f>VLOOKUP($B352,master!$B$3:$S$600,6,0)</f>
        <v>HANAFI HIKMAWAN</v>
      </c>
      <c r="N352" s="82" t="str">
        <f>VLOOKUP($B352,master!$B$3:$S$600,15,0)</f>
        <v>SMP N 1 PLERET</v>
      </c>
      <c r="O352" s="82" t="str">
        <f>VLOOKUP($B352,master!$B$3:$S$600,4,0)</f>
        <v>3-12-2008</v>
      </c>
    </row>
    <row r="353" spans="1:15" ht="15.75" customHeight="1" x14ac:dyDescent="0.25">
      <c r="A353" s="80" t="s">
        <v>1254</v>
      </c>
      <c r="B353" s="11" t="s">
        <v>1239</v>
      </c>
      <c r="C353" s="11" t="s">
        <v>4722</v>
      </c>
      <c r="D353" s="11" t="s">
        <v>219</v>
      </c>
      <c r="E353" s="65" t="str">
        <f>VLOOKUP(D353,Total!$C$2:$D$518,2,0)</f>
        <v>11 TKR 3</v>
      </c>
      <c r="F353" s="65" t="str">
        <f>VLOOKUP(C353,Total!$B$2:$F$514,5,0)</f>
        <v>AKTIF</v>
      </c>
      <c r="G353" s="67" t="str">
        <f>VLOOKUP($B353,master!$B$3:$S$600,16,0)</f>
        <v>87762394607</v>
      </c>
      <c r="H353" s="67" t="str">
        <f>VLOOKUP($B353,master!$B$3:$S$600,17,0)</f>
        <v>0</v>
      </c>
      <c r="I353" s="67" t="str">
        <f>VLOOKUP($B353,master!$B$3:$S$600,8,0)</f>
        <v>TULASAN</v>
      </c>
      <c r="J353" s="67" t="str">
        <f>VLOOKUP($B353,master!$B$3:$S$600,9,0)</f>
        <v>6</v>
      </c>
      <c r="K353" s="67" t="str">
        <f>VLOOKUP($B353,master!$B$3:$S$600,11,0)</f>
        <v>MULYODADI</v>
      </c>
      <c r="L353" s="67" t="str">
        <f>VLOOKUP($B353,master!$B$3:$S$600,12,0)</f>
        <v>BAMBANGLIPURO</v>
      </c>
      <c r="M353" s="67" t="str">
        <f>VLOOKUP($B353,master!$B$3:$S$600,6,0)</f>
        <v>TUKILAH</v>
      </c>
      <c r="N353" s="82" t="str">
        <f>VLOOKUP($B353,master!$B$3:$S$600,15,0)</f>
        <v>SMP N 1 BAMBANGLIPURO</v>
      </c>
      <c r="O353" s="82" t="str">
        <f>VLOOKUP($B353,master!$B$3:$S$600,4,0)</f>
        <v>21-01-2008</v>
      </c>
    </row>
    <row r="354" spans="1:15" ht="15.75" customHeight="1" x14ac:dyDescent="0.25">
      <c r="A354" s="80" t="s">
        <v>1256</v>
      </c>
      <c r="B354" s="11" t="s">
        <v>1241</v>
      </c>
      <c r="C354" s="11" t="s">
        <v>4723</v>
      </c>
      <c r="D354" s="11" t="s">
        <v>220</v>
      </c>
      <c r="E354" s="65" t="str">
        <f>VLOOKUP(D354,Total!$C$2:$D$518,2,0)</f>
        <v>11 TKR 3</v>
      </c>
      <c r="F354" s="65" t="str">
        <f>VLOOKUP(C354,Total!$B$2:$F$514,5,0)</f>
        <v>AKTIF</v>
      </c>
      <c r="G354" s="67" t="str">
        <f>VLOOKUP($B354,master!$B$3:$S$600,16,0)</f>
        <v>087723788378</v>
      </c>
      <c r="H354" s="67" t="str">
        <f>VLOOKUP($B354,master!$B$3:$S$600,17,0)</f>
        <v>085702048539</v>
      </c>
      <c r="I354" s="67" t="str">
        <f>VLOOKUP($B354,master!$B$3:$S$600,8,0)</f>
        <v>GENENG</v>
      </c>
      <c r="J354" s="67" t="str">
        <f>VLOOKUP($B354,master!$B$3:$S$600,9,0)</f>
        <v>5</v>
      </c>
      <c r="K354" s="67" t="str">
        <f>VLOOKUP($B354,master!$B$3:$S$600,11,0)</f>
        <v>PANGGUNGHARJO</v>
      </c>
      <c r="L354" s="67" t="str">
        <f>VLOOKUP($B354,master!$B$3:$S$600,12,0)</f>
        <v>SEWON</v>
      </c>
      <c r="M354" s="67" t="str">
        <f>VLOOKUP($B354,master!$B$3:$S$600,6,0)</f>
        <v>Dwi Andriyanto / Ima Ramtuti</v>
      </c>
      <c r="N354" s="82" t="str">
        <f>VLOOKUP($B354,master!$B$3:$S$600,15,0)</f>
        <v>SMP N 3 SEWON</v>
      </c>
      <c r="O354" s="82" t="str">
        <f>VLOOKUP($B354,master!$B$3:$S$600,4,0)</f>
        <v>19-03-2008</v>
      </c>
    </row>
    <row r="355" spans="1:15" ht="15.75" customHeight="1" x14ac:dyDescent="0.25">
      <c r="A355" s="80" t="s">
        <v>1258</v>
      </c>
      <c r="B355" s="11" t="s">
        <v>1243</v>
      </c>
      <c r="C355" s="11" t="s">
        <v>4724</v>
      </c>
      <c r="D355" s="11" t="s">
        <v>221</v>
      </c>
      <c r="E355" s="65" t="str">
        <f>VLOOKUP(D355,Total!$C$2:$D$518,2,0)</f>
        <v>11 TKR 3</v>
      </c>
      <c r="F355" s="65" t="str">
        <f>VLOOKUP(C355,Total!$B$2:$F$514,5,0)</f>
        <v>AKTIF</v>
      </c>
      <c r="G355" s="67" t="str">
        <f>VLOOKUP($B355,master!$B$3:$S$600,16,0)</f>
        <v>85641537634</v>
      </c>
      <c r="H355" s="67" t="str">
        <f>VLOOKUP($B355,master!$B$3:$S$600,17,0)</f>
        <v>0</v>
      </c>
      <c r="I355" s="67" t="str">
        <f>VLOOKUP($B355,master!$B$3:$S$600,8,0)</f>
        <v>JODOG</v>
      </c>
      <c r="J355" s="67" t="str">
        <f>VLOOKUP($B355,master!$B$3:$S$600,9,0)</f>
        <v>3</v>
      </c>
      <c r="K355" s="67" t="str">
        <f>VLOOKUP($B355,master!$B$3:$S$600,11,0)</f>
        <v>GILANGHARJO</v>
      </c>
      <c r="L355" s="67" t="str">
        <f>VLOOKUP($B355,master!$B$3:$S$600,12,0)</f>
        <v>PANDAK</v>
      </c>
      <c r="M355" s="67" t="str">
        <f>VLOOKUP($B355,master!$B$3:$S$600,6,0)</f>
        <v>SAMINI</v>
      </c>
      <c r="N355" s="82" t="str">
        <f>VLOOKUP($B355,master!$B$3:$S$600,15,0)</f>
        <v>SMP N 1 PANDAK</v>
      </c>
      <c r="O355" s="82" t="str">
        <f>VLOOKUP($B355,master!$B$3:$S$600,4,0)</f>
        <v>11-08-2008</v>
      </c>
    </row>
    <row r="356" spans="1:15" ht="15.75" customHeight="1" x14ac:dyDescent="0.25">
      <c r="A356" s="80" t="s">
        <v>1260</v>
      </c>
      <c r="B356" s="11" t="s">
        <v>1245</v>
      </c>
      <c r="C356" s="11" t="s">
        <v>4725</v>
      </c>
      <c r="D356" s="11" t="s">
        <v>222</v>
      </c>
      <c r="E356" s="65" t="str">
        <f>VLOOKUP(D356,Total!$C$2:$D$518,2,0)</f>
        <v>11 TKR 3</v>
      </c>
      <c r="F356" s="65" t="str">
        <f>VLOOKUP(C356,Total!$B$2:$F$514,5,0)</f>
        <v>AKTIF</v>
      </c>
      <c r="G356" s="67" t="str">
        <f>VLOOKUP($B356,master!$B$3:$S$600,16,0)</f>
        <v>8992529891</v>
      </c>
      <c r="H356" s="67" t="str">
        <f>VLOOKUP($B356,master!$B$3:$S$600,17,0)</f>
        <v>0</v>
      </c>
      <c r="I356" s="67" t="str">
        <f>VLOOKUP($B356,master!$B$3:$S$600,8,0)</f>
        <v>SUMURAN</v>
      </c>
      <c r="J356" s="67" t="str">
        <f>VLOOKUP($B356,master!$B$3:$S$600,9,0)</f>
        <v>3</v>
      </c>
      <c r="K356" s="67" t="str">
        <f>VLOOKUP($B356,master!$B$3:$S$600,11,0)</f>
        <v>PALBAPANG</v>
      </c>
      <c r="L356" s="67" t="str">
        <f>VLOOKUP($B356,master!$B$3:$S$600,12,0)</f>
        <v>BANTUL</v>
      </c>
      <c r="M356" s="67" t="str">
        <f>VLOOKUP($B356,master!$B$3:$S$600,6,0)</f>
        <v>IYUS HERYANA</v>
      </c>
      <c r="N356" s="82" t="str">
        <f>VLOOKUP($B356,master!$B$3:$S$600,15,0)</f>
        <v>SMP MUHAMMADIYAH BANTUL</v>
      </c>
      <c r="O356" s="82" t="str">
        <f>VLOOKUP($B356,master!$B$3:$S$600,4,0)</f>
        <v>11-05-2008</v>
      </c>
    </row>
    <row r="357" spans="1:15" ht="15.75" customHeight="1" x14ac:dyDescent="0.25">
      <c r="A357" s="80" t="s">
        <v>1262</v>
      </c>
      <c r="B357" s="11" t="s">
        <v>1247</v>
      </c>
      <c r="C357" s="11" t="s">
        <v>4726</v>
      </c>
      <c r="D357" s="11" t="s">
        <v>223</v>
      </c>
      <c r="E357" s="65" t="str">
        <f>VLOOKUP(D357,Total!$C$2:$D$518,2,0)</f>
        <v>11 TKR 3</v>
      </c>
      <c r="F357" s="65" t="str">
        <f>VLOOKUP(C357,Total!$B$2:$F$514,5,0)</f>
        <v>AKTIF</v>
      </c>
      <c r="G357" s="67" t="str">
        <f>VLOOKUP($B357,master!$B$3:$S$600,16,0)</f>
        <v>85712974629</v>
      </c>
      <c r="H357" s="67" t="str">
        <f>VLOOKUP($B357,master!$B$3:$S$600,17,0)</f>
        <v>0</v>
      </c>
      <c r="I357" s="67" t="str">
        <f>VLOOKUP($B357,master!$B$3:$S$600,8,0)</f>
        <v>GLUNTUNG LOR</v>
      </c>
      <c r="J357" s="67" t="str">
        <f>VLOOKUP($B357,master!$B$3:$S$600,9,0)</f>
        <v>3</v>
      </c>
      <c r="K357" s="67" t="str">
        <f>VLOOKUP($B357,master!$B$3:$S$600,11,0)</f>
        <v>CATURHARJO</v>
      </c>
      <c r="L357" s="67" t="str">
        <f>VLOOKUP($B357,master!$B$3:$S$600,12,0)</f>
        <v>PANDAK</v>
      </c>
      <c r="M357" s="67" t="str">
        <f>VLOOKUP($B357,master!$B$3:$S$600,6,0)</f>
        <v>NUROCHMAN</v>
      </c>
      <c r="N357" s="82" t="str">
        <f>VLOOKUP($B357,master!$B$3:$S$600,15,0)</f>
        <v>SMP N 2 PANDAK</v>
      </c>
      <c r="O357" s="82" t="str">
        <f>VLOOKUP($B357,master!$B$3:$S$600,4,0)</f>
        <v>14-07-2008</v>
      </c>
    </row>
    <row r="358" spans="1:15" ht="15.75" customHeight="1" x14ac:dyDescent="0.25">
      <c r="A358" s="80" t="s">
        <v>1264</v>
      </c>
      <c r="B358" s="11" t="s">
        <v>1249</v>
      </c>
      <c r="C358" s="11" t="s">
        <v>4727</v>
      </c>
      <c r="D358" s="11" t="s">
        <v>224</v>
      </c>
      <c r="E358" s="65" t="str">
        <f>VLOOKUP(D358,Total!$C$2:$D$518,2,0)</f>
        <v>11 TKR 3</v>
      </c>
      <c r="F358" s="65" t="str">
        <f>VLOOKUP(C358,Total!$B$2:$F$514,5,0)</f>
        <v>AKTIF</v>
      </c>
      <c r="G358" s="67" t="str">
        <f>VLOOKUP($B358,master!$B$3:$S$600,16,0)</f>
        <v>081215927123</v>
      </c>
      <c r="H358" s="67" t="str">
        <f>VLOOKUP($B358,master!$B$3:$S$600,17,0)</f>
        <v>087716569522</v>
      </c>
      <c r="I358" s="67" t="str">
        <f>VLOOKUP($B358,master!$B$3:$S$600,8,0)</f>
        <v>LEMAHDADI</v>
      </c>
      <c r="J358" s="67" t="str">
        <f>VLOOKUP($B358,master!$B$3:$S$600,9,0)</f>
        <v>04</v>
      </c>
      <c r="K358" s="67" t="str">
        <f>VLOOKUP($B358,master!$B$3:$S$600,11,0)</f>
        <v>BANGUNJIWO</v>
      </c>
      <c r="L358" s="67" t="str">
        <f>VLOOKUP($B358,master!$B$3:$S$600,12,0)</f>
        <v>KASIHAN</v>
      </c>
      <c r="M358" s="67" t="str">
        <f>VLOOKUP($B358,master!$B$3:$S$600,6,0)</f>
        <v>Yuni Kuswati</v>
      </c>
      <c r="N358" s="82" t="str">
        <f>VLOOKUP($B358,master!$B$3:$S$600,15,0)</f>
        <v>MTs Al-Hadi II</v>
      </c>
      <c r="O358" s="82" t="str">
        <f>VLOOKUP($B358,master!$B$3:$S$600,4,0)</f>
        <v>21-05-2007</v>
      </c>
    </row>
    <row r="359" spans="1:15" ht="15.75" customHeight="1" x14ac:dyDescent="0.25">
      <c r="A359" s="80" t="s">
        <v>1266</v>
      </c>
      <c r="B359" s="11" t="s">
        <v>1251</v>
      </c>
      <c r="C359" s="11" t="s">
        <v>4728</v>
      </c>
      <c r="D359" s="11" t="s">
        <v>225</v>
      </c>
      <c r="E359" s="65" t="str">
        <f>VLOOKUP(D359,Total!$C$2:$D$518,2,0)</f>
        <v>11 TKR 3</v>
      </c>
      <c r="F359" s="65" t="str">
        <f>VLOOKUP(C359,Total!$B$2:$F$514,5,0)</f>
        <v>AKTIF</v>
      </c>
      <c r="G359" s="67" t="str">
        <f>VLOOKUP($B359,master!$B$3:$S$600,16,0)</f>
        <v>085842644800</v>
      </c>
      <c r="H359" s="67" t="str">
        <f>VLOOKUP($B359,master!$B$3:$S$600,17,0)</f>
        <v>085800318933</v>
      </c>
      <c r="I359" s="67" t="str">
        <f>VLOOKUP($B359,master!$B$3:$S$600,8,0)</f>
        <v>PERUM TIMUR PG MADUK</v>
      </c>
      <c r="J359" s="67" t="str">
        <f>VLOOKUP($B359,master!$B$3:$S$600,9,0)</f>
        <v>6</v>
      </c>
      <c r="K359" s="67" t="str">
        <f>VLOOKUP($B359,master!$B$3:$S$600,11,0)</f>
        <v>TIRTONIRMOLO</v>
      </c>
      <c r="L359" s="67" t="str">
        <f>VLOOKUP($B359,master!$B$3:$S$600,12,0)</f>
        <v>KASIHAN</v>
      </c>
      <c r="M359" s="67" t="str">
        <f>VLOOKUP($B359,master!$B$3:$S$600,6,0)</f>
        <v>SLAMET</v>
      </c>
      <c r="N359" s="82" t="str">
        <f>VLOOKUP($B359,master!$B$3:$S$600,15,0)</f>
        <v>SMP MATARAM KASIHAN</v>
      </c>
      <c r="O359" s="82" t="str">
        <f>VLOOKUP($B359,master!$B$3:$S$600,4,0)</f>
        <v>3-04-2008</v>
      </c>
    </row>
    <row r="360" spans="1:15" ht="15.75" customHeight="1" x14ac:dyDescent="0.25">
      <c r="A360" s="80" t="s">
        <v>1268</v>
      </c>
      <c r="B360" s="11" t="s">
        <v>1253</v>
      </c>
      <c r="C360" s="11" t="s">
        <v>4729</v>
      </c>
      <c r="D360" s="11" t="s">
        <v>226</v>
      </c>
      <c r="E360" s="65" t="str">
        <f>VLOOKUP(D360,Total!$C$2:$D$518,2,0)</f>
        <v>11 TKR 3</v>
      </c>
      <c r="F360" s="65" t="str">
        <f>VLOOKUP(C360,Total!$B$2:$F$514,5,0)</f>
        <v>AKTIF</v>
      </c>
      <c r="G360" s="67" t="str">
        <f>VLOOKUP($B360,master!$B$3:$S$600,16,0)</f>
        <v>081908443532</v>
      </c>
      <c r="H360" s="67" t="str">
        <f>VLOOKUP($B360,master!$B$3:$S$600,17,0)</f>
        <v>089527602722</v>
      </c>
      <c r="I360" s="67" t="str">
        <f>VLOOKUP($B360,master!$B$3:$S$600,8,0)</f>
        <v>MONGGANG</v>
      </c>
      <c r="J360" s="67" t="str">
        <f>VLOOKUP($B360,master!$B$3:$S$600,9,0)</f>
        <v>04</v>
      </c>
      <c r="K360" s="67" t="str">
        <f>VLOOKUP($B360,master!$B$3:$S$600,11,0)</f>
        <v>SRIHARDONO</v>
      </c>
      <c r="L360" s="67" t="str">
        <f>VLOOKUP($B360,master!$B$3:$S$600,12,0)</f>
        <v>PUNDONG</v>
      </c>
      <c r="M360" s="67" t="str">
        <f>VLOOKUP($B360,master!$B$3:$S$600,6,0)</f>
        <v>Tri Siswanto</v>
      </c>
      <c r="N360" s="82" t="str">
        <f>VLOOKUP($B360,master!$B$3:$S$600,15,0)</f>
        <v>MTS N 5 BANTUL</v>
      </c>
      <c r="O360" s="82" t="str">
        <f>VLOOKUP($B360,master!$B$3:$S$600,4,0)</f>
        <v>4-05-2009</v>
      </c>
    </row>
    <row r="361" spans="1:15" ht="15.75" customHeight="1" x14ac:dyDescent="0.25">
      <c r="A361" s="80" t="s">
        <v>1270</v>
      </c>
      <c r="B361" s="11" t="s">
        <v>1255</v>
      </c>
      <c r="C361" s="11" t="s">
        <v>4730</v>
      </c>
      <c r="D361" s="11" t="s">
        <v>227</v>
      </c>
      <c r="E361" s="65" t="str">
        <f>VLOOKUP(D361,Total!$C$2:$D$518,2,0)</f>
        <v>11 TKR 3</v>
      </c>
      <c r="F361" s="65" t="str">
        <f>VLOOKUP(C361,Total!$B$2:$F$514,5,0)</f>
        <v>AKTIF</v>
      </c>
      <c r="G361" s="67" t="str">
        <f>VLOOKUP($B361,master!$B$3:$S$600,16,0)</f>
        <v>085869146877</v>
      </c>
      <c r="H361" s="67" t="str">
        <f>VLOOKUP($B361,master!$B$3:$S$600,17,0)</f>
        <v>085869146877</v>
      </c>
      <c r="I361" s="67" t="str">
        <f>VLOOKUP($B361,master!$B$3:$S$600,8,0)</f>
        <v>DRUWO</v>
      </c>
      <c r="J361" s="67" t="str">
        <f>VLOOKUP($B361,master!$B$3:$S$600,9,0)</f>
        <v>1</v>
      </c>
      <c r="K361" s="67" t="str">
        <f>VLOOKUP($B361,master!$B$3:$S$600,11,0)</f>
        <v>BANGUNHARJO</v>
      </c>
      <c r="L361" s="67" t="str">
        <f>VLOOKUP($B361,master!$B$3:$S$600,12,0)</f>
        <v>SEWON</v>
      </c>
      <c r="M361" s="67" t="str">
        <f>VLOOKUP($B361,master!$B$3:$S$600,6,0)</f>
        <v>MUH SAHID</v>
      </c>
      <c r="N361" s="82" t="str">
        <f>VLOOKUP($B361,master!$B$3:$S$600,15,0)</f>
        <v>MTS AL MA'HAD AN NUR</v>
      </c>
      <c r="O361" s="82" t="str">
        <f>VLOOKUP($B361,master!$B$3:$S$600,4,0)</f>
        <v>6-01-2009</v>
      </c>
    </row>
    <row r="362" spans="1:15" ht="15.75" customHeight="1" x14ac:dyDescent="0.25">
      <c r="A362" s="80" t="s">
        <v>1272</v>
      </c>
      <c r="B362" s="11" t="s">
        <v>1257</v>
      </c>
      <c r="C362" s="11" t="s">
        <v>4731</v>
      </c>
      <c r="D362" s="11" t="s">
        <v>228</v>
      </c>
      <c r="E362" s="65" t="str">
        <f>VLOOKUP(D362,Total!$C$2:$D$518,2,0)</f>
        <v>11 TKR 3</v>
      </c>
      <c r="F362" s="65" t="str">
        <f>VLOOKUP(C362,Total!$B$2:$F$514,5,0)</f>
        <v>AKTIF</v>
      </c>
      <c r="G362" s="67" t="str">
        <f>VLOOKUP($B362,master!$B$3:$S$600,16,0)</f>
        <v>85800727642</v>
      </c>
      <c r="H362" s="67" t="str">
        <f>VLOOKUP($B362,master!$B$3:$S$600,17,0)</f>
        <v>0</v>
      </c>
      <c r="I362" s="67" t="str">
        <f>VLOOKUP($B362,master!$B$3:$S$600,8,0)</f>
        <v>GESIKAN III</v>
      </c>
      <c r="J362" s="67" t="str">
        <f>VLOOKUP($B362,master!$B$3:$S$600,9,0)</f>
        <v>4</v>
      </c>
      <c r="K362" s="67" t="str">
        <f>VLOOKUP($B362,master!$B$3:$S$600,11,0)</f>
        <v>WIJIREJO</v>
      </c>
      <c r="L362" s="67" t="str">
        <f>VLOOKUP($B362,master!$B$3:$S$600,12,0)</f>
        <v>PANDAK</v>
      </c>
      <c r="M362" s="67" t="str">
        <f>VLOOKUP($B362,master!$B$3:$S$600,6,0)</f>
        <v>KELIK SUHARI</v>
      </c>
      <c r="N362" s="82" t="str">
        <f>VLOOKUP($B362,master!$B$3:$S$600,15,0)</f>
        <v>SMP N 1 PANDAK</v>
      </c>
      <c r="O362" s="82" t="str">
        <f>VLOOKUP($B362,master!$B$3:$S$600,4,0)</f>
        <v>4-11-2008</v>
      </c>
    </row>
    <row r="363" spans="1:15" ht="15.75" customHeight="1" x14ac:dyDescent="0.25">
      <c r="A363" s="80" t="s">
        <v>1274</v>
      </c>
      <c r="B363" s="11" t="s">
        <v>1259</v>
      </c>
      <c r="C363" s="11" t="s">
        <v>4732</v>
      </c>
      <c r="D363" s="11" t="s">
        <v>229</v>
      </c>
      <c r="E363" s="65" t="str">
        <f>VLOOKUP(D363,Total!$C$2:$D$518,2,0)</f>
        <v>11 TKR 3</v>
      </c>
      <c r="F363" s="65" t="str">
        <f>VLOOKUP(C363,Total!$B$2:$F$514,5,0)</f>
        <v>AKTIF</v>
      </c>
      <c r="G363" s="67" t="str">
        <f>VLOOKUP($B363,master!$B$3:$S$600,16,0)</f>
        <v>0895339926692</v>
      </c>
      <c r="H363" s="67" t="str">
        <f>VLOOKUP($B363,master!$B$3:$S$600,17,0)</f>
        <v>-</v>
      </c>
      <c r="I363" s="67" t="str">
        <f>VLOOKUP($B363,master!$B$3:$S$600,8,0)</f>
        <v>SUDIMORO</v>
      </c>
      <c r="J363" s="67" t="str">
        <f>VLOOKUP($B363,master!$B$3:$S$600,9,0)</f>
        <v>6</v>
      </c>
      <c r="K363" s="67" t="str">
        <f>VLOOKUP($B363,master!$B$3:$S$600,11,0)</f>
        <v>TIMBULHARJO</v>
      </c>
      <c r="L363" s="67" t="str">
        <f>VLOOKUP($B363,master!$B$3:$S$600,12,0)</f>
        <v>SEWON</v>
      </c>
      <c r="M363" s="67" t="str">
        <f>VLOOKUP($B363,master!$B$3:$S$600,6,0)</f>
        <v>ROBI NURDIANSAH</v>
      </c>
      <c r="N363" s="82" t="str">
        <f>VLOOKUP($B363,master!$B$3:$S$600,15,0)</f>
        <v>SMP N 2 JETIS</v>
      </c>
      <c r="O363" s="82" t="str">
        <f>VLOOKUP($B363,master!$B$3:$S$600,4,0)</f>
        <v>21-12-2008</v>
      </c>
    </row>
    <row r="364" spans="1:15" ht="15.75" customHeight="1" x14ac:dyDescent="0.25">
      <c r="A364" s="80" t="s">
        <v>1276</v>
      </c>
      <c r="B364" s="11" t="s">
        <v>1261</v>
      </c>
      <c r="C364" s="11" t="s">
        <v>4733</v>
      </c>
      <c r="D364" s="11" t="s">
        <v>230</v>
      </c>
      <c r="E364" s="65" t="str">
        <f>VLOOKUP(D364,Total!$C$2:$D$518,2,0)</f>
        <v>11 TKR 3</v>
      </c>
      <c r="F364" s="65" t="str">
        <f>VLOOKUP(C364,Total!$B$2:$F$514,5,0)</f>
        <v>AKTIF</v>
      </c>
      <c r="G364" s="67" t="str">
        <f>VLOOKUP($B364,master!$B$3:$S$600,16,0)</f>
        <v>8882647477</v>
      </c>
      <c r="H364" s="67" t="str">
        <f>VLOOKUP($B364,master!$B$3:$S$600,17,0)</f>
        <v>0</v>
      </c>
      <c r="I364" s="67" t="str">
        <f>VLOOKUP($B364,master!$B$3:$S$600,8,0)</f>
        <v>BERGAN</v>
      </c>
      <c r="J364" s="67" t="str">
        <f>VLOOKUP($B364,master!$B$3:$S$600,9,0)</f>
        <v>6</v>
      </c>
      <c r="K364" s="67" t="str">
        <f>VLOOKUP($B364,master!$B$3:$S$600,11,0)</f>
        <v>WIJIREJO</v>
      </c>
      <c r="L364" s="67" t="str">
        <f>VLOOKUP($B364,master!$B$3:$S$600,12,0)</f>
        <v>PANDAK</v>
      </c>
      <c r="M364" s="67" t="str">
        <f>VLOOKUP($B364,master!$B$3:$S$600,6,0)</f>
        <v>RIPTO LANGGENG</v>
      </c>
      <c r="N364" s="82" t="str">
        <f>VLOOKUP($B364,master!$B$3:$S$600,15,0)</f>
        <v>SMP N 1 PANDAK</v>
      </c>
      <c r="O364" s="82" t="str">
        <f>VLOOKUP($B364,master!$B$3:$S$600,4,0)</f>
        <v>14-08-2008</v>
      </c>
    </row>
    <row r="365" spans="1:15" ht="15.75" customHeight="1" x14ac:dyDescent="0.25">
      <c r="A365" s="80" t="s">
        <v>1278</v>
      </c>
      <c r="B365" s="11" t="s">
        <v>1263</v>
      </c>
      <c r="C365" s="11" t="s">
        <v>4734</v>
      </c>
      <c r="D365" s="11" t="s">
        <v>231</v>
      </c>
      <c r="E365" s="65" t="str">
        <f>VLOOKUP(D365,Total!$C$2:$D$518,2,0)</f>
        <v>11 TKR 3</v>
      </c>
      <c r="F365" s="65" t="str">
        <f>VLOOKUP(C365,Total!$B$2:$F$514,5,0)</f>
        <v>AKTIF</v>
      </c>
      <c r="G365" s="67" t="str">
        <f>VLOOKUP($B365,master!$B$3:$S$600,16,0)</f>
        <v>081211575715</v>
      </c>
      <c r="H365" s="67" t="str">
        <f>VLOOKUP($B365,master!$B$3:$S$600,17,0)</f>
        <v>081646826014</v>
      </c>
      <c r="I365" s="67" t="str">
        <f>VLOOKUP($B365,master!$B$3:$S$600,8,0)</f>
        <v>DAGARAN</v>
      </c>
      <c r="J365" s="67" t="str">
        <f>VLOOKUP($B365,master!$B$3:$S$600,9,0)</f>
        <v>4</v>
      </c>
      <c r="K365" s="67" t="str">
        <f>VLOOKUP($B365,master!$B$3:$S$600,11,0)</f>
        <v>PALBAPANG</v>
      </c>
      <c r="L365" s="67" t="str">
        <f>VLOOKUP($B365,master!$B$3:$S$600,12,0)</f>
        <v>BANTUL</v>
      </c>
      <c r="M365" s="67" t="str">
        <f>VLOOKUP($B365,master!$B$3:$S$600,6,0)</f>
        <v>IRKHAM YULIANTORO</v>
      </c>
      <c r="N365" s="82" t="str">
        <f>VLOOKUP($B365,master!$B$3:$S$600,15,0)</f>
        <v>SMP N 2 AMBARAWA</v>
      </c>
      <c r="O365" s="82" t="str">
        <f>VLOOKUP($B365,master!$B$3:$S$600,4,0)</f>
        <v>30-09-2008</v>
      </c>
    </row>
    <row r="366" spans="1:15" ht="15.75" customHeight="1" x14ac:dyDescent="0.25">
      <c r="A366" s="80" t="s">
        <v>1280</v>
      </c>
      <c r="B366" s="11" t="s">
        <v>1265</v>
      </c>
      <c r="C366" s="11" t="s">
        <v>4735</v>
      </c>
      <c r="D366" s="11" t="s">
        <v>232</v>
      </c>
      <c r="E366" s="65" t="str">
        <f>VLOOKUP(D366,Total!$C$2:$D$518,2,0)</f>
        <v>11 TKR 3</v>
      </c>
      <c r="F366" s="65" t="str">
        <f>VLOOKUP(C366,Total!$B$2:$F$514,5,0)</f>
        <v>AKTIF</v>
      </c>
      <c r="G366" s="67" t="str">
        <f>VLOOKUP($B366,master!$B$3:$S$600,16,0)</f>
        <v>087765042265</v>
      </c>
      <c r="H366" s="67" t="str">
        <f>VLOOKUP($B366,master!$B$3:$S$600,17,0)</f>
        <v>083822249493</v>
      </c>
      <c r="I366" s="67" t="str">
        <f>VLOOKUP($B366,master!$B$3:$S$600,8,0)</f>
        <v>MENANG</v>
      </c>
      <c r="J366" s="67" t="str">
        <f>VLOOKUP($B366,master!$B$3:$S$600,9,0)</f>
        <v>001</v>
      </c>
      <c r="K366" s="67" t="str">
        <f>VLOOKUP($B366,master!$B$3:$S$600,11,0)</f>
        <v>SRIHARDONO</v>
      </c>
      <c r="L366" s="67" t="str">
        <f>VLOOKUP($B366,master!$B$3:$S$600,12,0)</f>
        <v>PUNDONG</v>
      </c>
      <c r="M366" s="67" t="str">
        <f>VLOOKUP($B366,master!$B$3:$S$600,6,0)</f>
        <v>SUTIKO</v>
      </c>
      <c r="N366" s="82" t="str">
        <f>VLOOKUP($B366,master!$B$3:$S$600,15,0)</f>
        <v>SMP N 2 PUNDONG</v>
      </c>
      <c r="O366" s="82" t="str">
        <f>VLOOKUP($B366,master!$B$3:$S$600,4,0)</f>
        <v>19-08-2008</v>
      </c>
    </row>
    <row r="367" spans="1:15" ht="15.75" customHeight="1" x14ac:dyDescent="0.25">
      <c r="A367" s="80" t="s">
        <v>1282</v>
      </c>
      <c r="B367" s="11" t="s">
        <v>1267</v>
      </c>
      <c r="C367" s="11" t="s">
        <v>4736</v>
      </c>
      <c r="D367" s="11" t="s">
        <v>233</v>
      </c>
      <c r="E367" s="65" t="str">
        <f>VLOOKUP(D367,Total!$C$2:$D$518,2,0)</f>
        <v>11 TKR 3</v>
      </c>
      <c r="F367" s="65" t="str">
        <f>VLOOKUP(C367,Total!$B$2:$F$514,5,0)</f>
        <v>AKTIF</v>
      </c>
      <c r="G367" s="67" t="str">
        <f>VLOOKUP($B367,master!$B$3:$S$600,16,0)</f>
        <v>083133522448</v>
      </c>
      <c r="H367" s="67" t="str">
        <f>VLOOKUP($B367,master!$B$3:$S$600,17,0)</f>
        <v>085712215667</v>
      </c>
      <c r="I367" s="67" t="str">
        <f>VLOOKUP($B367,master!$B$3:$S$600,8,0)</f>
        <v>NOGOSARI</v>
      </c>
      <c r="J367" s="67" t="str">
        <f>VLOOKUP($B367,master!$B$3:$S$600,9,0)</f>
        <v>01</v>
      </c>
      <c r="K367" s="67" t="str">
        <f>VLOOKUP($B367,master!$B$3:$S$600,11,0)</f>
        <v>SELOPAMIORO</v>
      </c>
      <c r="L367" s="67" t="str">
        <f>VLOOKUP($B367,master!$B$3:$S$600,12,0)</f>
        <v>IMOGIRI</v>
      </c>
      <c r="M367" s="67" t="str">
        <f>VLOOKUP($B367,master!$B$3:$S$600,6,0)</f>
        <v>SUJANI</v>
      </c>
      <c r="N367" s="82" t="str">
        <f>VLOOKUP($B367,master!$B$3:$S$600,15,0)</f>
        <v>MTS N 3 BANTUL</v>
      </c>
      <c r="O367" s="82" t="str">
        <f>VLOOKUP($B367,master!$B$3:$S$600,4,0)</f>
        <v>14-07-2008</v>
      </c>
    </row>
    <row r="368" spans="1:15" ht="15.75" customHeight="1" x14ac:dyDescent="0.25">
      <c r="A368" s="80" t="s">
        <v>1284</v>
      </c>
      <c r="B368" s="11" t="s">
        <v>1269</v>
      </c>
      <c r="C368" s="11" t="s">
        <v>4737</v>
      </c>
      <c r="D368" s="11" t="s">
        <v>234</v>
      </c>
      <c r="E368" s="65" t="str">
        <f>VLOOKUP(D368,Total!$C$2:$D$518,2,0)</f>
        <v>11 TKR 3</v>
      </c>
      <c r="F368" s="65" t="str">
        <f>VLOOKUP(C368,Total!$B$2:$F$514,5,0)</f>
        <v>AKTIF</v>
      </c>
      <c r="G368" s="67" t="str">
        <f>VLOOKUP($B368,master!$B$3:$S$600,16,0)</f>
        <v>85695347393</v>
      </c>
      <c r="H368" s="67" t="str">
        <f>VLOOKUP($B368,master!$B$3:$S$600,17,0)</f>
        <v>0</v>
      </c>
      <c r="I368" s="67" t="str">
        <f>VLOOKUP($B368,master!$B$3:$S$600,8,0)</f>
        <v>ROGOITAN</v>
      </c>
      <c r="J368" s="67" t="str">
        <f>VLOOKUP($B368,master!$B$3:$S$600,9,0)</f>
        <v>93</v>
      </c>
      <c r="K368" s="67" t="str">
        <f>VLOOKUP($B368,master!$B$3:$S$600,11,0)</f>
        <v>PENDOWOHARJO</v>
      </c>
      <c r="L368" s="67" t="str">
        <f>VLOOKUP($B368,master!$B$3:$S$600,12,0)</f>
        <v>SEWON</v>
      </c>
      <c r="M368" s="67" t="str">
        <f>VLOOKUP($B368,master!$B$3:$S$600,6,0)</f>
        <v>PRASETYO PAMBUDI</v>
      </c>
      <c r="N368" s="82" t="str">
        <f>VLOOKUP($B368,master!$B$3:$S$600,15,0)</f>
        <v>SMP MUHAMMADIYAH BANTUL</v>
      </c>
      <c r="O368" s="82" t="str">
        <f>VLOOKUP($B368,master!$B$3:$S$600,4,0)</f>
        <v>9-10-2008</v>
      </c>
    </row>
    <row r="369" spans="1:15" ht="15.75" customHeight="1" x14ac:dyDescent="0.25">
      <c r="A369" s="80" t="s">
        <v>1286</v>
      </c>
      <c r="B369" s="11" t="s">
        <v>1271</v>
      </c>
      <c r="C369" s="11" t="s">
        <v>4738</v>
      </c>
      <c r="D369" s="11" t="s">
        <v>235</v>
      </c>
      <c r="E369" s="65" t="str">
        <f>VLOOKUP(D369,Total!$C$2:$D$518,2,0)</f>
        <v>11 TKR 3</v>
      </c>
      <c r="F369" s="65" t="str">
        <f>VLOOKUP(C369,Total!$B$2:$F$514,5,0)</f>
        <v>AKTIF</v>
      </c>
      <c r="G369" s="67" t="str">
        <f>VLOOKUP($B369,master!$B$3:$S$600,16,0)</f>
        <v>089606919793</v>
      </c>
      <c r="H369" s="67" t="str">
        <f>VLOOKUP($B369,master!$B$3:$S$600,17,0)</f>
        <v>082138667303</v>
      </c>
      <c r="I369" s="67" t="str">
        <f>VLOOKUP($B369,master!$B$3:$S$600,8,0)</f>
        <v>BOGORAN</v>
      </c>
      <c r="J369" s="67" t="str">
        <f>VLOOKUP($B369,master!$B$3:$S$600,9,0)</f>
        <v>1</v>
      </c>
      <c r="K369" s="67" t="str">
        <f>VLOOKUP($B369,master!$B$3:$S$600,11,0)</f>
        <v>TRIRENGGO</v>
      </c>
      <c r="L369" s="67" t="str">
        <f>VLOOKUP($B369,master!$B$3:$S$600,12,0)</f>
        <v>BANTUL</v>
      </c>
      <c r="M369" s="67" t="str">
        <f>VLOOKUP($B369,master!$B$3:$S$600,6,0)</f>
        <v>NOVIA MAHARANI</v>
      </c>
      <c r="N369" s="82" t="str">
        <f>VLOOKUP($B369,master!$B$3:$S$600,15,0)</f>
        <v>SMP N 1 BAWANG</v>
      </c>
      <c r="O369" s="82" t="str">
        <f>VLOOKUP($B369,master!$B$3:$S$600,4,0)</f>
        <v>10-04-2008</v>
      </c>
    </row>
    <row r="370" spans="1:15" ht="15.75" customHeight="1" x14ac:dyDescent="0.25">
      <c r="A370" s="80" t="s">
        <v>1288</v>
      </c>
      <c r="B370" s="11" t="s">
        <v>1273</v>
      </c>
      <c r="C370" s="11" t="s">
        <v>4739</v>
      </c>
      <c r="D370" s="11" t="s">
        <v>236</v>
      </c>
      <c r="E370" s="65" t="str">
        <f>VLOOKUP(D370,Total!$C$2:$D$518,2,0)</f>
        <v>11 TKR 3</v>
      </c>
      <c r="F370" s="65" t="str">
        <f>VLOOKUP(C370,Total!$B$2:$F$514,5,0)</f>
        <v>AKTIF</v>
      </c>
      <c r="G370" s="67" t="str">
        <f>VLOOKUP($B370,master!$B$3:$S$600,16,0)</f>
        <v>85100265324</v>
      </c>
      <c r="H370" s="67" t="str">
        <f>VLOOKUP($B370,master!$B$3:$S$600,17,0)</f>
        <v>0</v>
      </c>
      <c r="I370" s="67" t="str">
        <f>VLOOKUP($B370,master!$B$3:$S$600,8,0)</f>
        <v>DERMOJURANG</v>
      </c>
      <c r="J370" s="67" t="str">
        <f>VLOOKUP($B370,master!$B$3:$S$600,9,0)</f>
        <v>4</v>
      </c>
      <c r="K370" s="67" t="str">
        <f>VLOOKUP($B370,master!$B$3:$S$600,11,0)</f>
        <v>SELOHARJO</v>
      </c>
      <c r="L370" s="67" t="str">
        <f>VLOOKUP($B370,master!$B$3:$S$600,12,0)</f>
        <v>PUNDONG</v>
      </c>
      <c r="M370" s="67" t="str">
        <f>VLOOKUP($B370,master!$B$3:$S$600,6,0)</f>
        <v>LILIN ARYANTO</v>
      </c>
      <c r="N370" s="82" t="str">
        <f>VLOOKUP($B370,master!$B$3:$S$600,15,0)</f>
        <v>SMP N 1 PUNDONG</v>
      </c>
      <c r="O370" s="82" t="str">
        <f>VLOOKUP($B370,master!$B$3:$S$600,4,0)</f>
        <v>9-06-2008</v>
      </c>
    </row>
    <row r="371" spans="1:15" ht="15.75" customHeight="1" x14ac:dyDescent="0.25">
      <c r="A371" s="80" t="s">
        <v>1290</v>
      </c>
      <c r="B371" s="11" t="s">
        <v>1275</v>
      </c>
      <c r="C371" s="11" t="s">
        <v>4740</v>
      </c>
      <c r="D371" s="11" t="s">
        <v>237</v>
      </c>
      <c r="E371" s="65" t="str">
        <f>VLOOKUP(D371,Total!$C$2:$D$518,2,0)</f>
        <v>11 TKR 3</v>
      </c>
      <c r="F371" s="65" t="str">
        <f>VLOOKUP(C371,Total!$B$2:$F$514,5,0)</f>
        <v>AKTIF</v>
      </c>
      <c r="G371" s="67" t="str">
        <f>VLOOKUP($B371,master!$B$3:$S$600,16,0)</f>
        <v>081228925206</v>
      </c>
      <c r="H371" s="67" t="str">
        <f>VLOOKUP($B371,master!$B$3:$S$600,17,0)</f>
        <v>082325498132</v>
      </c>
      <c r="I371" s="67" t="str">
        <f>VLOOKUP($B371,master!$B$3:$S$600,8,0)</f>
        <v>BONDALEM</v>
      </c>
      <c r="J371" s="67" t="str">
        <f>VLOOKUP($B371,master!$B$3:$S$600,9,0)</f>
        <v>003</v>
      </c>
      <c r="K371" s="67" t="str">
        <f>VLOOKUP($B371,master!$B$3:$S$600,11,0)</f>
        <v>SUMBERMULYO</v>
      </c>
      <c r="L371" s="67" t="str">
        <f>VLOOKUP($B371,master!$B$3:$S$600,12,0)</f>
        <v>BAMBANGLIPURO</v>
      </c>
      <c r="M371" s="67" t="str">
        <f>VLOOKUP($B371,master!$B$3:$S$600,6,0)</f>
        <v>SITI FATIMAH</v>
      </c>
      <c r="N371" s="82" t="str">
        <f>VLOOKUP($B371,master!$B$3:$S$600,15,0)</f>
        <v>SMP N 1 BAMBANGLIPURO</v>
      </c>
      <c r="O371" s="82" t="str">
        <f>VLOOKUP($B371,master!$B$3:$S$600,4,0)</f>
        <v>21-06-2008</v>
      </c>
    </row>
    <row r="372" spans="1:15" ht="15.75" customHeight="1" x14ac:dyDescent="0.25">
      <c r="A372" s="80" t="s">
        <v>1292</v>
      </c>
      <c r="B372" s="11" t="s">
        <v>1277</v>
      </c>
      <c r="C372" s="11" t="s">
        <v>4741</v>
      </c>
      <c r="D372" s="11" t="s">
        <v>238</v>
      </c>
      <c r="E372" s="65" t="str">
        <f>VLOOKUP(D372,Total!$C$2:$D$518,2,0)</f>
        <v>11 TKR 3</v>
      </c>
      <c r="F372" s="65" t="str">
        <f>VLOOKUP(C372,Total!$B$2:$F$514,5,0)</f>
        <v>AKTIF</v>
      </c>
      <c r="G372" s="67" t="str">
        <f>VLOOKUP($B372,master!$B$3:$S$600,16,0)</f>
        <v>083844906405</v>
      </c>
      <c r="H372" s="67" t="str">
        <f>VLOOKUP($B372,master!$B$3:$S$600,17,0)</f>
        <v>081391246146</v>
      </c>
      <c r="I372" s="67" t="str">
        <f>VLOOKUP($B372,master!$B$3:$S$600,8,0)</f>
        <v>JATEN PULAUDADI</v>
      </c>
      <c r="J372" s="67" t="str">
        <f>VLOOKUP($B372,master!$B$3:$S$600,9,0)</f>
        <v>06</v>
      </c>
      <c r="K372" s="67" t="str">
        <f>VLOOKUP($B372,master!$B$3:$S$600,11,0)</f>
        <v>TRIHARJO</v>
      </c>
      <c r="L372" s="67" t="str">
        <f>VLOOKUP($B372,master!$B$3:$S$600,12,0)</f>
        <v>PANDAK</v>
      </c>
      <c r="M372" s="67" t="str">
        <f>VLOOKUP($B372,master!$B$3:$S$600,6,0)</f>
        <v>ASIH ONO</v>
      </c>
      <c r="N372" s="82" t="str">
        <f>VLOOKUP($B372,master!$B$3:$S$600,15,0)</f>
        <v>SMP N 4 PANDAK</v>
      </c>
      <c r="O372" s="82" t="str">
        <f>VLOOKUP($B372,master!$B$3:$S$600,4,0)</f>
        <v>17-05-2008</v>
      </c>
    </row>
    <row r="373" spans="1:15" ht="15.75" customHeight="1" x14ac:dyDescent="0.25">
      <c r="A373" s="80" t="s">
        <v>1294</v>
      </c>
      <c r="B373" s="11" t="s">
        <v>1279</v>
      </c>
      <c r="C373" s="11" t="s">
        <v>4742</v>
      </c>
      <c r="D373" s="11" t="s">
        <v>239</v>
      </c>
      <c r="E373" s="65" t="str">
        <f>VLOOKUP(D373,Total!$C$2:$D$518,2,0)</f>
        <v>11 TKR 4</v>
      </c>
      <c r="F373" s="65" t="str">
        <f>VLOOKUP(C373,Total!$B$2:$F$514,5,0)</f>
        <v>KELUAR</v>
      </c>
      <c r="G373" s="67" t="str">
        <f>VLOOKUP($B373,master!$B$3:$S$600,16,0)</f>
        <v>085643204399</v>
      </c>
      <c r="H373" s="67" t="str">
        <f>VLOOKUP($B373,master!$B$3:$S$600,17,0)</f>
        <v>-</v>
      </c>
      <c r="I373" s="67" t="str">
        <f>VLOOKUP($B373,master!$B$3:$S$600,8,0)</f>
        <v>SRIBITAN</v>
      </c>
      <c r="J373" s="67" t="str">
        <f>VLOOKUP($B373,master!$B$3:$S$600,9,0)</f>
        <v>3</v>
      </c>
      <c r="K373" s="67" t="str">
        <f>VLOOKUP($B373,master!$B$3:$S$600,11,0)</f>
        <v>BANGUNJIWO</v>
      </c>
      <c r="L373" s="67" t="str">
        <f>VLOOKUP($B373,master!$B$3:$S$600,12,0)</f>
        <v>KASIHAN</v>
      </c>
      <c r="M373" s="67" t="str">
        <f>VLOOKUP($B373,master!$B$3:$S$600,6,0)</f>
        <v>ARI WIBAWANTI</v>
      </c>
      <c r="N373" s="82" t="str">
        <f>VLOOKUP($B373,master!$B$3:$S$600,15,0)</f>
        <v>MTS AL-HADI II</v>
      </c>
      <c r="O373" s="82" t="str">
        <f>VLOOKUP($B373,master!$B$3:$S$600,4,0)</f>
        <v>8-01-2008</v>
      </c>
    </row>
    <row r="374" spans="1:15" ht="15.75" customHeight="1" x14ac:dyDescent="0.25">
      <c r="A374" s="80" t="s">
        <v>1296</v>
      </c>
      <c r="B374" s="11" t="s">
        <v>1281</v>
      </c>
      <c r="C374" s="11" t="s">
        <v>4743</v>
      </c>
      <c r="D374" s="11" t="s">
        <v>240</v>
      </c>
      <c r="E374" s="65" t="str">
        <f>VLOOKUP(D374,Total!$C$2:$D$518,2,0)</f>
        <v>11 TKR 4</v>
      </c>
      <c r="F374" s="65" t="str">
        <f>VLOOKUP(C374,Total!$B$2:$F$514,5,0)</f>
        <v>AKTIF</v>
      </c>
      <c r="G374" s="67" t="str">
        <f>VLOOKUP($B374,master!$B$3:$S$600,16,0)</f>
        <v>089687744958</v>
      </c>
      <c r="H374" s="67" t="str">
        <f>VLOOKUP($B374,master!$B$3:$S$600,17,0)</f>
        <v>088233104247</v>
      </c>
      <c r="I374" s="67" t="str">
        <f>VLOOKUP($B374,master!$B$3:$S$600,8,0)</f>
        <v>PRANCAK GLONDONG</v>
      </c>
      <c r="J374" s="67" t="str">
        <f>VLOOKUP($B374,master!$B$3:$S$600,9,0)</f>
        <v>5</v>
      </c>
      <c r="K374" s="67" t="str">
        <f>VLOOKUP($B374,master!$B$3:$S$600,11,0)</f>
        <v>PANGGUNGHARJO</v>
      </c>
      <c r="L374" s="67" t="str">
        <f>VLOOKUP($B374,master!$B$3:$S$600,12,0)</f>
        <v>SEWON</v>
      </c>
      <c r="M374" s="67" t="str">
        <f>VLOOKUP($B374,master!$B$3:$S$600,6,0)</f>
        <v>SURYANTO</v>
      </c>
      <c r="N374" s="82" t="str">
        <f>VLOOKUP($B374,master!$B$3:$S$600,15,0)</f>
        <v>SMP MUHAMMADIYAH BANTUL</v>
      </c>
      <c r="O374" s="82" t="str">
        <f>VLOOKUP($B374,master!$B$3:$S$600,4,0)</f>
        <v>26-08-2008</v>
      </c>
    </row>
    <row r="375" spans="1:15" ht="15.75" customHeight="1" x14ac:dyDescent="0.25">
      <c r="A375" s="80" t="s">
        <v>1298</v>
      </c>
      <c r="B375" s="11" t="s">
        <v>1283</v>
      </c>
      <c r="C375" s="11" t="s">
        <v>4744</v>
      </c>
      <c r="D375" s="11" t="s">
        <v>241</v>
      </c>
      <c r="E375" s="65" t="str">
        <f>VLOOKUP(D375,Total!$C$2:$D$518,2,0)</f>
        <v>11 TKR 4</v>
      </c>
      <c r="F375" s="65" t="str">
        <f>VLOOKUP(C375,Total!$B$2:$F$514,5,0)</f>
        <v>AKTIF</v>
      </c>
      <c r="G375" s="67" t="str">
        <f>VLOOKUP($B375,master!$B$3:$S$600,16,0)</f>
        <v>083131675822</v>
      </c>
      <c r="H375" s="67" t="str">
        <f>VLOOKUP($B375,master!$B$3:$S$600,17,0)</f>
        <v>-</v>
      </c>
      <c r="I375" s="67" t="str">
        <f>VLOOKUP($B375,master!$B$3:$S$600,8,0)</f>
        <v>GESIKAN</v>
      </c>
      <c r="J375" s="67" t="str">
        <f>VLOOKUP($B375,master!$B$3:$S$600,9,0)</f>
        <v>4</v>
      </c>
      <c r="K375" s="67" t="str">
        <f>VLOOKUP($B375,master!$B$3:$S$600,11,0)</f>
        <v>PANGGUNGHARJO</v>
      </c>
      <c r="L375" s="67" t="str">
        <f>VLOOKUP($B375,master!$B$3:$S$600,12,0)</f>
        <v>SEWON</v>
      </c>
      <c r="M375" s="67" t="str">
        <f>VLOOKUP($B375,master!$B$3:$S$600,6,0)</f>
        <v>SUMARNO</v>
      </c>
      <c r="N375" s="82" t="str">
        <f>VLOOKUP($B375,master!$B$3:$S$600,15,0)</f>
        <v>SMP MUHAMMADIYAH SEWON</v>
      </c>
      <c r="O375" s="82" t="str">
        <f>VLOOKUP($B375,master!$B$3:$S$600,4,0)</f>
        <v>29-10-2008</v>
      </c>
    </row>
    <row r="376" spans="1:15" ht="15.75" customHeight="1" x14ac:dyDescent="0.25">
      <c r="A376" s="80" t="s">
        <v>1300</v>
      </c>
      <c r="B376" s="11" t="s">
        <v>1285</v>
      </c>
      <c r="C376" s="11" t="s">
        <v>4745</v>
      </c>
      <c r="D376" s="11" t="s">
        <v>242</v>
      </c>
      <c r="E376" s="65" t="str">
        <f>VLOOKUP(D376,Total!$C$2:$D$518,2,0)</f>
        <v>11 TKR 4</v>
      </c>
      <c r="F376" s="65" t="str">
        <f>VLOOKUP(C376,Total!$B$2:$F$514,5,0)</f>
        <v>AKTIF</v>
      </c>
      <c r="G376" s="67" t="str">
        <f>VLOOKUP($B376,master!$B$3:$S$600,16,0)</f>
        <v>85100584225</v>
      </c>
      <c r="H376" s="67" t="str">
        <f>VLOOKUP($B376,master!$B$3:$S$600,17,0)</f>
        <v>0</v>
      </c>
      <c r="I376" s="67" t="str">
        <f>VLOOKUP($B376,master!$B$3:$S$600,8,0)</f>
        <v>SLANGGEN</v>
      </c>
      <c r="J376" s="67" t="str">
        <f>VLOOKUP($B376,master!$B$3:$S$600,9,0)</f>
        <v>5</v>
      </c>
      <c r="K376" s="67" t="str">
        <f>VLOOKUP($B376,master!$B$3:$S$600,11,0)</f>
        <v>TIMBULHARJO</v>
      </c>
      <c r="L376" s="67" t="str">
        <f>VLOOKUP($B376,master!$B$3:$S$600,12,0)</f>
        <v>SEWON</v>
      </c>
      <c r="M376" s="67" t="str">
        <f>VLOOKUP($B376,master!$B$3:$S$600,6,0)</f>
        <v>DWI ARI SANJAYA</v>
      </c>
      <c r="N376" s="82" t="str">
        <f>VLOOKUP($B376,master!$B$3:$S$600,15,0)</f>
        <v>MTS N 2 BANTUL</v>
      </c>
      <c r="O376" s="82" t="str">
        <f>VLOOKUP($B376,master!$B$3:$S$600,4,0)</f>
        <v>29-11-2008</v>
      </c>
    </row>
    <row r="377" spans="1:15" ht="15.75" customHeight="1" x14ac:dyDescent="0.25">
      <c r="A377" s="80" t="s">
        <v>1302</v>
      </c>
      <c r="B377" s="11" t="s">
        <v>1287</v>
      </c>
      <c r="C377" s="11" t="s">
        <v>4746</v>
      </c>
      <c r="D377" s="11" t="s">
        <v>243</v>
      </c>
      <c r="E377" s="65" t="str">
        <f>VLOOKUP(D377,Total!$C$2:$D$518,2,0)</f>
        <v>11 TKR 4</v>
      </c>
      <c r="F377" s="65" t="str">
        <f>VLOOKUP(C377,Total!$B$2:$F$514,5,0)</f>
        <v>AKTIF</v>
      </c>
      <c r="G377" s="67" t="str">
        <f>VLOOKUP($B377,master!$B$3:$S$600,16,0)</f>
        <v>089523588464</v>
      </c>
      <c r="H377" s="67" t="str">
        <f>VLOOKUP($B377,master!$B$3:$S$600,17,0)</f>
        <v>089523588464</v>
      </c>
      <c r="I377" s="67" t="str">
        <f>VLOOKUP($B377,master!$B$3:$S$600,8,0)</f>
        <v>PASUTAN</v>
      </c>
      <c r="J377" s="67" t="str">
        <f>VLOOKUP($B377,master!$B$3:$S$600,9,0)</f>
        <v>1</v>
      </c>
      <c r="K377" s="67" t="str">
        <f>VLOOKUP($B377,master!$B$3:$S$600,11,0)</f>
        <v>TRIRENGGO</v>
      </c>
      <c r="L377" s="67" t="str">
        <f>VLOOKUP($B377,master!$B$3:$S$600,12,0)</f>
        <v>BANTUL</v>
      </c>
      <c r="M377" s="67" t="str">
        <f>VLOOKUP($B377,master!$B$3:$S$600,6,0)</f>
        <v>RULLY ZUSTANTI</v>
      </c>
      <c r="N377" s="82" t="str">
        <f>VLOOKUP($B377,master!$B$3:$S$600,15,0)</f>
        <v>SMP MUHAMMADIYAH BANTUL</v>
      </c>
      <c r="O377" s="82" t="str">
        <f>VLOOKUP($B377,master!$B$3:$S$600,4,0)</f>
        <v>16-12-2008</v>
      </c>
    </row>
    <row r="378" spans="1:15" ht="15.75" customHeight="1" x14ac:dyDescent="0.25">
      <c r="A378" s="80" t="s">
        <v>1304</v>
      </c>
      <c r="B378" s="11" t="s">
        <v>1289</v>
      </c>
      <c r="C378" s="11" t="s">
        <v>4747</v>
      </c>
      <c r="D378" s="11" t="s">
        <v>244</v>
      </c>
      <c r="E378" s="65" t="str">
        <f>VLOOKUP(D378,Total!$C$2:$D$518,2,0)</f>
        <v>11 TKR 4</v>
      </c>
      <c r="F378" s="65" t="str">
        <f>VLOOKUP(C378,Total!$B$2:$F$514,5,0)</f>
        <v>AKTIF</v>
      </c>
      <c r="G378" s="67" t="str">
        <f>VLOOKUP($B378,master!$B$3:$S$600,16,0)</f>
        <v>081915552174/0895377242521</v>
      </c>
      <c r="H378" s="67" t="str">
        <f>VLOOKUP($B378,master!$B$3:$S$600,17,0)</f>
        <v>-</v>
      </c>
      <c r="I378" s="67" t="str">
        <f>VLOOKUP($B378,master!$B$3:$S$600,8,0)</f>
        <v>KALIPAKIS</v>
      </c>
      <c r="J378" s="67" t="str">
        <f>VLOOKUP($B378,master!$B$3:$S$600,9,0)</f>
        <v>3</v>
      </c>
      <c r="K378" s="67" t="str">
        <f>VLOOKUP($B378,master!$B$3:$S$600,11,0)</f>
        <v>TIRTONIRMOLO</v>
      </c>
      <c r="L378" s="67" t="str">
        <f>VLOOKUP($B378,master!$B$3:$S$600,12,0)</f>
        <v>KASIHAN</v>
      </c>
      <c r="M378" s="67" t="str">
        <f>VLOOKUP($B378,master!$B$3:$S$600,6,0)</f>
        <v>SUBARSONO</v>
      </c>
      <c r="N378" s="82" t="str">
        <f>VLOOKUP($B378,master!$B$3:$S$600,15,0)</f>
        <v>MTS AL-HADI II</v>
      </c>
      <c r="O378" s="82" t="str">
        <f>VLOOKUP($B378,master!$B$3:$S$600,4,0)</f>
        <v>15-05-2008</v>
      </c>
    </row>
    <row r="379" spans="1:15" ht="15.75" customHeight="1" x14ac:dyDescent="0.25">
      <c r="A379" s="80" t="s">
        <v>1306</v>
      </c>
      <c r="B379" s="11" t="s">
        <v>1291</v>
      </c>
      <c r="C379" s="11" t="s">
        <v>4748</v>
      </c>
      <c r="D379" s="11" t="s">
        <v>245</v>
      </c>
      <c r="E379" s="65" t="str">
        <f>VLOOKUP(D379,Total!$C$2:$D$518,2,0)</f>
        <v>11 TKR 4</v>
      </c>
      <c r="F379" s="65" t="str">
        <f>VLOOKUP(C379,Total!$B$2:$F$514,5,0)</f>
        <v>AKTIF</v>
      </c>
      <c r="G379" s="67" t="str">
        <f>VLOOKUP($B379,master!$B$3:$S$600,16,0)</f>
        <v>0882003766394</v>
      </c>
      <c r="H379" s="67" t="str">
        <f>VLOOKUP($B379,master!$B$3:$S$600,17,0)</f>
        <v>0895422802063</v>
      </c>
      <c r="I379" s="67" t="str">
        <f>VLOOKUP($B379,master!$B$3:$S$600,8,0)</f>
        <v>TANJUNGNLOR</v>
      </c>
      <c r="J379" s="67" t="str">
        <f>VLOOKUP($B379,master!$B$3:$S$600,9,0)</f>
        <v>11</v>
      </c>
      <c r="K379" s="67" t="str">
        <f>VLOOKUP($B379,master!$B$3:$S$600,11,0)</f>
        <v>PATALAN</v>
      </c>
      <c r="L379" s="67" t="str">
        <f>VLOOKUP($B379,master!$B$3:$S$600,12,0)</f>
        <v>JETIS</v>
      </c>
      <c r="M379" s="67" t="str">
        <f>VLOOKUP($B379,master!$B$3:$S$600,6,0)</f>
        <v>AGUS HARYANTO</v>
      </c>
      <c r="N379" s="82" t="str">
        <f>VLOOKUP($B379,master!$B$3:$S$600,15,0)</f>
        <v>SMP MUHAMMADIYAH IMOGIRI</v>
      </c>
      <c r="O379" s="82" t="str">
        <f>VLOOKUP($B379,master!$B$3:$S$600,4,0)</f>
        <v>20-06-2009</v>
      </c>
    </row>
    <row r="380" spans="1:15" ht="15.75" customHeight="1" x14ac:dyDescent="0.25">
      <c r="A380" s="80" t="s">
        <v>1308</v>
      </c>
      <c r="B380" s="11" t="s">
        <v>1293</v>
      </c>
      <c r="C380" s="11" t="s">
        <v>4749</v>
      </c>
      <c r="D380" s="11" t="s">
        <v>246</v>
      </c>
      <c r="E380" s="65" t="str">
        <f>VLOOKUP(D380,Total!$C$2:$D$518,2,0)</f>
        <v>11 TKR 4</v>
      </c>
      <c r="F380" s="65" t="str">
        <f>VLOOKUP(C380,Total!$B$2:$F$514,5,0)</f>
        <v>AKTIF</v>
      </c>
      <c r="G380" s="67" t="str">
        <f>VLOOKUP($B380,master!$B$3:$S$600,16,0)</f>
        <v>085820798697</v>
      </c>
      <c r="H380" s="67" t="str">
        <f>VLOOKUP($B380,master!$B$3:$S$600,17,0)</f>
        <v>-</v>
      </c>
      <c r="I380" s="67" t="str">
        <f>VLOOKUP($B380,master!$B$3:$S$600,8,0)</f>
        <v>GODEGAN</v>
      </c>
      <c r="J380" s="67" t="str">
        <f>VLOOKUP($B380,master!$B$3:$S$600,9,0)</f>
        <v>1</v>
      </c>
      <c r="K380" s="67" t="str">
        <f>VLOOKUP($B380,master!$B$3:$S$600,11,0)</f>
        <v>PONCOSARI</v>
      </c>
      <c r="L380" s="67" t="str">
        <f>VLOOKUP($B380,master!$B$3:$S$600,12,0)</f>
        <v>SRANDAKAN</v>
      </c>
      <c r="M380" s="67" t="str">
        <f>VLOOKUP($B380,master!$B$3:$S$600,6,0)</f>
        <v>SUMARDIYONO</v>
      </c>
      <c r="N380" s="82" t="str">
        <f>VLOOKUP($B380,master!$B$3:$S$600,15,0)</f>
        <v>SMP N 2 SRANDAKAN</v>
      </c>
      <c r="O380" s="82" t="str">
        <f>VLOOKUP($B380,master!$B$3:$S$600,4,0)</f>
        <v>13-06-2008</v>
      </c>
    </row>
    <row r="381" spans="1:15" ht="15.75" customHeight="1" x14ac:dyDescent="0.25">
      <c r="A381" s="80" t="s">
        <v>1310</v>
      </c>
      <c r="B381" s="11" t="s">
        <v>1295</v>
      </c>
      <c r="C381" s="11" t="s">
        <v>4750</v>
      </c>
      <c r="D381" s="11" t="s">
        <v>247</v>
      </c>
      <c r="E381" s="65" t="str">
        <f>VLOOKUP(D381,Total!$C$2:$D$518,2,0)</f>
        <v>11 TKR 4</v>
      </c>
      <c r="F381" s="65" t="str">
        <f>VLOOKUP(C381,Total!$B$2:$F$514,5,0)</f>
        <v>AKTIF</v>
      </c>
      <c r="G381" s="67" t="str">
        <f>VLOOKUP($B381,master!$B$3:$S$600,16,0)</f>
        <v>089646569951</v>
      </c>
      <c r="H381" s="67" t="str">
        <f>VLOOKUP($B381,master!$B$3:$S$600,17,0)</f>
        <v>089620915192</v>
      </c>
      <c r="I381" s="67" t="str">
        <f>VLOOKUP($B381,master!$B$3:$S$600,8,0)</f>
        <v>TARUBAN DK. NGRINGIN</v>
      </c>
      <c r="J381" s="67" t="str">
        <f>VLOOKUP($B381,master!$B$3:$S$600,9,0)</f>
        <v>005</v>
      </c>
      <c r="K381" s="67" t="str">
        <f>VLOOKUP($B381,master!$B$3:$S$600,11,0)</f>
        <v>PALBAPANG</v>
      </c>
      <c r="L381" s="67" t="str">
        <f>VLOOKUP($B381,master!$B$3:$S$600,12,0)</f>
        <v>BANTUL</v>
      </c>
      <c r="M381" s="67" t="str">
        <f>VLOOKUP($B381,master!$B$3:$S$600,6,0)</f>
        <v>SURAJA</v>
      </c>
      <c r="N381" s="82" t="str">
        <f>VLOOKUP($B381,master!$B$3:$S$600,15,0)</f>
        <v>SMP N 1 KRETEK</v>
      </c>
      <c r="O381" s="82" t="str">
        <f>VLOOKUP($B381,master!$B$3:$S$600,4,0)</f>
        <v>30-11-2007</v>
      </c>
    </row>
    <row r="382" spans="1:15" ht="15.75" customHeight="1" x14ac:dyDescent="0.25">
      <c r="A382" s="80" t="s">
        <v>1312</v>
      </c>
      <c r="B382" s="11" t="s">
        <v>1297</v>
      </c>
      <c r="C382" s="11" t="s">
        <v>4751</v>
      </c>
      <c r="D382" s="11" t="s">
        <v>248</v>
      </c>
      <c r="E382" s="65" t="str">
        <f>VLOOKUP(D382,Total!$C$2:$D$518,2,0)</f>
        <v>11 TKR 4</v>
      </c>
      <c r="F382" s="65" t="str">
        <f>VLOOKUP(C382,Total!$B$2:$F$514,5,0)</f>
        <v>AKTIF</v>
      </c>
      <c r="G382" s="67" t="str">
        <f>VLOOKUP($B382,master!$B$3:$S$600,16,0)</f>
        <v>082225826667</v>
      </c>
      <c r="H382" s="67" t="str">
        <f>VLOOKUP($B382,master!$B$3:$S$600,17,0)</f>
        <v>089687434067</v>
      </c>
      <c r="I382" s="67" t="str">
        <f>VLOOKUP($B382,master!$B$3:$S$600,8,0)</f>
        <v>PONDOK 1 SRANDAKAN</v>
      </c>
      <c r="J382" s="67" t="str">
        <f>VLOOKUP($B382,master!$B$3:$S$600,9,0)</f>
        <v>008</v>
      </c>
      <c r="K382" s="67" t="str">
        <f>VLOOKUP($B382,master!$B$3:$S$600,11,0)</f>
        <v>TRIMURTI</v>
      </c>
      <c r="L382" s="67" t="str">
        <f>VLOOKUP($B382,master!$B$3:$S$600,12,0)</f>
        <v>SRANDAKAN</v>
      </c>
      <c r="M382" s="67" t="str">
        <f>VLOOKUP($B382,master!$B$3:$S$600,6,0)</f>
        <v>TRI ESTIYANTO</v>
      </c>
      <c r="N382" s="82" t="str">
        <f>VLOOKUP($B382,master!$B$3:$S$600,15,0)</f>
        <v>SMP N 1 SRANDAKAN</v>
      </c>
      <c r="O382" s="82" t="str">
        <f>VLOOKUP($B382,master!$B$3:$S$600,4,0)</f>
        <v>8-03-2009</v>
      </c>
    </row>
    <row r="383" spans="1:15" ht="15.75" customHeight="1" x14ac:dyDescent="0.25">
      <c r="A383" s="80" t="s">
        <v>1314</v>
      </c>
      <c r="B383" s="11" t="s">
        <v>1299</v>
      </c>
      <c r="C383" s="11" t="s">
        <v>4752</v>
      </c>
      <c r="D383" s="11" t="s">
        <v>5095</v>
      </c>
      <c r="E383" s="65" t="str">
        <f>VLOOKUP(D383,Total!$C$2:$D$518,2,0)</f>
        <v>11 TKR 4</v>
      </c>
      <c r="F383" s="65" t="str">
        <f>VLOOKUP(C383,Total!$B$2:$F$514,5,0)</f>
        <v>AKTIF</v>
      </c>
      <c r="G383" s="67" t="str">
        <f>VLOOKUP($B383,master!$B$3:$S$600,16,0)</f>
        <v>081779215161</v>
      </c>
      <c r="H383" s="67" t="str">
        <f>VLOOKUP($B383,master!$B$3:$S$600,17,0)</f>
        <v>-</v>
      </c>
      <c r="I383" s="67" t="str">
        <f>VLOOKUP($B383,master!$B$3:$S$600,8,0)</f>
        <v>PLUMBUNGAN</v>
      </c>
      <c r="J383" s="67" t="str">
        <f>VLOOKUP($B383,master!$B$3:$S$600,9,0)</f>
        <v>03</v>
      </c>
      <c r="K383" s="67" t="str">
        <f>VLOOKUP($B383,master!$B$3:$S$600,11,0)</f>
        <v>SUMBERMULYO</v>
      </c>
      <c r="L383" s="67" t="str">
        <f>VLOOKUP($B383,master!$B$3:$S$600,12,0)</f>
        <v>BAMBANGLIPURO</v>
      </c>
      <c r="M383" s="67" t="str">
        <f>VLOOKUP($B383,master!$B$3:$S$600,6,0)</f>
        <v>WARSIDI</v>
      </c>
      <c r="N383" s="82" t="str">
        <f>VLOOKUP($B383,master!$B$3:$S$600,15,0)</f>
        <v>SMP N 1 BAMBANGLIPURO</v>
      </c>
      <c r="O383" s="82" t="str">
        <f>VLOOKUP($B383,master!$B$3:$S$600,4,0)</f>
        <v>28-12-2008</v>
      </c>
    </row>
    <row r="384" spans="1:15" ht="15.75" customHeight="1" x14ac:dyDescent="0.25">
      <c r="A384" s="80" t="s">
        <v>1316</v>
      </c>
      <c r="B384" s="11" t="s">
        <v>1301</v>
      </c>
      <c r="C384" s="11" t="s">
        <v>4753</v>
      </c>
      <c r="D384" s="11" t="s">
        <v>249</v>
      </c>
      <c r="E384" s="65" t="str">
        <f>VLOOKUP(D384,Total!$C$2:$D$518,2,0)</f>
        <v>11 TKR 4</v>
      </c>
      <c r="F384" s="65" t="str">
        <f>VLOOKUP(C384,Total!$B$2:$F$514,5,0)</f>
        <v>AKTIF</v>
      </c>
      <c r="G384" s="67" t="str">
        <f>VLOOKUP($B384,master!$B$3:$S$600,16,0)</f>
        <v>85877230286</v>
      </c>
      <c r="H384" s="67" t="str">
        <f>VLOOKUP($B384,master!$B$3:$S$600,17,0)</f>
        <v>0</v>
      </c>
      <c r="I384" s="67" t="str">
        <f>VLOOKUP($B384,master!$B$3:$S$600,8,0)</f>
        <v>SEYEGAN</v>
      </c>
      <c r="J384" s="67" t="str">
        <f>VLOOKUP($B384,master!$B$3:$S$600,9,0)</f>
        <v>7</v>
      </c>
      <c r="K384" s="67" t="str">
        <f>VLOOKUP($B384,master!$B$3:$S$600,11,0)</f>
        <v>SRIHARDONO</v>
      </c>
      <c r="L384" s="67" t="str">
        <f>VLOOKUP($B384,master!$B$3:$S$600,12,0)</f>
        <v>PUNDONG</v>
      </c>
      <c r="M384" s="67" t="str">
        <f>VLOOKUP($B384,master!$B$3:$S$600,6,0)</f>
        <v>SUROJO</v>
      </c>
      <c r="N384" s="82" t="str">
        <f>VLOOKUP($B384,master!$B$3:$S$600,15,0)</f>
        <v>SMP N 1 PUNDONG</v>
      </c>
      <c r="O384" s="82" t="str">
        <f>VLOOKUP($B384,master!$B$3:$S$600,4,0)</f>
        <v>7-08-2008</v>
      </c>
    </row>
    <row r="385" spans="1:15" ht="15.75" customHeight="1" x14ac:dyDescent="0.25">
      <c r="A385" s="80" t="s">
        <v>1318</v>
      </c>
      <c r="B385" s="11" t="s">
        <v>1303</v>
      </c>
      <c r="C385" s="11" t="s">
        <v>4754</v>
      </c>
      <c r="D385" s="11" t="s">
        <v>250</v>
      </c>
      <c r="E385" s="65" t="str">
        <f>VLOOKUP(D385,Total!$C$2:$D$518,2,0)</f>
        <v>11 TKR 4</v>
      </c>
      <c r="F385" s="65" t="str">
        <f>VLOOKUP(C385,Total!$B$2:$F$514,5,0)</f>
        <v>AKTIF</v>
      </c>
      <c r="G385" s="67" t="str">
        <f>VLOOKUP($B385,master!$B$3:$S$600,16,0)</f>
        <v>083172149140</v>
      </c>
      <c r="H385" s="67" t="str">
        <f>VLOOKUP($B385,master!$B$3:$S$600,17,0)</f>
        <v>08213455316</v>
      </c>
      <c r="I385" s="67" t="str">
        <f>VLOOKUP($B385,master!$B$3:$S$600,8,0)</f>
        <v>SANGRAHAN DK. BANTUL</v>
      </c>
      <c r="J385" s="67" t="str">
        <f>VLOOKUP($B385,master!$B$3:$S$600,9,0)</f>
        <v>02</v>
      </c>
      <c r="K385" s="67" t="str">
        <f>VLOOKUP($B385,master!$B$3:$S$600,11,0)</f>
        <v>RINGINHARJO</v>
      </c>
      <c r="L385" s="67" t="str">
        <f>VLOOKUP($B385,master!$B$3:$S$600,12,0)</f>
        <v>BANTUL</v>
      </c>
      <c r="M385" s="67" t="str">
        <f>VLOOKUP($B385,master!$B$3:$S$600,6,0)</f>
        <v>FATIMAH</v>
      </c>
      <c r="N385" s="82" t="str">
        <f>VLOOKUP($B385,master!$B$3:$S$600,15,0)</f>
        <v>SMP MUHAMMADIYAH 1 MOYUDAN</v>
      </c>
      <c r="O385" s="82" t="str">
        <f>VLOOKUP($B385,master!$B$3:$S$600,4,0)</f>
        <v>20-01-2009</v>
      </c>
    </row>
    <row r="386" spans="1:15" ht="15.75" customHeight="1" x14ac:dyDescent="0.25">
      <c r="A386" s="80" t="s">
        <v>1320</v>
      </c>
      <c r="B386" s="11" t="s">
        <v>1305</v>
      </c>
      <c r="C386" s="11" t="s">
        <v>4755</v>
      </c>
      <c r="D386" s="11" t="s">
        <v>251</v>
      </c>
      <c r="E386" s="65" t="str">
        <f>VLOOKUP(D386,Total!$C$2:$D$518,2,0)</f>
        <v>11 TKR 4</v>
      </c>
      <c r="F386" s="65" t="str">
        <f>VLOOKUP(C386,Total!$B$2:$F$514,5,0)</f>
        <v>AKTIF</v>
      </c>
      <c r="G386" s="67" t="str">
        <f>VLOOKUP($B386,master!$B$3:$S$600,16,0)</f>
        <v>08974344665/0882006192253</v>
      </c>
      <c r="H386" s="67" t="str">
        <f>VLOOKUP($B386,master!$B$3:$S$600,17,0)</f>
        <v>08974344665</v>
      </c>
      <c r="I386" s="67" t="str">
        <f>VLOOKUP($B386,master!$B$3:$S$600,8,0)</f>
        <v>PUNGKUR KULON DUSUN</v>
      </c>
      <c r="J386" s="67" t="str">
        <f>VLOOKUP($B386,master!$B$3:$S$600,9,0)</f>
        <v>008</v>
      </c>
      <c r="K386" s="67" t="str">
        <f>VLOOKUP($B386,master!$B$3:$S$600,11,0)</f>
        <v>PLERET</v>
      </c>
      <c r="L386" s="67" t="str">
        <f>VLOOKUP($B386,master!$B$3:$S$600,12,0)</f>
        <v>PLERET</v>
      </c>
      <c r="M386" s="67" t="str">
        <f>VLOOKUP($B386,master!$B$3:$S$600,6,0)</f>
        <v>SUGENG RIYADI</v>
      </c>
      <c r="N386" s="82" t="str">
        <f>VLOOKUP($B386,master!$B$3:$S$600,15,0)</f>
        <v>MTS ALMAHAD ANNUR</v>
      </c>
      <c r="O386" s="82" t="str">
        <f>VLOOKUP($B386,master!$B$3:$S$600,4,0)</f>
        <v>14-10-2008</v>
      </c>
    </row>
    <row r="387" spans="1:15" ht="15.75" customHeight="1" x14ac:dyDescent="0.25">
      <c r="A387" s="80" t="s">
        <v>1322</v>
      </c>
      <c r="B387" s="11" t="s">
        <v>1307</v>
      </c>
      <c r="C387" s="11" t="s">
        <v>4756</v>
      </c>
      <c r="D387" s="11" t="s">
        <v>252</v>
      </c>
      <c r="E387" s="65" t="str">
        <f>VLOOKUP(D387,Total!$C$2:$D$518,2,0)</f>
        <v>11 TKR 4</v>
      </c>
      <c r="F387" s="65" t="str">
        <f>VLOOKUP(C387,Total!$B$2:$F$514,5,0)</f>
        <v>AKTIF</v>
      </c>
      <c r="G387" s="67" t="str">
        <f>VLOOKUP($B387,master!$B$3:$S$600,16,0)</f>
        <v>085693538183</v>
      </c>
      <c r="H387" s="67" t="str">
        <f>VLOOKUP($B387,master!$B$3:$S$600,17,0)</f>
        <v>0895414324479</v>
      </c>
      <c r="I387" s="67" t="str">
        <f>VLOOKUP($B387,master!$B$3:$S$600,8,0)</f>
        <v>NGAGLIK</v>
      </c>
      <c r="J387" s="67" t="str">
        <f>VLOOKUP($B387,master!$B$3:$S$600,9,0)</f>
        <v>12</v>
      </c>
      <c r="K387" s="67" t="str">
        <f>VLOOKUP($B387,master!$B$3:$S$600,11,0)</f>
        <v>PATALAN</v>
      </c>
      <c r="L387" s="67" t="str">
        <f>VLOOKUP($B387,master!$B$3:$S$600,12,0)</f>
        <v>JETIS</v>
      </c>
      <c r="M387" s="67" t="str">
        <f>VLOOKUP($B387,master!$B$3:$S$600,6,0)</f>
        <v>NUNGKI MURWATI</v>
      </c>
      <c r="N387" s="82" t="str">
        <f>VLOOKUP($B387,master!$B$3:$S$600,15,0)</f>
        <v>SMP MUHAMMADIYAH 1 JETIS</v>
      </c>
      <c r="O387" s="82" t="str">
        <f>VLOOKUP($B387,master!$B$3:$S$600,4,0)</f>
        <v>19-06-2009</v>
      </c>
    </row>
    <row r="388" spans="1:15" ht="15.75" customHeight="1" x14ac:dyDescent="0.25">
      <c r="A388" s="80" t="s">
        <v>1324</v>
      </c>
      <c r="B388" s="11" t="s">
        <v>1309</v>
      </c>
      <c r="C388" s="11" t="s">
        <v>4757</v>
      </c>
      <c r="D388" s="11" t="s">
        <v>253</v>
      </c>
      <c r="E388" s="65" t="str">
        <f>VLOOKUP(D388,Total!$C$2:$D$518,2,0)</f>
        <v>11 TKR 4</v>
      </c>
      <c r="F388" s="65" t="str">
        <f>VLOOKUP(C388,Total!$B$2:$F$514,5,0)</f>
        <v>AKTIF</v>
      </c>
      <c r="G388" s="67" t="str">
        <f>VLOOKUP($B388,master!$B$3:$S$600,16,0)</f>
        <v>83105002308</v>
      </c>
      <c r="H388" s="67" t="str">
        <f>VLOOKUP($B388,master!$B$3:$S$600,17,0)</f>
        <v>0</v>
      </c>
      <c r="I388" s="67" t="str">
        <f>VLOOKUP($B388,master!$B$3:$S$600,8,0)</f>
        <v>BATANG GEDE</v>
      </c>
      <c r="J388" s="67" t="str">
        <f>VLOOKUP($B388,master!$B$3:$S$600,9,0)</f>
        <v>1</v>
      </c>
      <c r="K388" s="67" t="str">
        <f>VLOOKUP($B388,master!$B$3:$S$600,11,0)</f>
        <v>TAMBAKREJO</v>
      </c>
      <c r="L388" s="67" t="str">
        <f>VLOOKUP($B388,master!$B$3:$S$600,12,0)</f>
        <v>TEMPEL</v>
      </c>
      <c r="M388" s="67" t="str">
        <f>VLOOKUP($B388,master!$B$3:$S$600,6,0)</f>
        <v>DENY FERDIYANTO</v>
      </c>
      <c r="N388" s="82" t="str">
        <f>VLOOKUP($B388,master!$B$3:$S$600,15,0)</f>
        <v>SMP MUHAMMADIYAH BANTUL</v>
      </c>
      <c r="O388" s="82" t="str">
        <f>VLOOKUP($B388,master!$B$3:$S$600,4,0)</f>
        <v>18-01-2009</v>
      </c>
    </row>
    <row r="389" spans="1:15" ht="15.75" customHeight="1" x14ac:dyDescent="0.25">
      <c r="A389" s="80" t="s">
        <v>1326</v>
      </c>
      <c r="B389" s="11" t="s">
        <v>1311</v>
      </c>
      <c r="C389" s="11" t="s">
        <v>4758</v>
      </c>
      <c r="D389" s="11" t="s">
        <v>254</v>
      </c>
      <c r="E389" s="65" t="str">
        <f>VLOOKUP(D389,Total!$C$2:$D$518,2,0)</f>
        <v>11 TKR 4</v>
      </c>
      <c r="F389" s="65" t="str">
        <f>VLOOKUP(C389,Total!$B$2:$F$514,5,0)</f>
        <v>KELUAR</v>
      </c>
      <c r="G389" s="67" t="str">
        <f>VLOOKUP($B389,master!$B$3:$S$600,16,0)</f>
        <v>081228492952</v>
      </c>
      <c r="H389" s="67" t="str">
        <f>VLOOKUP($B389,master!$B$3:$S$600,17,0)</f>
        <v>-</v>
      </c>
      <c r="I389" s="67" t="str">
        <f>VLOOKUP($B389,master!$B$3:$S$600,8,0)</f>
        <v>BANARAN</v>
      </c>
      <c r="J389" s="67" t="str">
        <f>VLOOKUP($B389,master!$B$3:$S$600,9,0)</f>
        <v>2</v>
      </c>
      <c r="K389" s="67" t="str">
        <f>VLOOKUP($B389,master!$B$3:$S$600,11,0)</f>
        <v>GILANGHARJO</v>
      </c>
      <c r="L389" s="67" t="str">
        <f>VLOOKUP($B389,master!$B$3:$S$600,12,0)</f>
        <v>PANDAK</v>
      </c>
      <c r="M389" s="67" t="str">
        <f>VLOOKUP($B389,master!$B$3:$S$600,6,0)</f>
        <v>SUPRIYONO</v>
      </c>
      <c r="N389" s="82" t="str">
        <f>VLOOKUP($B389,master!$B$3:$S$600,15,0)</f>
        <v>SMP N 1 PANDAK</v>
      </c>
      <c r="O389" s="82" t="str">
        <f>VLOOKUP($B389,master!$B$3:$S$600,4,0)</f>
        <v>12-12-2008</v>
      </c>
    </row>
    <row r="390" spans="1:15" ht="15.75" customHeight="1" x14ac:dyDescent="0.25">
      <c r="A390" s="80" t="s">
        <v>1328</v>
      </c>
      <c r="B390" s="11" t="s">
        <v>1313</v>
      </c>
      <c r="C390" s="11" t="s">
        <v>4760</v>
      </c>
      <c r="D390" s="11" t="s">
        <v>255</v>
      </c>
      <c r="E390" s="65" t="str">
        <f>VLOOKUP(D390,Total!$C$2:$D$518,2,0)</f>
        <v>11 TKR 4</v>
      </c>
      <c r="F390" s="65" t="str">
        <f>VLOOKUP(C390,Total!$B$2:$F$514,5,0)</f>
        <v>AKTIF</v>
      </c>
      <c r="G390" s="67" t="str">
        <f>VLOOKUP($B390,master!$B$3:$S$600,16,0)</f>
        <v>085712974645</v>
      </c>
      <c r="H390" s="67" t="str">
        <f>VLOOKUP($B390,master!$B$3:$S$600,17,0)</f>
        <v>085876222721</v>
      </c>
      <c r="I390" s="67" t="str">
        <f>VLOOKUP($B390,master!$B$3:$S$600,8,0)</f>
        <v>JADAN</v>
      </c>
      <c r="J390" s="67" t="str">
        <f>VLOOKUP($B390,master!$B$3:$S$600,9,0)</f>
        <v>6</v>
      </c>
      <c r="K390" s="67" t="str">
        <f>VLOOKUP($B390,master!$B$3:$S$600,11,0)</f>
        <v>TAMANTIRTO</v>
      </c>
      <c r="L390" s="67" t="str">
        <f>VLOOKUP($B390,master!$B$3:$S$600,12,0)</f>
        <v>KASIHAN</v>
      </c>
      <c r="M390" s="67" t="str">
        <f>VLOOKUP($B390,master!$B$3:$S$600,6,0)</f>
        <v>Harsi Guntarini</v>
      </c>
      <c r="N390" s="82" t="str">
        <f>VLOOKUP($B390,master!$B$3:$S$600,15,0)</f>
        <v>SMP N 2 KASIHAN</v>
      </c>
      <c r="O390" s="82" t="str">
        <f>VLOOKUP($B390,master!$B$3:$S$600,4,0)</f>
        <v>29-10-2008</v>
      </c>
    </row>
    <row r="391" spans="1:15" ht="15.75" customHeight="1" x14ac:dyDescent="0.25">
      <c r="A391" s="80" t="s">
        <v>1330</v>
      </c>
      <c r="B391" s="11" t="s">
        <v>1315</v>
      </c>
      <c r="C391" s="11" t="s">
        <v>4761</v>
      </c>
      <c r="D391" s="11" t="s">
        <v>256</v>
      </c>
      <c r="E391" s="65" t="str">
        <f>VLOOKUP(D391,Total!$C$2:$D$518,2,0)</f>
        <v>11 TKR 4</v>
      </c>
      <c r="F391" s="65" t="str">
        <f>VLOOKUP(C391,Total!$B$2:$F$514,5,0)</f>
        <v>AKTIF</v>
      </c>
      <c r="G391" s="67" t="str">
        <f>VLOOKUP($B391,master!$B$3:$S$600,16,0)</f>
        <v>89504030906</v>
      </c>
      <c r="H391" s="67" t="str">
        <f>VLOOKUP($B391,master!$B$3:$S$600,17,0)</f>
        <v>0</v>
      </c>
      <c r="I391" s="67" t="str">
        <f>VLOOKUP($B391,master!$B$3:$S$600,8,0)</f>
        <v>SIDOMUKTI 1</v>
      </c>
      <c r="J391" s="67" t="str">
        <f>VLOOKUP($B391,master!$B$3:$S$600,9,0)</f>
        <v>10</v>
      </c>
      <c r="K391" s="67" t="str">
        <f>VLOOKUP($B391,master!$B$3:$S$600,11,0)</f>
        <v>ANTAR BRAK</v>
      </c>
      <c r="L391" s="67" t="str">
        <f>VLOOKUP($B391,master!$B$3:$S$600,12,0)</f>
        <v>LIMAU</v>
      </c>
      <c r="M391" s="67" t="str">
        <f>VLOOKUP($B391,master!$B$3:$S$600,6,0)</f>
        <v>PHANPACAI SUWAN</v>
      </c>
      <c r="N391" s="82" t="str">
        <f>VLOOKUP($B391,master!$B$3:$S$600,15,0)</f>
        <v>SMP ISLAM TERPADU INSAN MULIA BOARD</v>
      </c>
      <c r="O391" s="82" t="str">
        <f>VLOOKUP($B391,master!$B$3:$S$600,4,0)</f>
        <v>23-09-2008</v>
      </c>
    </row>
    <row r="392" spans="1:15" ht="15.75" customHeight="1" x14ac:dyDescent="0.25">
      <c r="A392" s="80" t="s">
        <v>1332</v>
      </c>
      <c r="B392" s="11" t="s">
        <v>1317</v>
      </c>
      <c r="C392" s="11" t="s">
        <v>4762</v>
      </c>
      <c r="D392" s="11" t="s">
        <v>257</v>
      </c>
      <c r="E392" s="65" t="str">
        <f>VLOOKUP(D392,Total!$C$2:$D$518,2,0)</f>
        <v>11 TKR 4</v>
      </c>
      <c r="F392" s="65" t="str">
        <f>VLOOKUP(C392,Total!$B$2:$F$514,5,0)</f>
        <v>AKTIF</v>
      </c>
      <c r="G392" s="67" t="str">
        <f>VLOOKUP($B392,master!$B$3:$S$600,16,0)</f>
        <v>08214355851</v>
      </c>
      <c r="H392" s="67" t="str">
        <f>VLOOKUP($B392,master!$B$3:$S$600,17,0)</f>
        <v>085643618184</v>
      </c>
      <c r="I392" s="67" t="str">
        <f>VLOOKUP($B392,master!$B$3:$S$600,8,0)</f>
        <v>PERUM KASONGAN PERMA</v>
      </c>
      <c r="J392" s="67" t="str">
        <f>VLOOKUP($B392,master!$B$3:$S$600,9,0)</f>
        <v>75</v>
      </c>
      <c r="K392" s="67" t="str">
        <f>VLOOKUP($B392,master!$B$3:$S$600,11,0)</f>
        <v>PENDOWOHARJO</v>
      </c>
      <c r="L392" s="67" t="str">
        <f>VLOOKUP($B392,master!$B$3:$S$600,12,0)</f>
        <v>SEWON</v>
      </c>
      <c r="M392" s="67" t="str">
        <f>VLOOKUP($B392,master!$B$3:$S$600,6,0)</f>
        <v>Nandang Pratungko</v>
      </c>
      <c r="N392" s="82" t="str">
        <f>VLOOKUP($B392,master!$B$3:$S$600,15,0)</f>
        <v>SMP N 2 LENDAH</v>
      </c>
      <c r="O392" s="82" t="str">
        <f>VLOOKUP($B392,master!$B$3:$S$600,4,0)</f>
        <v>11-06-2008</v>
      </c>
    </row>
    <row r="393" spans="1:15" ht="15.75" customHeight="1" x14ac:dyDescent="0.25">
      <c r="A393" s="80" t="s">
        <v>1334</v>
      </c>
      <c r="B393" s="11" t="s">
        <v>1319</v>
      </c>
      <c r="C393" s="11" t="s">
        <v>4763</v>
      </c>
      <c r="D393" s="11" t="s">
        <v>258</v>
      </c>
      <c r="E393" s="65" t="str">
        <f>VLOOKUP(D393,Total!$C$2:$D$518,2,0)</f>
        <v>11 TKR 4</v>
      </c>
      <c r="F393" s="65" t="str">
        <f>VLOOKUP(C393,Total!$B$2:$F$514,5,0)</f>
        <v>AKTIF</v>
      </c>
      <c r="G393" s="67" t="str">
        <f>VLOOKUP($B393,master!$B$3:$S$600,16,0)</f>
        <v>088225086045</v>
      </c>
      <c r="H393" s="67" t="str">
        <f>VLOOKUP($B393,master!$B$3:$S$600,17,0)</f>
        <v>088232433615</v>
      </c>
      <c r="I393" s="67" t="str">
        <f>VLOOKUP($B393,master!$B$3:$S$600,8,0)</f>
        <v>NGASEM</v>
      </c>
      <c r="J393" s="67" t="str">
        <f>VLOOKUP($B393,master!$B$3:$S$600,9,0)</f>
        <v>05</v>
      </c>
      <c r="K393" s="67" t="str">
        <f>VLOOKUP($B393,master!$B$3:$S$600,11,0)</f>
        <v>TIMBULHARJO</v>
      </c>
      <c r="L393" s="67" t="str">
        <f>VLOOKUP($B393,master!$B$3:$S$600,12,0)</f>
        <v>SEWON</v>
      </c>
      <c r="M393" s="67" t="str">
        <f>VLOOKUP($B393,master!$B$3:$S$600,6,0)</f>
        <v>Juwariyanti</v>
      </c>
      <c r="N393" s="82" t="str">
        <f>VLOOKUP($B393,master!$B$3:$S$600,15,0)</f>
        <v>MTS N 2 BANTUL</v>
      </c>
      <c r="O393" s="82" t="str">
        <f>VLOOKUP($B393,master!$B$3:$S$600,4,0)</f>
        <v>20-11-2008</v>
      </c>
    </row>
    <row r="394" spans="1:15" ht="15.75" customHeight="1" x14ac:dyDescent="0.25">
      <c r="A394" s="80" t="s">
        <v>1336</v>
      </c>
      <c r="B394" s="11" t="s">
        <v>1321</v>
      </c>
      <c r="C394" s="11" t="s">
        <v>4764</v>
      </c>
      <c r="D394" s="11" t="s">
        <v>259</v>
      </c>
      <c r="E394" s="65" t="str">
        <f>VLOOKUP(D394,Total!$C$2:$D$518,2,0)</f>
        <v>11 TKR 4</v>
      </c>
      <c r="F394" s="65" t="str">
        <f>VLOOKUP(C394,Total!$B$2:$F$514,5,0)</f>
        <v>AKTIF</v>
      </c>
      <c r="G394" s="67" t="str">
        <f>VLOOKUP($B394,master!$B$3:$S$600,16,0)</f>
        <v>085742549275</v>
      </c>
      <c r="H394" s="67" t="str">
        <f>VLOOKUP($B394,master!$B$3:$S$600,17,0)</f>
        <v>085876340295</v>
      </c>
      <c r="I394" s="67" t="str">
        <f>VLOOKUP($B394,master!$B$3:$S$600,8,0)</f>
        <v>NITEN</v>
      </c>
      <c r="J394" s="67" t="str">
        <f>VLOOKUP($B394,master!$B$3:$S$600,9,0)</f>
        <v>04</v>
      </c>
      <c r="K394" s="67" t="str">
        <f>VLOOKUP($B394,master!$B$3:$S$600,11,0)</f>
        <v>TRIRENGGO</v>
      </c>
      <c r="L394" s="67" t="str">
        <f>VLOOKUP($B394,master!$B$3:$S$600,12,0)</f>
        <v>BANTUL</v>
      </c>
      <c r="M394" s="67" t="str">
        <f>VLOOKUP($B394,master!$B$3:$S$600,6,0)</f>
        <v>Purwanti</v>
      </c>
      <c r="N394" s="82" t="str">
        <f>VLOOKUP($B394,master!$B$3:$S$600,15,0)</f>
        <v>SMP MUHAMMADIYAH BANTUL</v>
      </c>
      <c r="O394" s="82" t="str">
        <f>VLOOKUP($B394,master!$B$3:$S$600,4,0)</f>
        <v>26-02-2009</v>
      </c>
    </row>
    <row r="395" spans="1:15" ht="15.75" customHeight="1" x14ac:dyDescent="0.25">
      <c r="A395" s="80" t="s">
        <v>1338</v>
      </c>
      <c r="B395" s="11" t="s">
        <v>1323</v>
      </c>
      <c r="C395" s="11" t="s">
        <v>4765</v>
      </c>
      <c r="D395" s="11" t="s">
        <v>260</v>
      </c>
      <c r="E395" s="65" t="str">
        <f>VLOOKUP(D395,Total!$C$2:$D$518,2,0)</f>
        <v>11 TKR 4</v>
      </c>
      <c r="F395" s="65" t="str">
        <f>VLOOKUP(C395,Total!$B$2:$F$514,5,0)</f>
        <v>AKTIF</v>
      </c>
      <c r="G395" s="67" t="str">
        <f>VLOOKUP($B395,master!$B$3:$S$600,16,0)</f>
        <v>085225421313</v>
      </c>
      <c r="H395" s="67" t="str">
        <f>VLOOKUP($B395,master!$B$3:$S$600,17,0)</f>
        <v>085727440121</v>
      </c>
      <c r="I395" s="67" t="str">
        <f>VLOOKUP($B395,master!$B$3:$S$600,8,0)</f>
        <v>NGIBIKAN</v>
      </c>
      <c r="J395" s="67" t="str">
        <f>VLOOKUP($B395,master!$B$3:$S$600,9,0)</f>
        <v>4</v>
      </c>
      <c r="K395" s="67" t="str">
        <f>VLOOKUP($B395,master!$B$3:$S$600,11,0)</f>
        <v>CANDEN</v>
      </c>
      <c r="L395" s="67" t="str">
        <f>VLOOKUP($B395,master!$B$3:$S$600,12,0)</f>
        <v>JETIS</v>
      </c>
      <c r="M395" s="67" t="str">
        <f>VLOOKUP($B395,master!$B$3:$S$600,6,0)</f>
        <v>BURHANUDIN MAHMUDI</v>
      </c>
      <c r="N395" s="82" t="str">
        <f>VLOOKUP($B395,master!$B$3:$S$600,15,0)</f>
        <v>SMP N 2 PUNDONG</v>
      </c>
      <c r="O395" s="82" t="str">
        <f>VLOOKUP($B395,master!$B$3:$S$600,4,0)</f>
        <v>21-03-2009</v>
      </c>
    </row>
    <row r="396" spans="1:15" ht="15.75" customHeight="1" x14ac:dyDescent="0.25">
      <c r="A396" s="80" t="s">
        <v>1340</v>
      </c>
      <c r="B396" s="11" t="s">
        <v>1325</v>
      </c>
      <c r="C396" s="11" t="s">
        <v>4766</v>
      </c>
      <c r="D396" s="11" t="s">
        <v>5094</v>
      </c>
      <c r="E396" s="65" t="str">
        <f>VLOOKUP(D396,Total!$C$2:$D$518,2,0)</f>
        <v>11 TKR 4</v>
      </c>
      <c r="F396" s="65" t="str">
        <f>VLOOKUP(C396,Total!$B$2:$F$514,5,0)</f>
        <v>AKTIF</v>
      </c>
      <c r="G396" s="67" t="str">
        <f>VLOOKUP($B396,master!$B$3:$S$600,16,0)</f>
        <v>081237498878 / 081326015008</v>
      </c>
      <c r="H396" s="67" t="str">
        <f>VLOOKUP($B396,master!$B$3:$S$600,17,0)</f>
        <v>089671711842</v>
      </c>
      <c r="I396" s="67" t="str">
        <f>VLOOKUP($B396,master!$B$3:$S$600,8,0)</f>
        <v>Nulis Geblagan</v>
      </c>
      <c r="J396" s="67" t="str">
        <f>VLOOKUP($B396,master!$B$3:$S$600,9,0)</f>
        <v>003</v>
      </c>
      <c r="K396" s="67" t="str">
        <f>VLOOKUP($B396,master!$B$3:$S$600,11,0)</f>
        <v>TAMANTIRTO</v>
      </c>
      <c r="L396" s="67" t="str">
        <f>VLOOKUP($B396,master!$B$3:$S$600,12,0)</f>
        <v>KASIHAN</v>
      </c>
      <c r="M396" s="67" t="str">
        <f>VLOOKUP($B396,master!$B$3:$S$600,6,0)</f>
        <v>Nur Wahyu / Teti Eliyana</v>
      </c>
      <c r="N396" s="82" t="str">
        <f>VLOOKUP($B396,master!$B$3:$S$600,15,0)</f>
        <v>SMP N 3 KASIHAN</v>
      </c>
      <c r="O396" s="82" t="str">
        <f>VLOOKUP($B396,master!$B$3:$S$600,4,0)</f>
        <v>30-06-2009</v>
      </c>
    </row>
    <row r="397" spans="1:15" ht="15.75" customHeight="1" x14ac:dyDescent="0.25">
      <c r="A397" s="80" t="s">
        <v>1342</v>
      </c>
      <c r="B397" s="11" t="s">
        <v>1327</v>
      </c>
      <c r="C397" s="11" t="s">
        <v>4767</v>
      </c>
      <c r="D397" s="11" t="s">
        <v>261</v>
      </c>
      <c r="E397" s="65" t="str">
        <f>VLOOKUP(D397,Total!$C$2:$D$518,2,0)</f>
        <v>11 TKR 4</v>
      </c>
      <c r="F397" s="65" t="str">
        <f>VLOOKUP(C397,Total!$B$2:$F$514,5,0)</f>
        <v>AKTIF</v>
      </c>
      <c r="G397" s="67" t="str">
        <f>VLOOKUP($B397,master!$B$3:$S$600,16,0)</f>
        <v>08170428657</v>
      </c>
      <c r="H397" s="67" t="str">
        <f>VLOOKUP($B397,master!$B$3:$S$600,17,0)</f>
        <v>081393796653</v>
      </c>
      <c r="I397" s="67" t="str">
        <f>VLOOKUP($B397,master!$B$3:$S$600,8,0)</f>
        <v>KORIPAN I</v>
      </c>
      <c r="J397" s="67" t="str">
        <f>VLOOKUP($B397,master!$B$3:$S$600,9,0)</f>
        <v>3</v>
      </c>
      <c r="K397" s="67" t="str">
        <f>VLOOKUP($B397,master!$B$3:$S$600,11,0)</f>
        <v>DLINGO</v>
      </c>
      <c r="L397" s="67" t="str">
        <f>VLOOKUP($B397,master!$B$3:$S$600,12,0)</f>
        <v>DLINGO</v>
      </c>
      <c r="M397" s="67" t="str">
        <f>VLOOKUP($B397,master!$B$3:$S$600,6,0)</f>
        <v>ELAN SETIAWAN / YULIANTI</v>
      </c>
      <c r="N397" s="82" t="str">
        <f>VLOOKUP($B397,master!$B$3:$S$600,15,0)</f>
        <v>SMP N 1 IMOGIRI</v>
      </c>
      <c r="O397" s="82" t="str">
        <f>VLOOKUP($B397,master!$B$3:$S$600,4,0)</f>
        <v>26-04-2009</v>
      </c>
    </row>
    <row r="398" spans="1:15" ht="15.75" customHeight="1" x14ac:dyDescent="0.25">
      <c r="A398" s="80" t="s">
        <v>1344</v>
      </c>
      <c r="B398" s="11" t="s">
        <v>1329</v>
      </c>
      <c r="C398" s="11" t="s">
        <v>4768</v>
      </c>
      <c r="D398" s="11" t="s">
        <v>262</v>
      </c>
      <c r="E398" s="65" t="str">
        <f>VLOOKUP(D398,Total!$C$2:$D$518,2,0)</f>
        <v>11 TKR 4</v>
      </c>
      <c r="F398" s="65" t="str">
        <f>VLOOKUP(C398,Total!$B$2:$F$514,5,0)</f>
        <v>AKTIF</v>
      </c>
      <c r="G398" s="67" t="str">
        <f>VLOOKUP($B398,master!$B$3:$S$600,16,0)</f>
        <v>088228858259</v>
      </c>
      <c r="H398" s="67" t="str">
        <f>VLOOKUP($B398,master!$B$3:$S$600,17,0)</f>
        <v>0882007388686</v>
      </c>
      <c r="I398" s="67" t="str">
        <f>VLOOKUP($B398,master!$B$3:$S$600,8,0)</f>
        <v>CANGAPAN</v>
      </c>
      <c r="J398" s="67" t="str">
        <f>VLOOKUP($B398,master!$B$3:$S$600,9,0)</f>
        <v>071</v>
      </c>
      <c r="K398" s="67" t="str">
        <f>VLOOKUP($B398,master!$B$3:$S$600,11,0)</f>
        <v>PATALAN</v>
      </c>
      <c r="L398" s="67" t="str">
        <f>VLOOKUP($B398,master!$B$3:$S$600,12,0)</f>
        <v>JETIS</v>
      </c>
      <c r="M398" s="67" t="str">
        <f>VLOOKUP($B398,master!$B$3:$S$600,6,0)</f>
        <v>Purwanto</v>
      </c>
      <c r="N398" s="82" t="str">
        <f>VLOOKUP($B398,master!$B$3:$S$600,15,0)</f>
        <v>SMP N 3 JETIS</v>
      </c>
      <c r="O398" s="82" t="str">
        <f>VLOOKUP($B398,master!$B$3:$S$600,4,0)</f>
        <v>24-11-2008</v>
      </c>
    </row>
    <row r="399" spans="1:15" ht="15.75" customHeight="1" x14ac:dyDescent="0.25">
      <c r="A399" s="80" t="s">
        <v>1346</v>
      </c>
      <c r="B399" s="11" t="s">
        <v>1331</v>
      </c>
      <c r="C399" s="11" t="s">
        <v>4769</v>
      </c>
      <c r="D399" s="11" t="s">
        <v>263</v>
      </c>
      <c r="E399" s="65" t="str">
        <f>VLOOKUP(D399,Total!$C$2:$D$518,2,0)</f>
        <v>11 TKR 4</v>
      </c>
      <c r="F399" s="65" t="str">
        <f>VLOOKUP(C399,Total!$B$2:$F$514,5,0)</f>
        <v>AKTIF</v>
      </c>
      <c r="G399" s="67" t="str">
        <f>VLOOKUP($B399,master!$B$3:$S$600,16,0)</f>
        <v>08974332560</v>
      </c>
      <c r="H399" s="67" t="str">
        <f>VLOOKUP($B399,master!$B$3:$S$600,17,0)</f>
        <v>089616350010</v>
      </c>
      <c r="I399" s="67" t="str">
        <f>VLOOKUP($B399,master!$B$3:$S$600,8,0)</f>
        <v>KARANGJATI</v>
      </c>
      <c r="J399" s="67" t="str">
        <f>VLOOKUP($B399,master!$B$3:$S$600,9,0)</f>
        <v>9</v>
      </c>
      <c r="K399" s="67" t="str">
        <f>VLOOKUP($B399,master!$B$3:$S$600,11,0)</f>
        <v>TAMANTIRTO</v>
      </c>
      <c r="L399" s="67" t="str">
        <f>VLOOKUP($B399,master!$B$3:$S$600,12,0)</f>
        <v>KASIHAN</v>
      </c>
      <c r="M399" s="67" t="str">
        <f>VLOOKUP($B399,master!$B$3:$S$600,6,0)</f>
        <v>Supriyanto</v>
      </c>
      <c r="N399" s="82" t="str">
        <f>VLOOKUP($B399,master!$B$3:$S$600,15,0)</f>
        <v>SMP N 3 KASIHAN</v>
      </c>
      <c r="O399" s="82" t="str">
        <f>VLOOKUP($B399,master!$B$3:$S$600,4,0)</f>
        <v>8-09-2008</v>
      </c>
    </row>
    <row r="400" spans="1:15" ht="15.75" customHeight="1" x14ac:dyDescent="0.25">
      <c r="A400" s="80" t="s">
        <v>1348</v>
      </c>
      <c r="B400" s="11" t="s">
        <v>1333</v>
      </c>
      <c r="C400" s="11" t="s">
        <v>4770</v>
      </c>
      <c r="D400" s="11" t="s">
        <v>264</v>
      </c>
      <c r="E400" s="65" t="str">
        <f>VLOOKUP(D400,Total!$C$2:$D$518,2,0)</f>
        <v>11 TKR 4</v>
      </c>
      <c r="F400" s="65" t="str">
        <f>VLOOKUP(C400,Total!$B$2:$F$514,5,0)</f>
        <v>AKTIF</v>
      </c>
      <c r="G400" s="67" t="str">
        <f>VLOOKUP($B400,master!$B$3:$S$600,16,0)</f>
        <v>088901253925</v>
      </c>
      <c r="H400" s="67" t="str">
        <f>VLOOKUP($B400,master!$B$3:$S$600,17,0)</f>
        <v>-</v>
      </c>
      <c r="I400" s="67" t="str">
        <f>VLOOKUP($B400,master!$B$3:$S$600,8,0)</f>
        <v>CIKALAN</v>
      </c>
      <c r="J400" s="67" t="str">
        <f>VLOOKUP($B400,master!$B$3:$S$600,9,0)</f>
        <v>2</v>
      </c>
      <c r="K400" s="67" t="str">
        <f>VLOOKUP($B400,master!$B$3:$S$600,11,0)</f>
        <v>BANGUNJIWO</v>
      </c>
      <c r="L400" s="67" t="str">
        <f>VLOOKUP($B400,master!$B$3:$S$600,12,0)</f>
        <v>KASIHAN</v>
      </c>
      <c r="M400" s="67" t="str">
        <f>VLOOKUP($B400,master!$B$3:$S$600,6,0)</f>
        <v>NURYANTI</v>
      </c>
      <c r="N400" s="82" t="str">
        <f>VLOOKUP($B400,master!$B$3:$S$600,15,0)</f>
        <v>MTS MUHAMMADIYAH KASIHAN</v>
      </c>
      <c r="O400" s="82" t="str">
        <f>VLOOKUP($B400,master!$B$3:$S$600,4,0)</f>
        <v>13-01-2009</v>
      </c>
    </row>
    <row r="401" spans="1:15" ht="15.75" customHeight="1" x14ac:dyDescent="0.25">
      <c r="A401" s="80" t="s">
        <v>1350</v>
      </c>
      <c r="B401" s="11" t="s">
        <v>1335</v>
      </c>
      <c r="C401" s="11" t="s">
        <v>4771</v>
      </c>
      <c r="D401" s="11" t="s">
        <v>265</v>
      </c>
      <c r="E401" s="65" t="str">
        <f>VLOOKUP(D401,Total!$C$2:$D$518,2,0)</f>
        <v>11 TKR 4</v>
      </c>
      <c r="F401" s="65" t="str">
        <f>VLOOKUP(C401,Total!$B$2:$F$514,5,0)</f>
        <v>AKTIF</v>
      </c>
      <c r="G401" s="67" t="str">
        <f>VLOOKUP($B401,master!$B$3:$S$600,16,0)</f>
        <v>082329548524</v>
      </c>
      <c r="H401" s="67" t="str">
        <f>VLOOKUP($B401,master!$B$3:$S$600,17,0)</f>
        <v>085877512896</v>
      </c>
      <c r="I401" s="67" t="str">
        <f>VLOOKUP($B401,master!$B$3:$S$600,8,0)</f>
        <v>BAKALAN LOR</v>
      </c>
      <c r="J401" s="67" t="str">
        <f>VLOOKUP($B401,master!$B$3:$S$600,9,0)</f>
        <v>51</v>
      </c>
      <c r="K401" s="67" t="str">
        <f>VLOOKUP($B401,master!$B$3:$S$600,11,0)</f>
        <v>PENDOWOHARJO</v>
      </c>
      <c r="L401" s="67" t="str">
        <f>VLOOKUP($B401,master!$B$3:$S$600,12,0)</f>
        <v>SEWON</v>
      </c>
      <c r="M401" s="67" t="str">
        <f>VLOOKUP($B401,master!$B$3:$S$600,6,0)</f>
        <v>MUNDHOFAR</v>
      </c>
      <c r="N401" s="82" t="str">
        <f>VLOOKUP($B401,master!$B$3:$S$600,15,0)</f>
        <v>SMP MUHAMMADIYAH BANTUL</v>
      </c>
      <c r="O401" s="82" t="str">
        <f>VLOOKUP($B401,master!$B$3:$S$600,4,0)</f>
        <v>21-03-2007</v>
      </c>
    </row>
    <row r="402" spans="1:15" ht="15.75" customHeight="1" x14ac:dyDescent="0.25">
      <c r="A402" s="80" t="s">
        <v>1352</v>
      </c>
      <c r="B402" s="11" t="s">
        <v>1337</v>
      </c>
      <c r="C402" s="11" t="s">
        <v>4772</v>
      </c>
      <c r="D402" s="11" t="s">
        <v>266</v>
      </c>
      <c r="E402" s="65" t="str">
        <f>VLOOKUP(D402,Total!$C$2:$D$518,2,0)</f>
        <v>11 TKR 4</v>
      </c>
      <c r="F402" s="65" t="str">
        <f>VLOOKUP(C402,Total!$B$2:$F$514,5,0)</f>
        <v>AKTIF</v>
      </c>
      <c r="G402" s="67" t="str">
        <f>VLOOKUP($B402,master!$B$3:$S$600,16,0)</f>
        <v>85801125968</v>
      </c>
      <c r="H402" s="67" t="str">
        <f>VLOOKUP($B402,master!$B$3:$S$600,17,0)</f>
        <v>0</v>
      </c>
      <c r="I402" s="67" t="str">
        <f>VLOOKUP($B402,master!$B$3:$S$600,8,0)</f>
        <v>DUKUNAN</v>
      </c>
      <c r="J402" s="67" t="str">
        <f>VLOOKUP($B402,master!$B$3:$S$600,9,0)</f>
        <v>2</v>
      </c>
      <c r="K402" s="67" t="str">
        <f>VLOOKUP($B402,master!$B$3:$S$600,11,0)</f>
        <v>GILANGHARJO</v>
      </c>
      <c r="L402" s="67" t="str">
        <f>VLOOKUP($B402,master!$B$3:$S$600,12,0)</f>
        <v>PANDAK</v>
      </c>
      <c r="M402" s="67" t="str">
        <f>VLOOKUP($B402,master!$B$3:$S$600,6,0)</f>
        <v>KELIK SUMARYANTO</v>
      </c>
      <c r="N402" s="82" t="str">
        <f>VLOOKUP($B402,master!$B$3:$S$600,15,0)</f>
        <v>SMP N 1 PANDAK</v>
      </c>
      <c r="O402" s="82" t="str">
        <f>VLOOKUP($B402,master!$B$3:$S$600,4,0)</f>
        <v>12-03-2009</v>
      </c>
    </row>
    <row r="403" spans="1:15" ht="15.75" customHeight="1" x14ac:dyDescent="0.25">
      <c r="A403" s="80" t="s">
        <v>1354</v>
      </c>
      <c r="B403" s="11" t="s">
        <v>1339</v>
      </c>
      <c r="C403" s="11" t="s">
        <v>4773</v>
      </c>
      <c r="D403" s="11" t="s">
        <v>267</v>
      </c>
      <c r="E403" s="65" t="str">
        <f>VLOOKUP(D403,Total!$C$2:$D$518,2,0)</f>
        <v>11 TKR 4</v>
      </c>
      <c r="F403" s="65" t="str">
        <f>VLOOKUP(C403,Total!$B$2:$F$514,5,0)</f>
        <v>AKTIF</v>
      </c>
      <c r="G403" s="67" t="str">
        <f>VLOOKUP($B403,master!$B$3:$S$600,16,0)</f>
        <v>8818545289</v>
      </c>
      <c r="H403" s="67" t="str">
        <f>VLOOKUP($B403,master!$B$3:$S$600,17,0)</f>
        <v>0</v>
      </c>
      <c r="I403" s="67" t="str">
        <f>VLOOKUP($B403,master!$B$3:$S$600,8,0)</f>
        <v>GODEGAN</v>
      </c>
      <c r="J403" s="67" t="str">
        <f>VLOOKUP($B403,master!$B$3:$S$600,9,0)</f>
        <v>1</v>
      </c>
      <c r="K403" s="67" t="str">
        <f>VLOOKUP($B403,master!$B$3:$S$600,11,0)</f>
        <v>PONCOSARI</v>
      </c>
      <c r="L403" s="67" t="str">
        <f>VLOOKUP($B403,master!$B$3:$S$600,12,0)</f>
        <v>SRANDAKAN</v>
      </c>
      <c r="M403" s="67" t="str">
        <f>VLOOKUP($B403,master!$B$3:$S$600,6,0)</f>
        <v>SURONTO</v>
      </c>
      <c r="N403" s="82" t="str">
        <f>VLOOKUP($B403,master!$B$3:$S$600,15,0)</f>
        <v>SMP N 2 SRANDAKAN</v>
      </c>
      <c r="O403" s="82" t="str">
        <f>VLOOKUP($B403,master!$B$3:$S$600,4,0)</f>
        <v>5-12-2008</v>
      </c>
    </row>
    <row r="404" spans="1:15" ht="15.75" customHeight="1" x14ac:dyDescent="0.25">
      <c r="A404" s="80" t="s">
        <v>1356</v>
      </c>
      <c r="B404" s="11" t="s">
        <v>1341</v>
      </c>
      <c r="C404" s="11" t="s">
        <v>4774</v>
      </c>
      <c r="D404" s="11" t="s">
        <v>268</v>
      </c>
      <c r="E404" s="65" t="str">
        <f>VLOOKUP(D404,Total!$C$2:$D$518,2,0)</f>
        <v>11 TKR 4</v>
      </c>
      <c r="F404" s="65" t="str">
        <f>VLOOKUP(C404,Total!$B$2:$F$514,5,0)</f>
        <v>AKTIF</v>
      </c>
      <c r="G404" s="67" t="str">
        <f>VLOOKUP($B404,master!$B$3:$S$600,16,0)</f>
        <v>87765850058</v>
      </c>
      <c r="H404" s="67" t="str">
        <f>VLOOKUP($B404,master!$B$3:$S$600,17,0)</f>
        <v>0</v>
      </c>
      <c r="I404" s="67" t="str">
        <f>VLOOKUP($B404,master!$B$3:$S$600,8,0)</f>
        <v>KUKAP</v>
      </c>
      <c r="J404" s="67" t="str">
        <f>VLOOKUP($B404,master!$B$3:$S$600,9,0)</f>
        <v>5</v>
      </c>
      <c r="K404" s="67" t="str">
        <f>VLOOKUP($B404,master!$B$3:$S$600,11,0)</f>
        <v>PONCOSARI</v>
      </c>
      <c r="L404" s="67" t="str">
        <f>VLOOKUP($B404,master!$B$3:$S$600,12,0)</f>
        <v>SRANDAKAN</v>
      </c>
      <c r="M404" s="67" t="str">
        <f>VLOOKUP($B404,master!$B$3:$S$600,6,0)</f>
        <v>WAKIJO</v>
      </c>
      <c r="N404" s="82" t="str">
        <f>VLOOKUP($B404,master!$B$3:$S$600,15,0)</f>
        <v>SMP N 2 SRANDAKAN</v>
      </c>
      <c r="O404" s="82" t="str">
        <f>VLOOKUP($B404,master!$B$3:$S$600,4,0)</f>
        <v>30-07-2008</v>
      </c>
    </row>
    <row r="405" spans="1:15" ht="15.75" customHeight="1" x14ac:dyDescent="0.25">
      <c r="A405" s="80" t="s">
        <v>1358</v>
      </c>
      <c r="B405" s="11" t="s">
        <v>1343</v>
      </c>
      <c r="C405" s="11" t="s">
        <v>4775</v>
      </c>
      <c r="D405" s="11" t="s">
        <v>269</v>
      </c>
      <c r="E405" s="65" t="str">
        <f>VLOOKUP(D405,Total!$C$2:$D$518,2,0)</f>
        <v>11 TKR 4</v>
      </c>
      <c r="F405" s="65" t="str">
        <f>VLOOKUP(C405,Total!$B$2:$F$514,5,0)</f>
        <v>AKTIF</v>
      </c>
      <c r="G405" s="67" t="str">
        <f>VLOOKUP($B405,master!$B$3:$S$600,16,0)</f>
        <v>82134360877</v>
      </c>
      <c r="H405" s="67" t="str">
        <f>VLOOKUP($B405,master!$B$3:$S$600,17,0)</f>
        <v>0</v>
      </c>
      <c r="I405" s="67" t="str">
        <f>VLOOKUP($B405,master!$B$3:$S$600,8,0)</f>
        <v>BURUHAN</v>
      </c>
      <c r="J405" s="67" t="str">
        <f>VLOOKUP($B405,master!$B$3:$S$600,9,0)</f>
        <v>3</v>
      </c>
      <c r="K405" s="67" t="str">
        <f>VLOOKUP($B405,master!$B$3:$S$600,11,0)</f>
        <v>TIRTOSARI</v>
      </c>
      <c r="L405" s="67" t="str">
        <f>VLOOKUP($B405,master!$B$3:$S$600,12,0)</f>
        <v>KRETEK</v>
      </c>
      <c r="M405" s="67" t="str">
        <f>VLOOKUP($B405,master!$B$3:$S$600,6,0)</f>
        <v>SUPARDI</v>
      </c>
      <c r="N405" s="82" t="str">
        <f>VLOOKUP($B405,master!$B$3:$S$600,15,0)</f>
        <v>SMP N 1 KRETEK</v>
      </c>
      <c r="O405" s="82" t="str">
        <f>VLOOKUP($B405,master!$B$3:$S$600,4,0)</f>
        <v>11-05-2008</v>
      </c>
    </row>
    <row r="406" spans="1:15" ht="15.75" customHeight="1" x14ac:dyDescent="0.25">
      <c r="A406" s="80" t="s">
        <v>1360</v>
      </c>
      <c r="B406" s="11" t="s">
        <v>1345</v>
      </c>
      <c r="C406" s="11" t="s">
        <v>4776</v>
      </c>
      <c r="D406" s="11" t="s">
        <v>270</v>
      </c>
      <c r="E406" s="65" t="str">
        <f>VLOOKUP(D406,Total!$C$2:$D$518,2,0)</f>
        <v>11 TKR 4</v>
      </c>
      <c r="F406" s="65" t="str">
        <f>VLOOKUP(C406,Total!$B$2:$F$514,5,0)</f>
        <v>AKTIF</v>
      </c>
      <c r="G406" s="67" t="str">
        <f>VLOOKUP($B406,master!$B$3:$S$600,16,0)</f>
        <v>088298328643</v>
      </c>
      <c r="H406" s="67" t="str">
        <f>VLOOKUP($B406,master!$B$3:$S$600,17,0)</f>
        <v>08989265632</v>
      </c>
      <c r="I406" s="67" t="str">
        <f>VLOOKUP($B406,master!$B$3:$S$600,8,0)</f>
        <v>SELO</v>
      </c>
      <c r="J406" s="67" t="str">
        <f>VLOOKUP($B406,master!$B$3:$S$600,9,0)</f>
        <v>O3</v>
      </c>
      <c r="K406" s="67" t="str">
        <f>VLOOKUP($B406,master!$B$3:$S$600,11,0)</f>
        <v>SIDOMULYO</v>
      </c>
      <c r="L406" s="67" t="str">
        <f>VLOOKUP($B406,master!$B$3:$S$600,12,0)</f>
        <v>BAMBANGLIPURO</v>
      </c>
      <c r="M406" s="67" t="str">
        <f>VLOOKUP($B406,master!$B$3:$S$600,6,0)</f>
        <v>Suyatno</v>
      </c>
      <c r="N406" s="82" t="str">
        <f>VLOOKUP($B406,master!$B$3:$S$600,15,0)</f>
        <v>SMP N 1 BAMBANGLIPURO</v>
      </c>
      <c r="O406" s="82" t="str">
        <f>VLOOKUP($B406,master!$B$3:$S$600,4,0)</f>
        <v>7-01-2009</v>
      </c>
    </row>
    <row r="407" spans="1:15" ht="15.75" customHeight="1" x14ac:dyDescent="0.25">
      <c r="A407" s="80" t="s">
        <v>1362</v>
      </c>
      <c r="B407" s="11" t="s">
        <v>1347</v>
      </c>
      <c r="C407" s="11" t="s">
        <v>4777</v>
      </c>
      <c r="D407" s="11" t="s">
        <v>271</v>
      </c>
      <c r="E407" s="65" t="str">
        <f>VLOOKUP(D407,Total!$C$2:$D$518,2,0)</f>
        <v>11 TKR 4</v>
      </c>
      <c r="F407" s="65" t="str">
        <f>VLOOKUP(C407,Total!$B$2:$F$514,5,0)</f>
        <v>AKTIF</v>
      </c>
      <c r="G407" s="67" t="str">
        <f>VLOOKUP($B407,master!$B$3:$S$600,16,0)</f>
        <v>087836168088</v>
      </c>
      <c r="H407" s="67" t="str">
        <f>VLOOKUP($B407,master!$B$3:$S$600,17,0)</f>
        <v>-</v>
      </c>
      <c r="I407" s="67" t="str">
        <f>VLOOKUP($B407,master!$B$3:$S$600,8,0)</f>
        <v>NGENTAK</v>
      </c>
      <c r="J407" s="67" t="str">
        <f>VLOOKUP($B407,master!$B$3:$S$600,9,0)</f>
        <v>2</v>
      </c>
      <c r="K407" s="67" t="str">
        <f>VLOOKUP($B407,master!$B$3:$S$600,11,0)</f>
        <v>MULYODADI</v>
      </c>
      <c r="L407" s="67" t="str">
        <f>VLOOKUP($B407,master!$B$3:$S$600,12,0)</f>
        <v>BAMBANGLIPURO</v>
      </c>
      <c r="M407" s="67" t="str">
        <f>VLOOKUP($B407,master!$B$3:$S$600,6,0)</f>
        <v>JUMINTO</v>
      </c>
      <c r="N407" s="82" t="str">
        <f>VLOOKUP($B407,master!$B$3:$S$600,15,0)</f>
        <v>SMP N 1 BAMBANGLIPURO</v>
      </c>
      <c r="O407" s="82" t="str">
        <f>VLOOKUP($B407,master!$B$3:$S$600,4,0)</f>
        <v>15-08-2008</v>
      </c>
    </row>
    <row r="408" spans="1:15" ht="15.75" customHeight="1" x14ac:dyDescent="0.25">
      <c r="A408" s="80" t="s">
        <v>1364</v>
      </c>
      <c r="B408" s="11" t="s">
        <v>1349</v>
      </c>
      <c r="C408" s="11" t="s">
        <v>4778</v>
      </c>
      <c r="D408" s="11" t="s">
        <v>272</v>
      </c>
      <c r="E408" s="65" t="str">
        <f>VLOOKUP(D408,Total!$C$2:$D$518,2,0)</f>
        <v>11 TKR 5</v>
      </c>
      <c r="F408" s="65" t="str">
        <f>VLOOKUP(C408,Total!$B$2:$F$514,5,0)</f>
        <v>AKTIF</v>
      </c>
      <c r="G408" s="67" t="str">
        <f>VLOOKUP($B408,master!$B$3:$S$600,16,0)</f>
        <v>089518560076</v>
      </c>
      <c r="H408" s="67" t="str">
        <f>VLOOKUP($B408,master!$B$3:$S$600,17,0)</f>
        <v>083846378430</v>
      </c>
      <c r="I408" s="67" t="str">
        <f>VLOOKUP($B408,master!$B$3:$S$600,8,0)</f>
        <v>KEDUNG</v>
      </c>
      <c r="J408" s="67" t="str">
        <f>VLOOKUP($B408,master!$B$3:$S$600,9,0)</f>
        <v>2</v>
      </c>
      <c r="K408" s="67" t="str">
        <f>VLOOKUP($B408,master!$B$3:$S$600,11,0)</f>
        <v>GUWOSARI</v>
      </c>
      <c r="L408" s="67" t="str">
        <f>VLOOKUP($B408,master!$B$3:$S$600,12,0)</f>
        <v>PAJANGAN</v>
      </c>
      <c r="M408" s="67" t="str">
        <f>VLOOKUP($B408,master!$B$3:$S$600,6,0)</f>
        <v>WAJIMIN</v>
      </c>
      <c r="N408" s="82" t="str">
        <f>VLOOKUP($B408,master!$B$3:$S$600,15,0)</f>
        <v>SMP MUHAMMADIYAH BANTUL</v>
      </c>
      <c r="O408" s="82" t="str">
        <f>VLOOKUP($B408,master!$B$3:$S$600,4,0)</f>
        <v>20-05-2008</v>
      </c>
    </row>
    <row r="409" spans="1:15" ht="15.75" customHeight="1" x14ac:dyDescent="0.25">
      <c r="A409" s="80" t="s">
        <v>1366</v>
      </c>
      <c r="B409" s="11" t="s">
        <v>1351</v>
      </c>
      <c r="C409" s="11" t="s">
        <v>4779</v>
      </c>
      <c r="D409" s="11" t="s">
        <v>273</v>
      </c>
      <c r="E409" s="65" t="str">
        <f>VLOOKUP(D409,Total!$C$2:$D$518,2,0)</f>
        <v>11 TKR 5</v>
      </c>
      <c r="F409" s="65" t="str">
        <f>VLOOKUP(C409,Total!$B$2:$F$514,5,0)</f>
        <v>AKTIF</v>
      </c>
      <c r="G409" s="67" t="str">
        <f>VLOOKUP($B409,master!$B$3:$S$600,16,0)</f>
        <v>82134922083</v>
      </c>
      <c r="H409" s="67" t="str">
        <f>VLOOKUP($B409,master!$B$3:$S$600,17,0)</f>
        <v>0</v>
      </c>
      <c r="I409" s="67" t="str">
        <f>VLOOKUP($B409,master!$B$3:$S$600,8,0)</f>
        <v>NGENTAK</v>
      </c>
      <c r="J409" s="67" t="str">
        <f>VLOOKUP($B409,master!$B$3:$S$600,9,0)</f>
        <v>1</v>
      </c>
      <c r="K409" s="67" t="str">
        <f>VLOOKUP($B409,master!$B$3:$S$600,11,0)</f>
        <v>MULYODADI</v>
      </c>
      <c r="L409" s="67" t="str">
        <f>VLOOKUP($B409,master!$B$3:$S$600,12,0)</f>
        <v>BAMBANGLIPURO</v>
      </c>
      <c r="M409" s="67" t="str">
        <f>VLOOKUP($B409,master!$B$3:$S$600,6,0)</f>
        <v>PURNOMO</v>
      </c>
      <c r="N409" s="82" t="str">
        <f>VLOOKUP($B409,master!$B$3:$S$600,15,0)</f>
        <v>SMP MUHAMMADIYAH 1 BAMBANGLIPURO</v>
      </c>
      <c r="O409" s="82" t="str">
        <f>VLOOKUP($B409,master!$B$3:$S$600,4,0)</f>
        <v>4-05-2009</v>
      </c>
    </row>
    <row r="410" spans="1:15" ht="15.75" customHeight="1" x14ac:dyDescent="0.25">
      <c r="A410" s="80" t="s">
        <v>1368</v>
      </c>
      <c r="B410" s="11" t="s">
        <v>1353</v>
      </c>
      <c r="C410" s="11" t="s">
        <v>4780</v>
      </c>
      <c r="D410" s="11" t="s">
        <v>274</v>
      </c>
      <c r="E410" s="65" t="str">
        <f>VLOOKUP(D410,Total!$C$2:$D$518,2,0)</f>
        <v>11 TKR 5</v>
      </c>
      <c r="F410" s="65" t="str">
        <f>VLOOKUP(C410,Total!$B$2:$F$514,5,0)</f>
        <v>AKTIF</v>
      </c>
      <c r="G410" s="67" t="str">
        <f>VLOOKUP($B410,master!$B$3:$S$600,16,0)</f>
        <v>8995896420</v>
      </c>
      <c r="H410" s="67" t="str">
        <f>VLOOKUP($B410,master!$B$3:$S$600,17,0)</f>
        <v>0</v>
      </c>
      <c r="I410" s="67" t="str">
        <f>VLOOKUP($B410,master!$B$3:$S$600,8,0)</f>
        <v>TEGALSEMPU</v>
      </c>
      <c r="J410" s="67" t="str">
        <f>VLOOKUP($B410,master!$B$3:$S$600,9,0)</f>
        <v>4</v>
      </c>
      <c r="K410" s="67" t="str">
        <f>VLOOKUP($B410,master!$B$3:$S$600,11,0)</f>
        <v>CATURHARJO</v>
      </c>
      <c r="L410" s="67" t="str">
        <f>VLOOKUP($B410,master!$B$3:$S$600,12,0)</f>
        <v>PANDAK</v>
      </c>
      <c r="M410" s="67" t="str">
        <f>VLOOKUP($B410,master!$B$3:$S$600,6,0)</f>
        <v>IMAM ZAMRONI</v>
      </c>
      <c r="N410" s="82" t="str">
        <f>VLOOKUP($B410,master!$B$3:$S$600,15,0)</f>
        <v>MTS N 4 BANTUL</v>
      </c>
      <c r="O410" s="82" t="str">
        <f>VLOOKUP($B410,master!$B$3:$S$600,4,0)</f>
        <v>22-04-2009</v>
      </c>
    </row>
    <row r="411" spans="1:15" ht="15.75" customHeight="1" x14ac:dyDescent="0.25">
      <c r="A411" s="80" t="s">
        <v>1370</v>
      </c>
      <c r="B411" s="11" t="s">
        <v>1355</v>
      </c>
      <c r="C411" s="11" t="s">
        <v>4781</v>
      </c>
      <c r="D411" s="11" t="s">
        <v>275</v>
      </c>
      <c r="E411" s="65" t="str">
        <f>VLOOKUP(D411,Total!$C$2:$D$518,2,0)</f>
        <v>11 TKR 5</v>
      </c>
      <c r="F411" s="65" t="str">
        <f>VLOOKUP(C411,Total!$B$2:$F$514,5,0)</f>
        <v>AKTIF</v>
      </c>
      <c r="G411" s="67" t="str">
        <f>VLOOKUP($B411,master!$B$3:$S$600,16,0)</f>
        <v>83154541842</v>
      </c>
      <c r="H411" s="67" t="str">
        <f>VLOOKUP($B411,master!$B$3:$S$600,17,0)</f>
        <v>0</v>
      </c>
      <c r="I411" s="67" t="str">
        <f>VLOOKUP($B411,master!$B$3:$S$600,8,0)</f>
        <v>GENTING</v>
      </c>
      <c r="J411" s="67" t="str">
        <f>VLOOKUP($B411,master!$B$3:$S$600,9,0)</f>
        <v>4</v>
      </c>
      <c r="K411" s="67" t="str">
        <f>VLOOKUP($B411,master!$B$3:$S$600,11,0)</f>
        <v>TIRTOMULYO</v>
      </c>
      <c r="L411" s="67" t="str">
        <f>VLOOKUP($B411,master!$B$3:$S$600,12,0)</f>
        <v>KRETEK</v>
      </c>
      <c r="M411" s="67" t="str">
        <f>VLOOKUP($B411,master!$B$3:$S$600,6,0)</f>
        <v>SUDARMUJI</v>
      </c>
      <c r="N411" s="82" t="str">
        <f>VLOOKUP($B411,master!$B$3:$S$600,15,0)</f>
        <v>SMP N 1 KRETEK</v>
      </c>
      <c r="O411" s="82" t="str">
        <f>VLOOKUP($B411,master!$B$3:$S$600,4,0)</f>
        <v>7-10-2008</v>
      </c>
    </row>
    <row r="412" spans="1:15" ht="15.75" customHeight="1" x14ac:dyDescent="0.25">
      <c r="A412" s="80" t="s">
        <v>1372</v>
      </c>
      <c r="B412" s="11" t="s">
        <v>1357</v>
      </c>
      <c r="C412" s="11" t="s">
        <v>4782</v>
      </c>
      <c r="D412" s="11" t="s">
        <v>276</v>
      </c>
      <c r="E412" s="65" t="str">
        <f>VLOOKUP(D412,Total!$C$2:$D$518,2,0)</f>
        <v>11 TKR 5</v>
      </c>
      <c r="F412" s="65" t="str">
        <f>VLOOKUP(C412,Total!$B$2:$F$514,5,0)</f>
        <v>AKTIF</v>
      </c>
      <c r="G412" s="67" t="str">
        <f>VLOOKUP($B412,master!$B$3:$S$600,16,0)</f>
        <v>0882003912775</v>
      </c>
      <c r="H412" s="67" t="str">
        <f>VLOOKUP($B412,master!$B$3:$S$600,17,0)</f>
        <v>0</v>
      </c>
      <c r="I412" s="67" t="str">
        <f>VLOOKUP($B412,master!$B$3:$S$600,8,0)</f>
        <v>WIROSUTAN</v>
      </c>
      <c r="J412" s="67" t="str">
        <f>VLOOKUP($B412,master!$B$3:$S$600,9,0)</f>
        <v>32</v>
      </c>
      <c r="K412" s="67" t="str">
        <f>VLOOKUP($B412,master!$B$3:$S$600,11,0)</f>
        <v>SRIGADING</v>
      </c>
      <c r="L412" s="67" t="str">
        <f>VLOOKUP($B412,master!$B$3:$S$600,12,0)</f>
        <v>SANDEN</v>
      </c>
      <c r="M412" s="67" t="str">
        <f>VLOOKUP($B412,master!$B$3:$S$600,6,0)</f>
        <v>RADEN AGUS SETYABUDI</v>
      </c>
      <c r="N412" s="82" t="str">
        <f>VLOOKUP($B412,master!$B$3:$S$600,15,0)</f>
        <v>SMP N 2 SANDEN</v>
      </c>
      <c r="O412" s="82" t="str">
        <f>VLOOKUP($B412,master!$B$3:$S$600,4,0)</f>
        <v>11-07-2008</v>
      </c>
    </row>
    <row r="413" spans="1:15" ht="15.75" customHeight="1" x14ac:dyDescent="0.25">
      <c r="A413" s="80" t="s">
        <v>1374</v>
      </c>
      <c r="B413" s="11" t="s">
        <v>1359</v>
      </c>
      <c r="C413" s="11" t="s">
        <v>4783</v>
      </c>
      <c r="D413" s="11" t="s">
        <v>277</v>
      </c>
      <c r="E413" s="65" t="str">
        <f>VLOOKUP(D413,Total!$C$2:$D$518,2,0)</f>
        <v>11 TKR 5</v>
      </c>
      <c r="F413" s="65" t="str">
        <f>VLOOKUP(C413,Total!$B$2:$F$514,5,0)</f>
        <v>AKTIF</v>
      </c>
      <c r="G413" s="67" t="str">
        <f>VLOOKUP($B413,master!$B$3:$S$600,16,0)</f>
        <v>085821900710</v>
      </c>
      <c r="H413" s="67" t="str">
        <f>VLOOKUP($B413,master!$B$3:$S$600,17,0)</f>
        <v>089527416263</v>
      </c>
      <c r="I413" s="67" t="str">
        <f>VLOOKUP($B413,master!$B$3:$S$600,8,0)</f>
        <v>JOGODAYOH</v>
      </c>
      <c r="J413" s="67" t="str">
        <f>VLOOKUP($B413,master!$B$3:$S$600,9,0)</f>
        <v>6</v>
      </c>
      <c r="K413" s="67" t="str">
        <f>VLOOKUP($B413,master!$B$3:$S$600,11,0)</f>
        <v>SUMBERMULYO</v>
      </c>
      <c r="L413" s="67" t="str">
        <f>VLOOKUP($B413,master!$B$3:$S$600,12,0)</f>
        <v>BAMBANGLIPURO</v>
      </c>
      <c r="M413" s="67" t="str">
        <f>VLOOKUP($B413,master!$B$3:$S$600,6,0)</f>
        <v>IKA APRIYANTI</v>
      </c>
      <c r="N413" s="82" t="str">
        <f>VLOOKUP($B413,master!$B$3:$S$600,15,0)</f>
        <v>SMP N 1 BAMBANGLIPURO</v>
      </c>
      <c r="O413" s="82" t="str">
        <f>VLOOKUP($B413,master!$B$3:$S$600,4,0)</f>
        <v>23-09-2008</v>
      </c>
    </row>
    <row r="414" spans="1:15" ht="15.75" customHeight="1" x14ac:dyDescent="0.25">
      <c r="A414" s="80" t="s">
        <v>1376</v>
      </c>
      <c r="B414" s="11" t="s">
        <v>1361</v>
      </c>
      <c r="C414" s="11" t="s">
        <v>4784</v>
      </c>
      <c r="D414" s="11" t="s">
        <v>278</v>
      </c>
      <c r="E414" s="65" t="str">
        <f>VLOOKUP(D414,Total!$C$2:$D$518,2,0)</f>
        <v>11 TKR 5</v>
      </c>
      <c r="F414" s="65" t="str">
        <f>VLOOKUP(C414,Total!$B$2:$F$514,5,0)</f>
        <v>AKTIF</v>
      </c>
      <c r="G414" s="67" t="str">
        <f>VLOOKUP($B414,master!$B$3:$S$600,16,0)</f>
        <v>081578828979</v>
      </c>
      <c r="H414" s="67" t="str">
        <f>VLOOKUP($B414,master!$B$3:$S$600,17,0)</f>
        <v>082137208309</v>
      </c>
      <c r="I414" s="67" t="str">
        <f>VLOOKUP($B414,master!$B$3:$S$600,8,0)</f>
        <v>KALIMUNDU</v>
      </c>
      <c r="J414" s="67" t="str">
        <f>VLOOKUP($B414,master!$B$3:$S$600,9,0)</f>
        <v>02</v>
      </c>
      <c r="K414" s="67" t="str">
        <f>VLOOKUP($B414,master!$B$3:$S$600,11,0)</f>
        <v>GADINGHARJO</v>
      </c>
      <c r="L414" s="67" t="str">
        <f>VLOOKUP($B414,master!$B$3:$S$600,12,0)</f>
        <v>SANDEN</v>
      </c>
      <c r="M414" s="67" t="str">
        <f>VLOOKUP($B414,master!$B$3:$S$600,6,0)</f>
        <v>TRIYATNO</v>
      </c>
      <c r="N414" s="82" t="str">
        <f>VLOOKUP($B414,master!$B$3:$S$600,15,0)</f>
        <v>SMP N 1 SRANDAKAN</v>
      </c>
      <c r="O414" s="82" t="str">
        <f>VLOOKUP($B414,master!$B$3:$S$600,4,0)</f>
        <v>24-05-2008</v>
      </c>
    </row>
    <row r="415" spans="1:15" ht="15.75" customHeight="1" x14ac:dyDescent="0.25">
      <c r="A415" s="80" t="s">
        <v>1378</v>
      </c>
      <c r="B415" s="11" t="s">
        <v>1363</v>
      </c>
      <c r="C415" s="11" t="s">
        <v>4785</v>
      </c>
      <c r="D415" s="11" t="s">
        <v>279</v>
      </c>
      <c r="E415" s="65" t="str">
        <f>VLOOKUP(D415,Total!$C$2:$D$518,2,0)</f>
        <v>11 TKR 5</v>
      </c>
      <c r="F415" s="65" t="str">
        <f>VLOOKUP(C415,Total!$B$2:$F$514,5,0)</f>
        <v>AKTIF</v>
      </c>
      <c r="G415" s="67" t="str">
        <f>VLOOKUP($B415,master!$B$3:$S$600,16,0)</f>
        <v>083840420083</v>
      </c>
      <c r="H415" s="67" t="str">
        <f>VLOOKUP($B415,master!$B$3:$S$600,17,0)</f>
        <v>089526717873</v>
      </c>
      <c r="I415" s="67" t="str">
        <f>VLOOKUP($B415,master!$B$3:$S$600,8,0)</f>
        <v>NGAJARAN</v>
      </c>
      <c r="J415" s="67" t="str">
        <f>VLOOKUP($B415,master!$B$3:$S$600,9,0)</f>
        <v>3</v>
      </c>
      <c r="K415" s="67" t="str">
        <f>VLOOKUP($B415,master!$B$3:$S$600,11,0)</f>
        <v>SIDOMULYO</v>
      </c>
      <c r="L415" s="67" t="str">
        <f>VLOOKUP($B415,master!$B$3:$S$600,12,0)</f>
        <v>BAMBANGLIPURO</v>
      </c>
      <c r="M415" s="67" t="str">
        <f>VLOOKUP($B415,master!$B$3:$S$600,6,0)</f>
        <v>SUGENG RIYADI</v>
      </c>
      <c r="N415" s="82" t="str">
        <f>VLOOKUP($B415,master!$B$3:$S$600,15,0)</f>
        <v>SMP MUHAMMADIYAH 1 BAMBANGLIPURO</v>
      </c>
      <c r="O415" s="82" t="str">
        <f>VLOOKUP($B415,master!$B$3:$S$600,4,0)</f>
        <v>3-06-2009</v>
      </c>
    </row>
    <row r="416" spans="1:15" ht="15.75" customHeight="1" x14ac:dyDescent="0.25">
      <c r="A416" s="80" t="s">
        <v>1380</v>
      </c>
      <c r="B416" s="11" t="s">
        <v>1365</v>
      </c>
      <c r="C416" s="11" t="s">
        <v>4786</v>
      </c>
      <c r="D416" s="11" t="s">
        <v>280</v>
      </c>
      <c r="E416" s="65" t="str">
        <f>VLOOKUP(D416,Total!$C$2:$D$518,2,0)</f>
        <v>11 TKR 5</v>
      </c>
      <c r="F416" s="65" t="str">
        <f>VLOOKUP(C416,Total!$B$2:$F$514,5,0)</f>
        <v>KELUAR</v>
      </c>
      <c r="G416" s="67" t="str">
        <f>VLOOKUP($B416,master!$B$3:$S$600,16,0)</f>
        <v>08985837703</v>
      </c>
      <c r="H416" s="67" t="str">
        <f>VLOOKUP($B416,master!$B$3:$S$600,17,0)</f>
        <v>08985837703</v>
      </c>
      <c r="I416" s="67" t="str">
        <f>VLOOKUP($B416,master!$B$3:$S$600,8,0)</f>
        <v>TARUBAN DK. NGRINGIN</v>
      </c>
      <c r="J416" s="67" t="str">
        <f>VLOOKUP($B416,master!$B$3:$S$600,9,0)</f>
        <v>005</v>
      </c>
      <c r="K416" s="67" t="str">
        <f>VLOOKUP($B416,master!$B$3:$S$600,11,0)</f>
        <v>PALBAPANG</v>
      </c>
      <c r="L416" s="67" t="str">
        <f>VLOOKUP($B416,master!$B$3:$S$600,12,0)</f>
        <v>BANTUL</v>
      </c>
      <c r="M416" s="67" t="str">
        <f>VLOOKUP($B416,master!$B$3:$S$600,6,0)</f>
        <v>MARYATI</v>
      </c>
      <c r="N416" s="82" t="str">
        <f>VLOOKUP($B416,master!$B$3:$S$600,15,0)</f>
        <v>SMPN 1 KRETEK</v>
      </c>
      <c r="O416" s="82" t="str">
        <f>VLOOKUP($B416,master!$B$3:$S$600,4,0)</f>
        <v>6-04-2008</v>
      </c>
    </row>
    <row r="417" spans="1:15" ht="15.75" customHeight="1" x14ac:dyDescent="0.25">
      <c r="A417" s="80" t="s">
        <v>1382</v>
      </c>
      <c r="B417" s="11" t="s">
        <v>1367</v>
      </c>
      <c r="C417" s="11" t="s">
        <v>4787</v>
      </c>
      <c r="D417" s="11" t="s">
        <v>281</v>
      </c>
      <c r="E417" s="65" t="str">
        <f>VLOOKUP(D417,Total!$C$2:$D$518,2,0)</f>
        <v>11 TKR 5</v>
      </c>
      <c r="F417" s="65" t="str">
        <f>VLOOKUP(C417,Total!$B$2:$F$514,5,0)</f>
        <v>AKTIF</v>
      </c>
      <c r="G417" s="67" t="str">
        <f>VLOOKUP($B417,master!$B$3:$S$600,16,0)</f>
        <v>81931726444</v>
      </c>
      <c r="H417" s="67" t="str">
        <f>VLOOKUP($B417,master!$B$3:$S$600,17,0)</f>
        <v>0</v>
      </c>
      <c r="I417" s="67" t="str">
        <f>VLOOKUP($B417,master!$B$3:$S$600,8,0)</f>
        <v>CELEP</v>
      </c>
      <c r="J417" s="67" t="str">
        <f>VLOOKUP($B417,master!$B$3:$S$600,9,0)</f>
        <v>8</v>
      </c>
      <c r="K417" s="67" t="str">
        <f>VLOOKUP($B417,master!$B$3:$S$600,11,0)</f>
        <v>SRIGADING</v>
      </c>
      <c r="L417" s="67" t="str">
        <f>VLOOKUP($B417,master!$B$3:$S$600,12,0)</f>
        <v>SANDEN</v>
      </c>
      <c r="M417" s="67" t="str">
        <f>VLOOKUP($B417,master!$B$3:$S$600,6,0)</f>
        <v>PURWANTO</v>
      </c>
      <c r="N417" s="82" t="str">
        <f>VLOOKUP($B417,master!$B$3:$S$600,15,0)</f>
        <v>SMP N 2 SANDEN</v>
      </c>
      <c r="O417" s="82" t="str">
        <f>VLOOKUP($B417,master!$B$3:$S$600,4,0)</f>
        <v>23-02-2008</v>
      </c>
    </row>
    <row r="418" spans="1:15" ht="15.75" customHeight="1" x14ac:dyDescent="0.25">
      <c r="A418" s="80" t="s">
        <v>1384</v>
      </c>
      <c r="B418" s="11" t="s">
        <v>1369</v>
      </c>
      <c r="C418" s="11" t="s">
        <v>4788</v>
      </c>
      <c r="D418" s="11" t="s">
        <v>282</v>
      </c>
      <c r="E418" s="65" t="str">
        <f>VLOOKUP(D418,Total!$C$2:$D$518,2,0)</f>
        <v>11 TKR 5</v>
      </c>
      <c r="F418" s="65" t="str">
        <f>VLOOKUP(C418,Total!$B$2:$F$514,5,0)</f>
        <v>AKTIF</v>
      </c>
      <c r="G418" s="67" t="str">
        <f>VLOOKUP($B418,master!$B$3:$S$600,16,0)</f>
        <v>088225178495</v>
      </c>
      <c r="H418" s="67" t="str">
        <f>VLOOKUP($B418,master!$B$3:$S$600,17,0)</f>
        <v>088980829927</v>
      </c>
      <c r="I418" s="67" t="str">
        <f>VLOOKUP($B418,master!$B$3:$S$600,8,0)</f>
        <v>WEDUSAN MAYUNGAN</v>
      </c>
      <c r="J418" s="67" t="str">
        <f>VLOOKUP($B418,master!$B$3:$S$600,9,0)</f>
        <v>04</v>
      </c>
      <c r="K418" s="67" t="str">
        <f>VLOOKUP($B418,master!$B$3:$S$600,11,0)</f>
        <v>SRIGADING</v>
      </c>
      <c r="L418" s="67" t="str">
        <f>VLOOKUP($B418,master!$B$3:$S$600,12,0)</f>
        <v>SANDEN</v>
      </c>
      <c r="M418" s="67" t="str">
        <f>VLOOKUP($B418,master!$B$3:$S$600,6,0)</f>
        <v>HARYANTO</v>
      </c>
      <c r="N418" s="82" t="str">
        <f>VLOOKUP($B418,master!$B$3:$S$600,15,0)</f>
        <v>SMP N 2 SANDEN</v>
      </c>
      <c r="O418" s="82" t="str">
        <f>VLOOKUP($B418,master!$B$3:$S$600,4,0)</f>
        <v>20-05-2009</v>
      </c>
    </row>
    <row r="419" spans="1:15" ht="15.75" customHeight="1" x14ac:dyDescent="0.25">
      <c r="A419" s="80" t="s">
        <v>1386</v>
      </c>
      <c r="B419" s="11" t="s">
        <v>1371</v>
      </c>
      <c r="C419" s="11" t="s">
        <v>4789</v>
      </c>
      <c r="D419" s="11" t="s">
        <v>283</v>
      </c>
      <c r="E419" s="65" t="str">
        <f>VLOOKUP(D419,Total!$C$2:$D$518,2,0)</f>
        <v>11 TKR 5</v>
      </c>
      <c r="F419" s="65" t="str">
        <f>VLOOKUP(C419,Total!$B$2:$F$514,5,0)</f>
        <v>AKTIF</v>
      </c>
      <c r="G419" s="67" t="str">
        <f>VLOOKUP($B419,master!$B$3:$S$600,16,0)</f>
        <v>88233794356</v>
      </c>
      <c r="H419" s="67" t="str">
        <f>VLOOKUP($B419,master!$B$3:$S$600,17,0)</f>
        <v>0</v>
      </c>
      <c r="I419" s="67" t="str">
        <f>VLOOKUP($B419,master!$B$3:$S$600,8,0)</f>
        <v>NGENTAK</v>
      </c>
      <c r="J419" s="67" t="str">
        <f>VLOOKUP($B419,master!$B$3:$S$600,9,0)</f>
        <v>4</v>
      </c>
      <c r="K419" s="67" t="str">
        <f>VLOOKUP($B419,master!$B$3:$S$600,11,0)</f>
        <v>PONCOSARI</v>
      </c>
      <c r="L419" s="67" t="str">
        <f>VLOOKUP($B419,master!$B$3:$S$600,12,0)</f>
        <v>SRANDAKAN</v>
      </c>
      <c r="M419" s="67" t="str">
        <f>VLOOKUP($B419,master!$B$3:$S$600,6,0)</f>
        <v>PANGGUNG SANTOSO</v>
      </c>
      <c r="N419" s="82" t="str">
        <f>VLOOKUP($B419,master!$B$3:$S$600,15,0)</f>
        <v>SMP N 1 SRANDAKAN</v>
      </c>
      <c r="O419" s="82" t="str">
        <f>VLOOKUP($B419,master!$B$3:$S$600,4,0)</f>
        <v>19-10-2008</v>
      </c>
    </row>
    <row r="420" spans="1:15" ht="15.75" customHeight="1" x14ac:dyDescent="0.25">
      <c r="A420" s="80" t="s">
        <v>1388</v>
      </c>
      <c r="B420" s="11" t="s">
        <v>1373</v>
      </c>
      <c r="C420" s="11" t="s">
        <v>4790</v>
      </c>
      <c r="D420" s="11" t="s">
        <v>284</v>
      </c>
      <c r="E420" s="65" t="str">
        <f>VLOOKUP(D420,Total!$C$2:$D$518,2,0)</f>
        <v>11 TKR 5</v>
      </c>
      <c r="F420" s="65" t="str">
        <f>VLOOKUP(C420,Total!$B$2:$F$514,5,0)</f>
        <v>AKTIF</v>
      </c>
      <c r="G420" s="67" t="str">
        <f>VLOOKUP($B420,master!$B$3:$S$600,16,0)</f>
        <v>0895423045910</v>
      </c>
      <c r="H420" s="67" t="str">
        <f>VLOOKUP($B420,master!$B$3:$S$600,17,0)</f>
        <v>-</v>
      </c>
      <c r="I420" s="67" t="str">
        <f>VLOOKUP($B420,master!$B$3:$S$600,8,0)</f>
        <v>KARANGJATI</v>
      </c>
      <c r="J420" s="67" t="str">
        <f>VLOOKUP($B420,master!$B$3:$S$600,9,0)</f>
        <v>9</v>
      </c>
      <c r="K420" s="67" t="str">
        <f>VLOOKUP($B420,master!$B$3:$S$600,11,0)</f>
        <v>TAMANTIRTO</v>
      </c>
      <c r="L420" s="67" t="str">
        <f>VLOOKUP($B420,master!$B$3:$S$600,12,0)</f>
        <v>KASIHAN</v>
      </c>
      <c r="M420" s="67" t="str">
        <f>VLOOKUP($B420,master!$B$3:$S$600,6,0)</f>
        <v>NGADIYONO</v>
      </c>
      <c r="N420" s="82" t="str">
        <f>VLOOKUP($B420,master!$B$3:$S$600,15,0)</f>
        <v>MTS MUHAMMADIYAH KASIHAN</v>
      </c>
      <c r="O420" s="82" t="str">
        <f>VLOOKUP($B420,master!$B$3:$S$600,4,0)</f>
        <v>19-08-2007</v>
      </c>
    </row>
    <row r="421" spans="1:15" ht="15.75" customHeight="1" x14ac:dyDescent="0.25">
      <c r="A421" s="80" t="s">
        <v>1390</v>
      </c>
      <c r="B421" s="11" t="s">
        <v>1375</v>
      </c>
      <c r="C421" s="11" t="s">
        <v>4791</v>
      </c>
      <c r="D421" s="11" t="s">
        <v>285</v>
      </c>
      <c r="E421" s="65" t="str">
        <f>VLOOKUP(D421,Total!$C$2:$D$518,2,0)</f>
        <v>11 TKR 5</v>
      </c>
      <c r="F421" s="65" t="str">
        <f>VLOOKUP(C421,Total!$B$2:$F$514,5,0)</f>
        <v>AKTIF</v>
      </c>
      <c r="G421" s="67" t="str">
        <f>VLOOKUP($B421,master!$B$3:$S$600,16,0)</f>
        <v>81392037934</v>
      </c>
      <c r="H421" s="67" t="str">
        <f>VLOOKUP($B421,master!$B$3:$S$600,17,0)</f>
        <v>0</v>
      </c>
      <c r="I421" s="67" t="str">
        <f>VLOOKUP($B421,master!$B$3:$S$600,8,0)</f>
        <v>PANGKAH</v>
      </c>
      <c r="J421" s="67" t="str">
        <f>VLOOKUP($B421,master!$B$3:$S$600,9,0)</f>
        <v>1</v>
      </c>
      <c r="K421" s="67" t="str">
        <f>VLOOKUP($B421,master!$B$3:$S$600,11,0)</f>
        <v>SUMBERAGUNG</v>
      </c>
      <c r="L421" s="67" t="str">
        <f>VLOOKUP($B421,master!$B$3:$S$600,12,0)</f>
        <v>JETIS</v>
      </c>
      <c r="M421" s="67" t="str">
        <f>VLOOKUP($B421,master!$B$3:$S$600,6,0)</f>
        <v>SURYADI</v>
      </c>
      <c r="N421" s="82" t="str">
        <f>VLOOKUP($B421,master!$B$3:$S$600,15,0)</f>
        <v>SMP N 1 JETIS</v>
      </c>
      <c r="O421" s="82" t="str">
        <f>VLOOKUP($B421,master!$B$3:$S$600,4,0)</f>
        <v>19-10-2008</v>
      </c>
    </row>
    <row r="422" spans="1:15" ht="15.75" customHeight="1" x14ac:dyDescent="0.25">
      <c r="A422" s="80" t="s">
        <v>1392</v>
      </c>
      <c r="B422" s="11" t="s">
        <v>1377</v>
      </c>
      <c r="C422" s="11" t="s">
        <v>4792</v>
      </c>
      <c r="D422" s="11" t="s">
        <v>286</v>
      </c>
      <c r="E422" s="65" t="str">
        <f>VLOOKUP(D422,Total!$C$2:$D$518,2,0)</f>
        <v>11 TKR 5</v>
      </c>
      <c r="F422" s="65" t="str">
        <f>VLOOKUP(C422,Total!$B$2:$F$514,5,0)</f>
        <v>AKTIF</v>
      </c>
      <c r="G422" s="67" t="str">
        <f>VLOOKUP($B422,master!$B$3:$S$600,16,0)</f>
        <v>82226676320</v>
      </c>
      <c r="H422" s="67" t="str">
        <f>VLOOKUP($B422,master!$B$3:$S$600,17,0)</f>
        <v>0</v>
      </c>
      <c r="I422" s="67" t="str">
        <f>VLOOKUP($B422,master!$B$3:$S$600,8,0)</f>
        <v>SIYANGAN</v>
      </c>
      <c r="J422" s="67" t="str">
        <f>VLOOKUP($B422,master!$B$3:$S$600,9,0)</f>
        <v>1</v>
      </c>
      <c r="K422" s="67" t="str">
        <f>VLOOKUP($B422,master!$B$3:$S$600,11,0)</f>
        <v>TRIHARJO</v>
      </c>
      <c r="L422" s="67" t="str">
        <f>VLOOKUP($B422,master!$B$3:$S$600,12,0)</f>
        <v>PANDAK</v>
      </c>
      <c r="M422" s="67" t="str">
        <f>VLOOKUP($B422,master!$B$3:$S$600,6,0)</f>
        <v>SUPRIADI</v>
      </c>
      <c r="N422" s="82" t="str">
        <f>VLOOKUP($B422,master!$B$3:$S$600,15,0)</f>
        <v>MTS AL-FALAAH</v>
      </c>
      <c r="O422" s="82" t="str">
        <f>VLOOKUP($B422,master!$B$3:$S$600,4,0)</f>
        <v>18-12-2008</v>
      </c>
    </row>
    <row r="423" spans="1:15" ht="15.75" customHeight="1" x14ac:dyDescent="0.25">
      <c r="A423" s="80" t="s">
        <v>1394</v>
      </c>
      <c r="B423" s="11" t="s">
        <v>1379</v>
      </c>
      <c r="C423" s="11" t="s">
        <v>4793</v>
      </c>
      <c r="D423" s="11" t="s">
        <v>287</v>
      </c>
      <c r="E423" s="65" t="str">
        <f>VLOOKUP(D423,Total!$C$2:$D$518,2,0)</f>
        <v>11 TKR 5</v>
      </c>
      <c r="F423" s="65" t="str">
        <f>VLOOKUP(C423,Total!$B$2:$F$514,5,0)</f>
        <v>AKTIF</v>
      </c>
      <c r="G423" s="67" t="str">
        <f>VLOOKUP($B423,master!$B$3:$S$600,16,0)</f>
        <v>081331335942</v>
      </c>
      <c r="H423" s="67" t="str">
        <f>VLOOKUP($B423,master!$B$3:$S$600,17,0)</f>
        <v>088238645830</v>
      </c>
      <c r="I423" s="67" t="str">
        <f>VLOOKUP($B423,master!$B$3:$S$600,8,0)</f>
        <v>JAMPRIT</v>
      </c>
      <c r="J423" s="67" t="str">
        <f>VLOOKUP($B423,master!$B$3:$S$600,9,0)</f>
        <v>04</v>
      </c>
      <c r="K423" s="67" t="str">
        <f>VLOOKUP($B423,master!$B$3:$S$600,11,0)</f>
        <v>PANJANGREJO</v>
      </c>
      <c r="L423" s="67" t="str">
        <f>VLOOKUP($B423,master!$B$3:$S$600,12,0)</f>
        <v>PUNDONG</v>
      </c>
      <c r="M423" s="67" t="str">
        <f>VLOOKUP($B423,master!$B$3:$S$600,6,0)</f>
        <v>DEDY YOSEPUDIN</v>
      </c>
      <c r="N423" s="82" t="str">
        <f>VLOOKUP($B423,master!$B$3:$S$600,15,0)</f>
        <v>SMP N 1 PUNDONG</v>
      </c>
      <c r="O423" s="82" t="str">
        <f>VLOOKUP($B423,master!$B$3:$S$600,4,0)</f>
        <v>3-06-2008</v>
      </c>
    </row>
    <row r="424" spans="1:15" ht="15.75" customHeight="1" x14ac:dyDescent="0.25">
      <c r="A424" s="80" t="s">
        <v>1396</v>
      </c>
      <c r="B424" s="11" t="s">
        <v>1381</v>
      </c>
      <c r="C424" s="11" t="s">
        <v>4794</v>
      </c>
      <c r="D424" s="11" t="s">
        <v>288</v>
      </c>
      <c r="E424" s="65" t="str">
        <f>VLOOKUP(D424,Total!$C$2:$D$518,2,0)</f>
        <v>11 TKR 5</v>
      </c>
      <c r="F424" s="65" t="str">
        <f>VLOOKUP(C424,Total!$B$2:$F$514,5,0)</f>
        <v>AKTIF</v>
      </c>
      <c r="G424" s="67" t="str">
        <f>VLOOKUP($B424,master!$B$3:$S$600,16,0)</f>
        <v>081226129807</v>
      </c>
      <c r="H424" s="67" t="str">
        <f>VLOOKUP($B424,master!$B$3:$S$600,17,0)</f>
        <v>081226129807</v>
      </c>
      <c r="I424" s="67" t="str">
        <f>VLOOKUP($B424,master!$B$3:$S$600,8,0)</f>
        <v>GADINGDATON</v>
      </c>
      <c r="J424" s="67" t="str">
        <f>VLOOKUP($B424,master!$B$3:$S$600,9,0)</f>
        <v>5</v>
      </c>
      <c r="K424" s="67" t="str">
        <f>VLOOKUP($B424,master!$B$3:$S$600,11,0)</f>
        <v>DONOTIRTO</v>
      </c>
      <c r="L424" s="67" t="str">
        <f>VLOOKUP($B424,master!$B$3:$S$600,12,0)</f>
        <v>KRETEK</v>
      </c>
      <c r="M424" s="67" t="str">
        <f>VLOOKUP($B424,master!$B$3:$S$600,6,0)</f>
        <v>ISMANTA</v>
      </c>
      <c r="N424" s="82" t="str">
        <f>VLOOKUP($B424,master!$B$3:$S$600,15,0)</f>
        <v>SMP N 1 KRETEK</v>
      </c>
      <c r="O424" s="82" t="str">
        <f>VLOOKUP($B424,master!$B$3:$S$600,4,0)</f>
        <v>28-03-2008</v>
      </c>
    </row>
    <row r="425" spans="1:15" ht="15.75" customHeight="1" x14ac:dyDescent="0.25">
      <c r="A425" s="80" t="s">
        <v>1398</v>
      </c>
      <c r="B425" s="11" t="s">
        <v>1383</v>
      </c>
      <c r="C425" s="11" t="s">
        <v>4795</v>
      </c>
      <c r="D425" s="11" t="s">
        <v>289</v>
      </c>
      <c r="E425" s="65" t="str">
        <f>VLOOKUP(D425,Total!$C$2:$D$518,2,0)</f>
        <v>11 TKR 5</v>
      </c>
      <c r="F425" s="65" t="str">
        <f>VLOOKUP(C425,Total!$B$2:$F$514,5,0)</f>
        <v>AKTIF</v>
      </c>
      <c r="G425" s="67" t="str">
        <f>VLOOKUP($B425,master!$B$3:$S$600,16,0)</f>
        <v>0895324105514</v>
      </c>
      <c r="H425" s="67" t="str">
        <f>VLOOKUP($B425,master!$B$3:$S$600,17,0)</f>
        <v>083144641181</v>
      </c>
      <c r="I425" s="67" t="str">
        <f>VLOOKUP($B425,master!$B$3:$S$600,8,0)</f>
        <v>MEDELAN</v>
      </c>
      <c r="J425" s="67" t="str">
        <f>VLOOKUP($B425,master!$B$3:$S$600,9,0)</f>
        <v>04</v>
      </c>
      <c r="K425" s="67" t="str">
        <f>VLOOKUP($B425,master!$B$3:$S$600,11,0)</f>
        <v>SUMBERAGUNG</v>
      </c>
      <c r="L425" s="67" t="str">
        <f>VLOOKUP($B425,master!$B$3:$S$600,12,0)</f>
        <v>JETIS</v>
      </c>
      <c r="M425" s="67" t="str">
        <f>VLOOKUP($B425,master!$B$3:$S$600,6,0)</f>
        <v>SLAMET RIYANTO</v>
      </c>
      <c r="N425" s="82" t="str">
        <f>VLOOKUP($B425,master!$B$3:$S$600,15,0)</f>
        <v>SMP N 3 JETIS</v>
      </c>
      <c r="O425" s="82" t="str">
        <f>VLOOKUP($B425,master!$B$3:$S$600,4,0)</f>
        <v>5-07-2008</v>
      </c>
    </row>
    <row r="426" spans="1:15" ht="15.75" customHeight="1" x14ac:dyDescent="0.25">
      <c r="A426" s="80" t="s">
        <v>1400</v>
      </c>
      <c r="B426" s="11" t="s">
        <v>1385</v>
      </c>
      <c r="C426" s="11" t="s">
        <v>4796</v>
      </c>
      <c r="D426" s="11" t="s">
        <v>290</v>
      </c>
      <c r="E426" s="65" t="str">
        <f>VLOOKUP(D426,Total!$C$2:$D$518,2,0)</f>
        <v>11 TKR 5</v>
      </c>
      <c r="F426" s="65" t="str">
        <f>VLOOKUP(C426,Total!$B$2:$F$514,5,0)</f>
        <v>AKTIF</v>
      </c>
      <c r="G426" s="67" t="str">
        <f>VLOOKUP($B426,master!$B$3:$S$600,16,0)</f>
        <v>83863538975</v>
      </c>
      <c r="H426" s="67" t="str">
        <f>VLOOKUP($B426,master!$B$3:$S$600,17,0)</f>
        <v>0</v>
      </c>
      <c r="I426" s="67" t="str">
        <f>VLOOKUP($B426,master!$B$3:$S$600,8,0)</f>
        <v>KORIPAN</v>
      </c>
      <c r="J426" s="67" t="str">
        <f>VLOOKUP($B426,master!$B$3:$S$600,9,0)</f>
        <v>3</v>
      </c>
      <c r="K426" s="67" t="str">
        <f>VLOOKUP($B426,master!$B$3:$S$600,11,0)</f>
        <v>PONCOSARI</v>
      </c>
      <c r="L426" s="67" t="str">
        <f>VLOOKUP($B426,master!$B$3:$S$600,12,0)</f>
        <v>SRANDAKAN</v>
      </c>
      <c r="M426" s="67" t="str">
        <f>VLOOKUP($B426,master!$B$3:$S$600,6,0)</f>
        <v>FAUZAN</v>
      </c>
      <c r="N426" s="82" t="str">
        <f>VLOOKUP($B426,master!$B$3:$S$600,15,0)</f>
        <v>SMP N 2 SRANDAKAN</v>
      </c>
      <c r="O426" s="82" t="str">
        <f>VLOOKUP($B426,master!$B$3:$S$600,4,0)</f>
        <v>9-10-2008</v>
      </c>
    </row>
    <row r="427" spans="1:15" ht="15.75" customHeight="1" x14ac:dyDescent="0.25">
      <c r="A427" s="80" t="s">
        <v>1402</v>
      </c>
      <c r="B427" s="11" t="s">
        <v>1387</v>
      </c>
      <c r="C427" s="11" t="s">
        <v>4797</v>
      </c>
      <c r="D427" s="11" t="s">
        <v>291</v>
      </c>
      <c r="E427" s="65" t="str">
        <f>VLOOKUP(D427,Total!$C$2:$D$518,2,0)</f>
        <v>11 TKR 5</v>
      </c>
      <c r="F427" s="65" t="str">
        <f>VLOOKUP(C427,Total!$B$2:$F$514,5,0)</f>
        <v>AKTIF</v>
      </c>
      <c r="G427" s="67" t="str">
        <f>VLOOKUP($B427,master!$B$3:$S$600,16,0)</f>
        <v>089635275531</v>
      </c>
      <c r="H427" s="67" t="str">
        <f>VLOOKUP($B427,master!$B$3:$S$600,17,0)</f>
        <v>089613971357</v>
      </c>
      <c r="I427" s="67" t="str">
        <f>VLOOKUP($B427,master!$B$3:$S$600,8,0)</f>
        <v>KANGGOTAN</v>
      </c>
      <c r="J427" s="67" t="str">
        <f>VLOOKUP($B427,master!$B$3:$S$600,9,0)</f>
        <v>008</v>
      </c>
      <c r="K427" s="67" t="str">
        <f>VLOOKUP($B427,master!$B$3:$S$600,11,0)</f>
        <v>PLERET</v>
      </c>
      <c r="L427" s="67" t="str">
        <f>VLOOKUP($B427,master!$B$3:$S$600,12,0)</f>
        <v>PLERET</v>
      </c>
      <c r="M427" s="67" t="str">
        <f>VLOOKUP($B427,master!$B$3:$S$600,6,0)</f>
        <v>Muhammad Aris</v>
      </c>
      <c r="N427" s="82" t="str">
        <f>VLOOKUP($B427,master!$B$3:$S$600,15,0)</f>
        <v>SMP N 3 PLERET</v>
      </c>
      <c r="O427" s="82" t="str">
        <f>VLOOKUP($B427,master!$B$3:$S$600,4,0)</f>
        <v>19-07-2008</v>
      </c>
    </row>
    <row r="428" spans="1:15" ht="15.75" customHeight="1" x14ac:dyDescent="0.25">
      <c r="A428" s="80" t="s">
        <v>1404</v>
      </c>
      <c r="B428" s="11" t="s">
        <v>1389</v>
      </c>
      <c r="C428" s="11" t="s">
        <v>4798</v>
      </c>
      <c r="D428" s="11" t="s">
        <v>292</v>
      </c>
      <c r="E428" s="65" t="str">
        <f>VLOOKUP(D428,Total!$C$2:$D$518,2,0)</f>
        <v>11 TKR 5</v>
      </c>
      <c r="F428" s="65" t="str">
        <f>VLOOKUP(C428,Total!$B$2:$F$514,5,0)</f>
        <v>AKTIF</v>
      </c>
      <c r="G428" s="67" t="str">
        <f>VLOOKUP($B428,master!$B$3:$S$600,16,0)</f>
        <v>085710157771/088233869169</v>
      </c>
      <c r="H428" s="67" t="str">
        <f>VLOOKUP($B428,master!$B$3:$S$600,17,0)</f>
        <v>085710157771</v>
      </c>
      <c r="I428" s="67" t="str">
        <f>VLOOKUP($B428,master!$B$3:$S$600,8,0)</f>
        <v>KEPUH KULON</v>
      </c>
      <c r="J428" s="67" t="str">
        <f>VLOOKUP($B428,master!$B$3:$S$600,9,0)</f>
        <v>6</v>
      </c>
      <c r="K428" s="67" t="str">
        <f>VLOOKUP($B428,master!$B$3:$S$600,11,0)</f>
        <v>WIROKERTEN</v>
      </c>
      <c r="L428" s="67" t="str">
        <f>VLOOKUP($B428,master!$B$3:$S$600,12,0)</f>
        <v>BANGUNTAPAN</v>
      </c>
      <c r="M428" s="67" t="str">
        <f>VLOOKUP($B428,master!$B$3:$S$600,6,0)</f>
        <v>SUJARNO</v>
      </c>
      <c r="N428" s="82" t="str">
        <f>VLOOKUP($B428,master!$B$3:$S$600,15,0)</f>
        <v>SMP Muhammadiyah 7 Yogyakarta</v>
      </c>
      <c r="O428" s="82" t="str">
        <f>VLOOKUP($B428,master!$B$3:$S$600,4,0)</f>
        <v>27-12-2008</v>
      </c>
    </row>
    <row r="429" spans="1:15" ht="15.75" customHeight="1" x14ac:dyDescent="0.25">
      <c r="A429" s="80" t="s">
        <v>1406</v>
      </c>
      <c r="B429" s="11" t="s">
        <v>1391</v>
      </c>
      <c r="C429" s="11" t="s">
        <v>4799</v>
      </c>
      <c r="D429" s="11" t="s">
        <v>293</v>
      </c>
      <c r="E429" s="65" t="str">
        <f>VLOOKUP(D429,Total!$C$2:$D$518,2,0)</f>
        <v>11 TKR 5</v>
      </c>
      <c r="F429" s="65" t="str">
        <f>VLOOKUP(C429,Total!$B$2:$F$514,5,0)</f>
        <v>KELUAR</v>
      </c>
      <c r="G429" s="67" t="str">
        <f>VLOOKUP($B429,master!$B$3:$S$600,16,0)</f>
        <v>085326225933</v>
      </c>
      <c r="H429" s="67" t="str">
        <f>VLOOKUP($B429,master!$B$3:$S$600,17,0)</f>
        <v>-</v>
      </c>
      <c r="I429" s="67" t="str">
        <f>VLOOKUP($B429,master!$B$3:$S$600,8,0)</f>
        <v>SUREN</v>
      </c>
      <c r="J429" s="67" t="str">
        <f>VLOOKUP($B429,master!$B$3:$S$600,9,0)</f>
        <v>4</v>
      </c>
      <c r="K429" s="67" t="str">
        <f>VLOOKUP($B429,master!$B$3:$S$600,11,0)</f>
        <v>PLERET</v>
      </c>
      <c r="L429" s="67" t="str">
        <f>VLOOKUP($B429,master!$B$3:$S$600,12,0)</f>
        <v>PLERET</v>
      </c>
      <c r="M429" s="67" t="str">
        <f>VLOOKUP($B429,master!$B$3:$S$600,6,0)</f>
        <v>PURWADI</v>
      </c>
      <c r="N429" s="82" t="str">
        <f>VLOOKUP($B429,master!$B$3:$S$600,15,0)</f>
        <v>SMP N 3 PLERET</v>
      </c>
      <c r="O429" s="82" t="str">
        <f>VLOOKUP($B429,master!$B$3:$S$600,4,0)</f>
        <v>22-04-2009</v>
      </c>
    </row>
    <row r="430" spans="1:15" ht="15.75" customHeight="1" x14ac:dyDescent="0.25">
      <c r="A430" s="80" t="s">
        <v>1408</v>
      </c>
      <c r="B430" s="11" t="s">
        <v>1393</v>
      </c>
      <c r="C430" s="11" t="s">
        <v>4800</v>
      </c>
      <c r="D430" s="11" t="s">
        <v>294</v>
      </c>
      <c r="E430" s="65" t="str">
        <f>VLOOKUP(D430,Total!$C$2:$D$518,2,0)</f>
        <v>11 TKR 5</v>
      </c>
      <c r="F430" s="65" t="str">
        <f>VLOOKUP(C430,Total!$B$2:$F$514,5,0)</f>
        <v>AKTIF</v>
      </c>
      <c r="G430" s="67" t="str">
        <f>VLOOKUP($B430,master!$B$3:$S$600,16,0)</f>
        <v>087719638439</v>
      </c>
      <c r="H430" s="67" t="str">
        <f>VLOOKUP($B430,master!$B$3:$S$600,17,0)</f>
        <v>089646316058</v>
      </c>
      <c r="I430" s="67" t="str">
        <f>VLOOKUP($B430,master!$B$3:$S$600,8,0)</f>
        <v>GEDONGAN</v>
      </c>
      <c r="J430" s="67" t="str">
        <f>VLOOKUP($B430,master!$B$3:$S$600,9,0)</f>
        <v>005</v>
      </c>
      <c r="K430" s="67" t="str">
        <f>VLOOKUP($B430,master!$B$3:$S$600,11,0)</f>
        <v>BANGUNJIWO</v>
      </c>
      <c r="L430" s="67" t="str">
        <f>VLOOKUP($B430,master!$B$3:$S$600,12,0)</f>
        <v>KASIHAN</v>
      </c>
      <c r="M430" s="67" t="str">
        <f>VLOOKUP($B430,master!$B$3:$S$600,6,0)</f>
        <v>SRI REJEKI</v>
      </c>
      <c r="N430" s="82" t="str">
        <f>VLOOKUP($B430,master!$B$3:$S$600,15,0)</f>
        <v>SMP N 4 SEWON</v>
      </c>
      <c r="O430" s="82" t="str">
        <f>VLOOKUP($B430,master!$B$3:$S$600,4,0)</f>
        <v>24-08-2008</v>
      </c>
    </row>
    <row r="431" spans="1:15" ht="15.75" customHeight="1" x14ac:dyDescent="0.25">
      <c r="A431" s="80" t="s">
        <v>1410</v>
      </c>
      <c r="B431" s="11" t="s">
        <v>1395</v>
      </c>
      <c r="C431" s="11" t="s">
        <v>4801</v>
      </c>
      <c r="D431" s="11" t="s">
        <v>295</v>
      </c>
      <c r="E431" s="65" t="str">
        <f>VLOOKUP(D431,Total!$C$2:$D$518,2,0)</f>
        <v>11 TKR 5</v>
      </c>
      <c r="F431" s="65" t="str">
        <f>VLOOKUP(C431,Total!$B$2:$F$514,5,0)</f>
        <v>AKTIF</v>
      </c>
      <c r="G431" s="67" t="str">
        <f>VLOOKUP($B431,master!$B$3:$S$600,16,0)</f>
        <v>089687617151</v>
      </c>
      <c r="H431" s="67" t="str">
        <f>VLOOKUP($B431,master!$B$3:$S$600,17,0)</f>
        <v>089687617151</v>
      </c>
      <c r="I431" s="67" t="str">
        <f>VLOOKUP($B431,master!$B$3:$S$600,8,0)</f>
        <v>MASAHAN</v>
      </c>
      <c r="J431" s="67" t="str">
        <f>VLOOKUP($B431,master!$B$3:$S$600,9,0)</f>
        <v>04</v>
      </c>
      <c r="K431" s="67" t="str">
        <f>VLOOKUP($B431,master!$B$3:$S$600,11,0)</f>
        <v>TRIRENGGO</v>
      </c>
      <c r="L431" s="67" t="str">
        <f>VLOOKUP($B431,master!$B$3:$S$600,12,0)</f>
        <v>BANTUL</v>
      </c>
      <c r="M431" s="67" t="str">
        <f>VLOOKUP($B431,master!$B$3:$S$600,6,0)</f>
        <v>Sulistya</v>
      </c>
      <c r="N431" s="82" t="str">
        <f>VLOOKUP($B431,master!$B$3:$S$600,15,0)</f>
        <v>SMP N 3 BANTUL</v>
      </c>
      <c r="O431" s="82" t="str">
        <f>VLOOKUP($B431,master!$B$3:$S$600,4,0)</f>
        <v>24-12-2008</v>
      </c>
    </row>
    <row r="432" spans="1:15" ht="15.75" customHeight="1" x14ac:dyDescent="0.25">
      <c r="A432" s="80" t="s">
        <v>1412</v>
      </c>
      <c r="B432" s="11" t="s">
        <v>1397</v>
      </c>
      <c r="C432" s="11" t="s">
        <v>4802</v>
      </c>
      <c r="D432" s="11" t="s">
        <v>296</v>
      </c>
      <c r="E432" s="65" t="str">
        <f>VLOOKUP(D432,Total!$C$2:$D$518,2,0)</f>
        <v>11 TKR 5</v>
      </c>
      <c r="F432" s="65" t="str">
        <f>VLOOKUP(C432,Total!$B$2:$F$514,5,0)</f>
        <v>AKTIF</v>
      </c>
      <c r="G432" s="67" t="str">
        <f>VLOOKUP($B432,master!$B$3:$S$600,16,0)</f>
        <v>081326388413</v>
      </c>
      <c r="H432" s="67" t="str">
        <f>VLOOKUP($B432,master!$B$3:$S$600,17,0)</f>
        <v>-</v>
      </c>
      <c r="I432" s="67" t="str">
        <f>VLOOKUP($B432,master!$B$3:$S$600,8,0)</f>
        <v>WONOLOPO</v>
      </c>
      <c r="J432" s="67" t="str">
        <f>VLOOKUP($B432,master!$B$3:$S$600,9,0)</f>
        <v>37</v>
      </c>
      <c r="K432" s="67" t="str">
        <f>VLOOKUP($B432,master!$B$3:$S$600,11,0)</f>
        <v>GULUREJO</v>
      </c>
      <c r="L432" s="67" t="str">
        <f>VLOOKUP($B432,master!$B$3:$S$600,12,0)</f>
        <v>LENDAH</v>
      </c>
      <c r="M432" s="67" t="str">
        <f>VLOOKUP($B432,master!$B$3:$S$600,6,0)</f>
        <v>AGUS TRI KUNCORO</v>
      </c>
      <c r="N432" s="82" t="str">
        <f>VLOOKUP($B432,master!$B$3:$S$600,15,0)</f>
        <v>SMP MUHAMMADIYAH 2 LENDAH</v>
      </c>
      <c r="O432" s="82" t="str">
        <f>VLOOKUP($B432,master!$B$3:$S$600,4,0)</f>
        <v>20-12-2008</v>
      </c>
    </row>
    <row r="433" spans="1:15" ht="15.75" customHeight="1" x14ac:dyDescent="0.25">
      <c r="A433" s="80" t="s">
        <v>1414</v>
      </c>
      <c r="B433" s="11" t="s">
        <v>1399</v>
      </c>
      <c r="C433" s="11" t="s">
        <v>4803</v>
      </c>
      <c r="D433" s="11" t="s">
        <v>297</v>
      </c>
      <c r="E433" s="65" t="str">
        <f>VLOOKUP(D433,Total!$C$2:$D$518,2,0)</f>
        <v>11 TKR 5</v>
      </c>
      <c r="F433" s="65" t="str">
        <f>VLOOKUP(C433,Total!$B$2:$F$514,5,0)</f>
        <v>AKTIF</v>
      </c>
      <c r="G433" s="67" t="str">
        <f>VLOOKUP($B433,master!$B$3:$S$600,16,0)</f>
        <v>85227002220</v>
      </c>
      <c r="H433" s="67" t="str">
        <f>VLOOKUP($B433,master!$B$3:$S$600,17,0)</f>
        <v>0</v>
      </c>
      <c r="I433" s="67" t="str">
        <f>VLOOKUP($B433,master!$B$3:$S$600,8,0)</f>
        <v>MANGIRAN</v>
      </c>
      <c r="J433" s="67" t="str">
        <f>VLOOKUP($B433,master!$B$3:$S$600,9,0)</f>
        <v>126</v>
      </c>
      <c r="K433" s="67" t="str">
        <f>VLOOKUP($B433,master!$B$3:$S$600,11,0)</f>
        <v>TRIMURTI</v>
      </c>
      <c r="L433" s="67" t="str">
        <f>VLOOKUP($B433,master!$B$3:$S$600,12,0)</f>
        <v>SRANDAKAN</v>
      </c>
      <c r="M433" s="67" t="str">
        <f>VLOOKUP($B433,master!$B$3:$S$600,6,0)</f>
        <v>HERI PURWANTO</v>
      </c>
      <c r="N433" s="82" t="str">
        <f>VLOOKUP($B433,master!$B$3:$S$600,15,0)</f>
        <v>SMP N 2 PANDAK</v>
      </c>
      <c r="O433" s="82" t="str">
        <f>VLOOKUP($B433,master!$B$3:$S$600,4,0)</f>
        <v>20-06-2008</v>
      </c>
    </row>
    <row r="434" spans="1:15" ht="15.75" customHeight="1" x14ac:dyDescent="0.25">
      <c r="A434" s="80" t="s">
        <v>1416</v>
      </c>
      <c r="B434" s="11" t="s">
        <v>1401</v>
      </c>
      <c r="C434" s="11" t="s">
        <v>4804</v>
      </c>
      <c r="D434" s="11" t="s">
        <v>298</v>
      </c>
      <c r="E434" s="65" t="str">
        <f>VLOOKUP(D434,Total!$C$2:$D$518,2,0)</f>
        <v>11 TKR 5</v>
      </c>
      <c r="F434" s="65" t="str">
        <f>VLOOKUP(C434,Total!$B$2:$F$514,5,0)</f>
        <v>AKTIF</v>
      </c>
      <c r="G434" s="67" t="str">
        <f>VLOOKUP($B434,master!$B$3:$S$600,16,0)</f>
        <v>85647181201</v>
      </c>
      <c r="H434" s="67" t="str">
        <f>VLOOKUP($B434,master!$B$3:$S$600,17,0)</f>
        <v>0</v>
      </c>
      <c r="I434" s="67" t="str">
        <f>VLOOKUP($B434,master!$B$3:$S$600,8,0)</f>
        <v>PUNDONG</v>
      </c>
      <c r="J434" s="67" t="str">
        <f>VLOOKUP($B434,master!$B$3:$S$600,9,0)</f>
        <v>6</v>
      </c>
      <c r="K434" s="67" t="str">
        <f>VLOOKUP($B434,master!$B$3:$S$600,11,0)</f>
        <v>SRIHARDONO</v>
      </c>
      <c r="L434" s="67" t="str">
        <f>VLOOKUP($B434,master!$B$3:$S$600,12,0)</f>
        <v>PUNDONG</v>
      </c>
      <c r="M434" s="67" t="str">
        <f>VLOOKUP($B434,master!$B$3:$S$600,6,0)</f>
        <v>SUTARJA</v>
      </c>
      <c r="N434" s="82" t="str">
        <f>VLOOKUP($B434,master!$B$3:$S$600,15,0)</f>
        <v>SMP N 2 PUNDONG</v>
      </c>
      <c r="O434" s="82" t="str">
        <f>VLOOKUP($B434,master!$B$3:$S$600,4,0)</f>
        <v>18-02-2009</v>
      </c>
    </row>
    <row r="435" spans="1:15" ht="15.75" customHeight="1" x14ac:dyDescent="0.25">
      <c r="A435" s="80" t="s">
        <v>1418</v>
      </c>
      <c r="B435" s="11" t="s">
        <v>1403</v>
      </c>
      <c r="C435" s="11" t="s">
        <v>4805</v>
      </c>
      <c r="D435" s="11" t="s">
        <v>5093</v>
      </c>
      <c r="E435" s="65" t="str">
        <f>VLOOKUP(D435,Total!$C$2:$D$518,2,0)</f>
        <v>11 TKR 5</v>
      </c>
      <c r="F435" s="65" t="str">
        <f>VLOOKUP(C435,Total!$B$2:$F$514,5,0)</f>
        <v>AKTIF</v>
      </c>
      <c r="G435" s="67" t="str">
        <f>VLOOKUP($B435,master!$B$3:$S$600,16,0)</f>
        <v>87839994299</v>
      </c>
      <c r="H435" s="67" t="str">
        <f>VLOOKUP($B435,master!$B$3:$S$600,17,0)</f>
        <v>0</v>
      </c>
      <c r="I435" s="67" t="str">
        <f>VLOOKUP($B435,master!$B$3:$S$600,8,0)</f>
        <v>DEMAKAN</v>
      </c>
      <c r="J435" s="67" t="str">
        <f>VLOOKUP($B435,master!$B$3:$S$600,9,0)</f>
        <v>0</v>
      </c>
      <c r="K435" s="67" t="str">
        <f>VLOOKUP($B435,master!$B$3:$S$600,11,0)</f>
        <v>GADINGSARI</v>
      </c>
      <c r="L435" s="67" t="str">
        <f>VLOOKUP($B435,master!$B$3:$S$600,12,0)</f>
        <v>SANDEN</v>
      </c>
      <c r="M435" s="67" t="str">
        <f>VLOOKUP($B435,master!$B$3:$S$600,6,0)</f>
        <v>MARYANTO</v>
      </c>
      <c r="N435" s="82" t="str">
        <f>VLOOKUP($B435,master!$B$3:$S$600,15,0)</f>
        <v>MTS AL-FURQON SANDEN</v>
      </c>
      <c r="O435" s="82" t="str">
        <f>VLOOKUP($B435,master!$B$3:$S$600,4,0)</f>
        <v>24-07-2008</v>
      </c>
    </row>
    <row r="436" spans="1:15" ht="15.75" customHeight="1" x14ac:dyDescent="0.25">
      <c r="A436" s="80" t="s">
        <v>1420</v>
      </c>
      <c r="B436" s="11" t="s">
        <v>1405</v>
      </c>
      <c r="C436" s="11" t="s">
        <v>4806</v>
      </c>
      <c r="D436" s="11" t="s">
        <v>299</v>
      </c>
      <c r="E436" s="65" t="str">
        <f>VLOOKUP(D436,Total!$C$2:$D$518,2,0)</f>
        <v>11 TKR 5</v>
      </c>
      <c r="F436" s="65" t="str">
        <f>VLOOKUP(C436,Total!$B$2:$F$514,5,0)</f>
        <v>AKTIF</v>
      </c>
      <c r="G436" s="67" t="str">
        <f>VLOOKUP($B436,master!$B$3:$S$600,16,0)</f>
        <v>083836774440</v>
      </c>
      <c r="H436" s="67" t="str">
        <f>VLOOKUP($B436,master!$B$3:$S$600,17,0)</f>
        <v>-</v>
      </c>
      <c r="I436" s="67" t="str">
        <f>VLOOKUP($B436,master!$B$3:$S$600,8,0)</f>
        <v>LEMAHDADI</v>
      </c>
      <c r="J436" s="67" t="str">
        <f>VLOOKUP($B436,master!$B$3:$S$600,9,0)</f>
        <v>2</v>
      </c>
      <c r="K436" s="67" t="str">
        <f>VLOOKUP($B436,master!$B$3:$S$600,11,0)</f>
        <v>BANGUNJIWO</v>
      </c>
      <c r="L436" s="67" t="str">
        <f>VLOOKUP($B436,master!$B$3:$S$600,12,0)</f>
        <v>KASIHAN</v>
      </c>
      <c r="M436" s="67" t="str">
        <f>VLOOKUP($B436,master!$B$3:$S$600,6,0)</f>
        <v>KELIK SANJAYA</v>
      </c>
      <c r="N436" s="82" t="str">
        <f>VLOOKUP($B436,master!$B$3:$S$600,15,0)</f>
        <v>MTS MUHAMMADIYAH KASIHAN</v>
      </c>
      <c r="O436" s="82" t="str">
        <f>VLOOKUP($B436,master!$B$3:$S$600,4,0)</f>
        <v>15-10-2006</v>
      </c>
    </row>
    <row r="437" spans="1:15" ht="15.75" customHeight="1" x14ac:dyDescent="0.25">
      <c r="A437" s="80" t="s">
        <v>1422</v>
      </c>
      <c r="B437" s="11" t="s">
        <v>1407</v>
      </c>
      <c r="C437" s="11" t="s">
        <v>4807</v>
      </c>
      <c r="D437" s="11" t="s">
        <v>300</v>
      </c>
      <c r="E437" s="65" t="str">
        <f>VLOOKUP(D437,Total!$C$2:$D$518,2,0)</f>
        <v>11 TKR 5</v>
      </c>
      <c r="F437" s="65" t="str">
        <f>VLOOKUP(C437,Total!$B$2:$F$514,5,0)</f>
        <v>AKTIF</v>
      </c>
      <c r="G437" s="67" t="str">
        <f>VLOOKUP($B437,master!$B$3:$S$600,16,0)</f>
        <v>0817460511/089674396550</v>
      </c>
      <c r="H437" s="67" t="str">
        <f>VLOOKUP($B437,master!$B$3:$S$600,17,0)</f>
        <v>-</v>
      </c>
      <c r="I437" s="67" t="str">
        <f>VLOOKUP($B437,master!$B$3:$S$600,8,0)</f>
        <v>JL. GAYUNGAN 03-A/14</v>
      </c>
      <c r="J437" s="67" t="str">
        <f>VLOOKUP($B437,master!$B$3:$S$600,9,0)</f>
        <v>5</v>
      </c>
      <c r="K437" s="67" t="str">
        <f>VLOOKUP($B437,master!$B$3:$S$600,11,0)</f>
        <v>GAYUNGAN</v>
      </c>
      <c r="L437" s="67" t="str">
        <f>VLOOKUP($B437,master!$B$3:$S$600,12,0)</f>
        <v>GAYUNGAN</v>
      </c>
      <c r="M437" s="67" t="str">
        <f>VLOOKUP($B437,master!$B$3:$S$600,6,0)</f>
        <v>BAKDO HADI MULYO</v>
      </c>
      <c r="N437" s="82" t="str">
        <f>VLOOKUP($B437,master!$B$3:$S$600,15,0)</f>
        <v>SMP N 36 SURABAYA</v>
      </c>
      <c r="O437" s="82" t="str">
        <f>VLOOKUP($B437,master!$B$3:$S$600,4,0)</f>
        <v>19-06-2008</v>
      </c>
    </row>
    <row r="438" spans="1:15" ht="15.75" customHeight="1" x14ac:dyDescent="0.25">
      <c r="A438" s="80" t="s">
        <v>1424</v>
      </c>
      <c r="B438" s="11" t="s">
        <v>1409</v>
      </c>
      <c r="C438" s="11" t="s">
        <v>4808</v>
      </c>
      <c r="D438" s="11" t="s">
        <v>301</v>
      </c>
      <c r="E438" s="65" t="str">
        <f>VLOOKUP(D438,Total!$C$2:$D$518,2,0)</f>
        <v>11 TKR 5</v>
      </c>
      <c r="F438" s="65" t="str">
        <f>VLOOKUP(C438,Total!$B$2:$F$514,5,0)</f>
        <v>KELUAR</v>
      </c>
      <c r="G438" s="67" t="str">
        <f>VLOOKUP($B438,master!$B$3:$S$600,16,0)</f>
        <v>085326233383</v>
      </c>
      <c r="H438" s="67" t="str">
        <f>VLOOKUP($B438,master!$B$3:$S$600,17,0)</f>
        <v>-</v>
      </c>
      <c r="I438" s="67" t="str">
        <f>VLOOKUP($B438,master!$B$3:$S$600,8,0)</f>
        <v>KIRINGAN</v>
      </c>
      <c r="J438" s="67" t="str">
        <f>VLOOKUP($B438,master!$B$3:$S$600,9,0)</f>
        <v>4</v>
      </c>
      <c r="K438" s="67" t="str">
        <f>VLOOKUP($B438,master!$B$3:$S$600,11,0)</f>
        <v>CANDEN</v>
      </c>
      <c r="L438" s="67" t="str">
        <f>VLOOKUP($B438,master!$B$3:$S$600,12,0)</f>
        <v>JETIS</v>
      </c>
      <c r="M438" s="67" t="str">
        <f>VLOOKUP($B438,master!$B$3:$S$600,6,0)</f>
        <v>JUMALI</v>
      </c>
      <c r="N438" s="82" t="str">
        <f>VLOOKUP($B438,master!$B$3:$S$600,15,0)</f>
        <v>MTS N 5 BANTUL</v>
      </c>
      <c r="O438" s="82" t="str">
        <f>VLOOKUP($B438,master!$B$3:$S$600,4,0)</f>
        <v>10-04-2008</v>
      </c>
    </row>
    <row r="439" spans="1:15" ht="15.75" customHeight="1" x14ac:dyDescent="0.25">
      <c r="A439" s="80" t="s">
        <v>1426</v>
      </c>
      <c r="B439" s="11" t="s">
        <v>1411</v>
      </c>
      <c r="C439" s="11" t="s">
        <v>4809</v>
      </c>
      <c r="D439" s="11" t="s">
        <v>302</v>
      </c>
      <c r="E439" s="65" t="str">
        <f>VLOOKUP(D439,Total!$C$2:$D$518,2,0)</f>
        <v>11 TKR 5</v>
      </c>
      <c r="F439" s="65" t="str">
        <f>VLOOKUP(C439,Total!$B$2:$F$514,5,0)</f>
        <v>AKTIF</v>
      </c>
      <c r="G439" s="67" t="str">
        <f>VLOOKUP($B439,master!$B$3:$S$600,16,0)</f>
        <v>081904199929</v>
      </c>
      <c r="H439" s="67" t="str">
        <f>VLOOKUP($B439,master!$B$3:$S$600,17,0)</f>
        <v>082127899919</v>
      </c>
      <c r="I439" s="67" t="str">
        <f>VLOOKUP($B439,master!$B$3:$S$600,8,0)</f>
        <v>NGENTAK</v>
      </c>
      <c r="J439" s="67" t="str">
        <f>VLOOKUP($B439,master!$B$3:$S$600,9,0)</f>
        <v>1</v>
      </c>
      <c r="K439" s="67" t="str">
        <f>VLOOKUP($B439,master!$B$3:$S$600,11,0)</f>
        <v>MURTIGADING</v>
      </c>
      <c r="L439" s="67" t="str">
        <f>VLOOKUP($B439,master!$B$3:$S$600,12,0)</f>
        <v>SANDEN</v>
      </c>
      <c r="M439" s="67" t="str">
        <f>VLOOKUP($B439,master!$B$3:$S$600,6,0)</f>
        <v>Candra Wirawan</v>
      </c>
      <c r="N439" s="82" t="str">
        <f>VLOOKUP($B439,master!$B$3:$S$600,15,0)</f>
        <v>SMP N 1 SANDEN</v>
      </c>
      <c r="O439" s="82" t="str">
        <f>VLOOKUP($B439,master!$B$3:$S$600,4,0)</f>
        <v>6-12-2008</v>
      </c>
    </row>
    <row r="440" spans="1:15" ht="15.75" customHeight="1" x14ac:dyDescent="0.25">
      <c r="A440" s="80" t="s">
        <v>1428</v>
      </c>
      <c r="B440" s="11" t="s">
        <v>1413</v>
      </c>
      <c r="C440" s="11" t="s">
        <v>4810</v>
      </c>
      <c r="D440" s="11" t="s">
        <v>303</v>
      </c>
      <c r="E440" s="65" t="str">
        <f>VLOOKUP(D440,Total!$C$2:$D$518,2,0)</f>
        <v>11 TKR 5</v>
      </c>
      <c r="F440" s="65" t="str">
        <f>VLOOKUP(C440,Total!$B$2:$F$514,5,0)</f>
        <v>KELUAR</v>
      </c>
      <c r="G440" s="67" t="str">
        <f>VLOOKUP($B440,master!$B$3:$S$600,16,0)</f>
        <v>083104594453</v>
      </c>
      <c r="H440" s="67" t="str">
        <f>VLOOKUP($B440,master!$B$3:$S$600,17,0)</f>
        <v>08891761849</v>
      </c>
      <c r="I440" s="67" t="str">
        <f>VLOOKUP($B440,master!$B$3:$S$600,8,0)</f>
        <v>GUNUNG BUTAK DK. GUM</v>
      </c>
      <c r="J440" s="67" t="str">
        <f>VLOOKUP($B440,master!$B$3:$S$600,9,0)</f>
        <v>007</v>
      </c>
      <c r="K440" s="67" t="str">
        <f>VLOOKUP($B440,master!$B$3:$S$600,11,0)</f>
        <v>CATURHARJO</v>
      </c>
      <c r="L440" s="67" t="str">
        <f>VLOOKUP($B440,master!$B$3:$S$600,12,0)</f>
        <v>PANDAK</v>
      </c>
      <c r="M440" s="67" t="str">
        <f>VLOOKUP($B440,master!$B$3:$S$600,6,0)</f>
        <v>MUJI LESTARI</v>
      </c>
      <c r="N440" s="82" t="str">
        <f>VLOOKUP($B440,master!$B$3:$S$600,15,0)</f>
        <v>SMP MUHAMMADIYAH SANDEN</v>
      </c>
      <c r="O440" s="82" t="str">
        <f>VLOOKUP($B440,master!$B$3:$S$600,4,0)</f>
        <v>29-12-2006</v>
      </c>
    </row>
    <row r="441" spans="1:15" ht="15.75" customHeight="1" x14ac:dyDescent="0.25">
      <c r="A441" s="80" t="s">
        <v>1430</v>
      </c>
      <c r="B441" s="11" t="s">
        <v>1415</v>
      </c>
      <c r="C441" s="11" t="s">
        <v>4566</v>
      </c>
      <c r="D441" s="11" t="s">
        <v>64</v>
      </c>
      <c r="E441" s="65" t="str">
        <f>VLOOKUP(D441,Total!$C$2:$D$518,2,0)</f>
        <v>11 TPM 1</v>
      </c>
      <c r="F441" s="65" t="str">
        <f>VLOOKUP(C441,Total!$B$2:$F$514,5,0)</f>
        <v>AKTIF</v>
      </c>
      <c r="G441" s="67" t="str">
        <f>VLOOKUP($B441,master!$B$3:$S$600,16,0)</f>
        <v>085600274287</v>
      </c>
      <c r="H441" s="67" t="str">
        <f>VLOOKUP($B441,master!$B$3:$S$600,17,0)</f>
        <v>0882008155858</v>
      </c>
      <c r="I441" s="67" t="str">
        <f>VLOOKUP($B441,master!$B$3:$S$600,8,0)</f>
        <v>KEDUNGPRING</v>
      </c>
      <c r="J441" s="67" t="str">
        <f>VLOOKUP($B441,master!$B$3:$S$600,9,0)</f>
        <v>4</v>
      </c>
      <c r="K441" s="67" t="str">
        <f>VLOOKUP($B441,master!$B$3:$S$600,11,0)</f>
        <v>BAWURAN</v>
      </c>
      <c r="L441" s="67" t="str">
        <f>VLOOKUP($B441,master!$B$3:$S$600,12,0)</f>
        <v>PLERET</v>
      </c>
      <c r="M441" s="67" t="str">
        <f>VLOOKUP($B441,master!$B$3:$S$600,6,0)</f>
        <v>THOLKHAH MANSYUR</v>
      </c>
      <c r="N441" s="82" t="str">
        <f>VLOOKUP($B441,master!$B$3:$S$600,15,0)</f>
        <v>SMP N 3 PLERET</v>
      </c>
      <c r="O441" s="82" t="str">
        <f>VLOOKUP($B441,master!$B$3:$S$600,4,0)</f>
        <v>2-10-2008</v>
      </c>
    </row>
    <row r="442" spans="1:15" ht="15.75" customHeight="1" x14ac:dyDescent="0.25">
      <c r="A442" s="80" t="s">
        <v>1432</v>
      </c>
      <c r="B442" s="11" t="s">
        <v>1417</v>
      </c>
      <c r="C442" s="11" t="s">
        <v>4567</v>
      </c>
      <c r="D442" s="11" t="s">
        <v>65</v>
      </c>
      <c r="E442" s="65" t="str">
        <f>VLOOKUP(D442,Total!$C$2:$D$518,2,0)</f>
        <v>11 TPM 1</v>
      </c>
      <c r="F442" s="65" t="str">
        <f>VLOOKUP(C442,Total!$B$2:$F$514,5,0)</f>
        <v>AKTIF</v>
      </c>
      <c r="G442" s="67" t="str">
        <f>VLOOKUP($B442,master!$B$3:$S$600,16,0)</f>
        <v>082337018804</v>
      </c>
      <c r="H442" s="67" t="str">
        <f>VLOOKUP($B442,master!$B$3:$S$600,17,0)</f>
        <v>089652970550</v>
      </c>
      <c r="I442" s="67" t="str">
        <f>VLOOKUP($B442,master!$B$3:$S$600,8,0)</f>
        <v>JONGGRANGAN</v>
      </c>
      <c r="J442" s="67" t="str">
        <f>VLOOKUP($B442,master!$B$3:$S$600,9,0)</f>
        <v>001</v>
      </c>
      <c r="K442" s="67" t="str">
        <f>VLOOKUP($B442,master!$B$3:$S$600,11,0)</f>
        <v>SRIHARDONO</v>
      </c>
      <c r="L442" s="67" t="str">
        <f>VLOOKUP($B442,master!$B$3:$S$600,12,0)</f>
        <v>PUNDONG</v>
      </c>
      <c r="M442" s="67" t="str">
        <f>VLOOKUP($B442,master!$B$3:$S$600,6,0)</f>
        <v>SUJIO</v>
      </c>
      <c r="N442" s="82" t="str">
        <f>VLOOKUP($B442,master!$B$3:$S$600,15,0)</f>
        <v>SMP N 2 PUNDONG</v>
      </c>
      <c r="O442" s="82" t="str">
        <f>VLOOKUP($B442,master!$B$3:$S$600,4,0)</f>
        <v>4-03-2009</v>
      </c>
    </row>
    <row r="443" spans="1:15" ht="15.75" customHeight="1" x14ac:dyDescent="0.25">
      <c r="A443" s="80" t="s">
        <v>1434</v>
      </c>
      <c r="B443" s="11" t="s">
        <v>1419</v>
      </c>
      <c r="C443" s="11" t="s">
        <v>4568</v>
      </c>
      <c r="D443" s="11" t="s">
        <v>66</v>
      </c>
      <c r="E443" s="65" t="str">
        <f>VLOOKUP(D443,Total!$C$2:$D$518,2,0)</f>
        <v>11 TPM 1</v>
      </c>
      <c r="F443" s="65" t="str">
        <f>VLOOKUP(C443,Total!$B$2:$F$514,5,0)</f>
        <v>AKTIF</v>
      </c>
      <c r="G443" s="67" t="str">
        <f>VLOOKUP($B443,master!$B$3:$S$600,16,0)</f>
        <v>087839967167</v>
      </c>
      <c r="H443" s="67" t="str">
        <f>VLOOKUP($B443,master!$B$3:$S$600,17,0)</f>
        <v>0838-5213-6810</v>
      </c>
      <c r="I443" s="67" t="str">
        <f>VLOOKUP($B443,master!$B$3:$S$600,8,0)</f>
        <v>Pungkuran</v>
      </c>
      <c r="J443" s="67" t="str">
        <f>VLOOKUP($B443,master!$B$3:$S$600,9,0)</f>
        <v>02</v>
      </c>
      <c r="K443" s="67" t="str">
        <f>VLOOKUP($B443,master!$B$3:$S$600,11,0)</f>
        <v>PLERET</v>
      </c>
      <c r="L443" s="67" t="str">
        <f>VLOOKUP($B443,master!$B$3:$S$600,12,0)</f>
        <v>PLERET</v>
      </c>
      <c r="M443" s="67" t="str">
        <f>VLOOKUP($B443,master!$B$3:$S$600,6,0)</f>
        <v>Maryadi</v>
      </c>
      <c r="N443" s="82" t="str">
        <f>VLOOKUP($B443,master!$B$3:$S$600,15,0)</f>
        <v>SMP MUHAMMADIYAH PLERET</v>
      </c>
      <c r="O443" s="82" t="str">
        <f>VLOOKUP($B443,master!$B$3:$S$600,4,0)</f>
        <v>2-01-2008</v>
      </c>
    </row>
    <row r="444" spans="1:15" ht="15.75" customHeight="1" x14ac:dyDescent="0.25">
      <c r="A444" s="80" t="s">
        <v>1436</v>
      </c>
      <c r="B444" s="11" t="s">
        <v>1421</v>
      </c>
      <c r="C444" s="11" t="s">
        <v>4569</v>
      </c>
      <c r="D444" s="11" t="s">
        <v>67</v>
      </c>
      <c r="E444" s="65" t="str">
        <f>VLOOKUP(D444,Total!$C$2:$D$518,2,0)</f>
        <v>11 TPM 1</v>
      </c>
      <c r="F444" s="65" t="str">
        <f>VLOOKUP(C444,Total!$B$2:$F$514,5,0)</f>
        <v>AKTIF</v>
      </c>
      <c r="G444" s="67" t="str">
        <f>VLOOKUP($B444,master!$B$3:$S$600,16,0)</f>
        <v>085392164756</v>
      </c>
      <c r="H444" s="67" t="str">
        <f>VLOOKUP($B444,master!$B$3:$S$600,17,0)</f>
        <v>089526717873</v>
      </c>
      <c r="I444" s="67" t="str">
        <f>VLOOKUP($B444,master!$B$3:$S$600,8,0)</f>
        <v>KEMBARAN</v>
      </c>
      <c r="J444" s="67" t="str">
        <f>VLOOKUP($B444,master!$B$3:$S$600,9,0)</f>
        <v>6</v>
      </c>
      <c r="K444" s="67" t="str">
        <f>VLOOKUP($B444,master!$B$3:$S$600,11,0)</f>
        <v>TAMANTIRTO</v>
      </c>
      <c r="L444" s="67" t="str">
        <f>VLOOKUP($B444,master!$B$3:$S$600,12,0)</f>
        <v>KASIHAN</v>
      </c>
      <c r="M444" s="67" t="str">
        <f>VLOOKUP($B444,master!$B$3:$S$600,6,0)</f>
        <v>SULARNO</v>
      </c>
      <c r="N444" s="82" t="str">
        <f>VLOOKUP($B444,master!$B$3:$S$600,15,0)</f>
        <v>MTS MUHAMMADIYAH KASIHAN</v>
      </c>
      <c r="O444" s="82" t="str">
        <f>VLOOKUP($B444,master!$B$3:$S$600,4,0)</f>
        <v>20-06-2008</v>
      </c>
    </row>
    <row r="445" spans="1:15" ht="15.75" customHeight="1" x14ac:dyDescent="0.25">
      <c r="A445" s="80" t="s">
        <v>1438</v>
      </c>
      <c r="B445" s="11" t="s">
        <v>1423</v>
      </c>
      <c r="C445" s="11" t="s">
        <v>4570</v>
      </c>
      <c r="D445" s="11" t="s">
        <v>68</v>
      </c>
      <c r="E445" s="65" t="str">
        <f>VLOOKUP(D445,Total!$C$2:$D$518,2,0)</f>
        <v>11 TPM 1</v>
      </c>
      <c r="F445" s="65" t="str">
        <f>VLOOKUP(C445,Total!$B$2:$F$514,5,0)</f>
        <v>AKTIF</v>
      </c>
      <c r="G445" s="67" t="str">
        <f>VLOOKUP($B445,master!$B$3:$S$600,16,0)</f>
        <v>-</v>
      </c>
      <c r="H445" s="67" t="str">
        <f>VLOOKUP($B445,master!$B$3:$S$600,17,0)</f>
        <v>082221360028</v>
      </c>
      <c r="I445" s="67" t="str">
        <f>VLOOKUP($B445,master!$B$3:$S$600,8,0)</f>
        <v>GATAK</v>
      </c>
      <c r="J445" s="67" t="str">
        <f>VLOOKUP($B445,master!$B$3:$S$600,9,0)</f>
        <v>2</v>
      </c>
      <c r="K445" s="67" t="str">
        <f>VLOOKUP($B445,master!$B$3:$S$600,11,0)</f>
        <v>TIMBULHARJO</v>
      </c>
      <c r="L445" s="67" t="str">
        <f>VLOOKUP($B445,master!$B$3:$S$600,12,0)</f>
        <v>SEWON</v>
      </c>
      <c r="M445" s="67" t="str">
        <f>VLOOKUP($B445,master!$B$3:$S$600,6,0)</f>
        <v>SURADI</v>
      </c>
      <c r="N445" s="82" t="str">
        <f>VLOOKUP($B445,master!$B$3:$S$600,15,0)</f>
        <v>SMP N 2 SEWON</v>
      </c>
      <c r="O445" s="82" t="str">
        <f>VLOOKUP($B445,master!$B$3:$S$600,4,0)</f>
        <v>27-03-2008</v>
      </c>
    </row>
    <row r="446" spans="1:15" ht="15.75" customHeight="1" x14ac:dyDescent="0.25">
      <c r="A446" s="80" t="s">
        <v>1440</v>
      </c>
      <c r="B446" s="11" t="s">
        <v>1425</v>
      </c>
      <c r="C446" s="11" t="s">
        <v>4571</v>
      </c>
      <c r="D446" s="11" t="s">
        <v>69</v>
      </c>
      <c r="E446" s="65" t="str">
        <f>VLOOKUP(D446,Total!$C$2:$D$518,2,0)</f>
        <v>11 TPM 1</v>
      </c>
      <c r="F446" s="65" t="str">
        <f>VLOOKUP(C446,Total!$B$2:$F$514,5,0)</f>
        <v>AKTIF</v>
      </c>
      <c r="G446" s="67" t="str">
        <f>VLOOKUP($B446,master!$B$3:$S$600,16,0)</f>
        <v>81802787093</v>
      </c>
      <c r="H446" s="67" t="str">
        <f>VLOOKUP($B446,master!$B$3:$S$600,17,0)</f>
        <v>0</v>
      </c>
      <c r="I446" s="67" t="str">
        <f>VLOOKUP($B446,master!$B$3:$S$600,8,0)</f>
        <v>DAGEN</v>
      </c>
      <c r="J446" s="67" t="str">
        <f>VLOOKUP($B446,master!$B$3:$S$600,9,0)</f>
        <v>4</v>
      </c>
      <c r="K446" s="67" t="str">
        <f>VLOOKUP($B446,master!$B$3:$S$600,11,0)</f>
        <v>RINGINHARJO</v>
      </c>
      <c r="L446" s="67" t="str">
        <f>VLOOKUP($B446,master!$B$3:$S$600,12,0)</f>
        <v>BANTUL</v>
      </c>
      <c r="M446" s="67" t="str">
        <f>VLOOKUP($B446,master!$B$3:$S$600,6,0)</f>
        <v>RIDAWALA</v>
      </c>
      <c r="N446" s="82" t="str">
        <f>VLOOKUP($B446,master!$B$3:$S$600,15,0)</f>
        <v>SMP N 2 BANTUL</v>
      </c>
      <c r="O446" s="82" t="str">
        <f>VLOOKUP($B446,master!$B$3:$S$600,4,0)</f>
        <v>14-06-2008</v>
      </c>
    </row>
    <row r="447" spans="1:15" ht="15.75" customHeight="1" x14ac:dyDescent="0.25">
      <c r="A447" s="80" t="s">
        <v>1442</v>
      </c>
      <c r="B447" s="11" t="s">
        <v>1427</v>
      </c>
      <c r="C447" s="11" t="s">
        <v>4572</v>
      </c>
      <c r="D447" s="11" t="s">
        <v>70</v>
      </c>
      <c r="E447" s="65" t="str">
        <f>VLOOKUP(D447,Total!$C$2:$D$518,2,0)</f>
        <v>11 TPM 1</v>
      </c>
      <c r="F447" s="65" t="str">
        <f>VLOOKUP(C447,Total!$B$2:$F$514,5,0)</f>
        <v>AKTIF</v>
      </c>
      <c r="G447" s="67" t="str">
        <f>VLOOKUP($B447,master!$B$3:$S$600,16,0)</f>
        <v>087826910868</v>
      </c>
      <c r="H447" s="67" t="str">
        <f>VLOOKUP($B447,master!$B$3:$S$600,17,0)</f>
        <v>088229503965</v>
      </c>
      <c r="I447" s="67" t="str">
        <f>VLOOKUP($B447,master!$B$3:$S$600,8,0)</f>
        <v>TIRTO</v>
      </c>
      <c r="J447" s="67" t="str">
        <f>VLOOKUP($B447,master!$B$3:$S$600,9,0)</f>
        <v>05</v>
      </c>
      <c r="K447" s="67" t="str">
        <f>VLOOKUP($B447,master!$B$3:$S$600,11,0)</f>
        <v>TRIHARJO</v>
      </c>
      <c r="L447" s="67" t="str">
        <f>VLOOKUP($B447,master!$B$3:$S$600,12,0)</f>
        <v>PANDAK</v>
      </c>
      <c r="M447" s="67" t="str">
        <f>VLOOKUP($B447,master!$B$3:$S$600,6,0)</f>
        <v>SURADAL</v>
      </c>
      <c r="N447" s="82" t="str">
        <f>VLOOKUP($B447,master!$B$3:$S$600,15,0)</f>
        <v>SMP N 4 PANDAK</v>
      </c>
      <c r="O447" s="82" t="str">
        <f>VLOOKUP($B447,master!$B$3:$S$600,4,0)</f>
        <v>3-11-2008</v>
      </c>
    </row>
    <row r="448" spans="1:15" ht="15.75" customHeight="1" x14ac:dyDescent="0.25">
      <c r="A448" s="80" t="s">
        <v>1444</v>
      </c>
      <c r="B448" s="11" t="s">
        <v>1429</v>
      </c>
      <c r="C448" s="11" t="s">
        <v>4573</v>
      </c>
      <c r="D448" s="11" t="s">
        <v>71</v>
      </c>
      <c r="E448" s="65" t="str">
        <f>VLOOKUP(D448,Total!$C$2:$D$518,2,0)</f>
        <v>11 TPM 1</v>
      </c>
      <c r="F448" s="65" t="str">
        <f>VLOOKUP(C448,Total!$B$2:$F$514,5,0)</f>
        <v>AKTIF</v>
      </c>
      <c r="G448" s="67" t="str">
        <f>VLOOKUP($B448,master!$B$3:$S$600,16,0)</f>
        <v>0895364426969</v>
      </c>
      <c r="H448" s="67" t="str">
        <f>VLOOKUP($B448,master!$B$3:$S$600,17,0)</f>
        <v>0895321269745</v>
      </c>
      <c r="I448" s="67" t="str">
        <f>VLOOKUP($B448,master!$B$3:$S$600,8,0)</f>
        <v>KASIHAN</v>
      </c>
      <c r="J448" s="67" t="str">
        <f>VLOOKUP($B448,master!$B$3:$S$600,9,0)</f>
        <v>7</v>
      </c>
      <c r="K448" s="67" t="str">
        <f>VLOOKUP($B448,master!$B$3:$S$600,11,0)</f>
        <v>TAMANTIRTO</v>
      </c>
      <c r="L448" s="67" t="str">
        <f>VLOOKUP($B448,master!$B$3:$S$600,12,0)</f>
        <v>KASIHAN</v>
      </c>
      <c r="M448" s="67" t="str">
        <f>VLOOKUP($B448,master!$B$3:$S$600,6,0)</f>
        <v>WIDODO BASUKI</v>
      </c>
      <c r="N448" s="82" t="str">
        <f>VLOOKUP($B448,master!$B$3:$S$600,15,0)</f>
        <v>SMP MUHAMMADIYAH KASIHAN</v>
      </c>
      <c r="O448" s="82" t="str">
        <f>VLOOKUP($B448,master!$B$3:$S$600,4,0)</f>
        <v>6-09-2008</v>
      </c>
    </row>
    <row r="449" spans="1:15" ht="15.75" customHeight="1" x14ac:dyDescent="0.25">
      <c r="A449" s="80" t="s">
        <v>1446</v>
      </c>
      <c r="B449" s="11" t="s">
        <v>1431</v>
      </c>
      <c r="C449" s="11" t="s">
        <v>4574</v>
      </c>
      <c r="D449" s="11" t="s">
        <v>72</v>
      </c>
      <c r="E449" s="65" t="str">
        <f>VLOOKUP(D449,Total!$C$2:$D$518,2,0)</f>
        <v>11 TPM 1</v>
      </c>
      <c r="F449" s="65" t="str">
        <f>VLOOKUP(C449,Total!$B$2:$F$514,5,0)</f>
        <v>AKTIF</v>
      </c>
      <c r="G449" s="67" t="str">
        <f>VLOOKUP($B449,master!$B$3:$S$600,16,0)</f>
        <v>082134900990</v>
      </c>
      <c r="H449" s="67" t="str">
        <f>VLOOKUP($B449,master!$B$3:$S$600,17,0)</f>
        <v>0895385376275</v>
      </c>
      <c r="I449" s="67" t="str">
        <f>VLOOKUP($B449,master!$B$3:$S$600,8,0)</f>
        <v>bEJI</v>
      </c>
      <c r="J449" s="67" t="str">
        <f>VLOOKUP($B449,master!$B$3:$S$600,9,0)</f>
        <v>003</v>
      </c>
      <c r="K449" s="67" t="str">
        <f>VLOOKUP($B449,master!$B$3:$S$600,11,0)</f>
        <v>SUMBERAGUNG</v>
      </c>
      <c r="L449" s="67" t="str">
        <f>VLOOKUP($B449,master!$B$3:$S$600,12,0)</f>
        <v>JETIS</v>
      </c>
      <c r="M449" s="67" t="str">
        <f>VLOOKUP($B449,master!$B$3:$S$600,6,0)</f>
        <v>AGUNG KRISNANTO</v>
      </c>
      <c r="N449" s="82" t="str">
        <f>VLOOKUP($B449,master!$B$3:$S$600,15,0)</f>
        <v>SMP MUHAMMADIYAH IMOGIRI</v>
      </c>
      <c r="O449" s="82" t="str">
        <f>VLOOKUP($B449,master!$B$3:$S$600,4,0)</f>
        <v>1-12-2009</v>
      </c>
    </row>
    <row r="450" spans="1:15" ht="15.75" customHeight="1" x14ac:dyDescent="0.25">
      <c r="A450" s="80" t="s">
        <v>1448</v>
      </c>
      <c r="B450" s="11" t="s">
        <v>1507</v>
      </c>
      <c r="C450" s="11" t="s">
        <v>4575</v>
      </c>
      <c r="D450" s="11" t="s">
        <v>73</v>
      </c>
      <c r="E450" s="65" t="str">
        <f>VLOOKUP(D450,Total!$C$2:$D$518,2,0)</f>
        <v>11 TPM 1</v>
      </c>
      <c r="F450" s="65" t="str">
        <f>VLOOKUP(C450,Total!$B$2:$F$514,5,0)</f>
        <v>AKTIF</v>
      </c>
      <c r="G450" s="67" t="str">
        <f>VLOOKUP($B450,master!$B$3:$S$600,16,0)</f>
        <v>085226216621</v>
      </c>
      <c r="H450" s="67" t="str">
        <f>VLOOKUP($B450,master!$B$3:$S$600,17,0)</f>
        <v>081225323377</v>
      </c>
      <c r="I450" s="67" t="str">
        <f>VLOOKUP($B450,master!$B$3:$S$600,8,0)</f>
        <v>TALKONDO</v>
      </c>
      <c r="J450" s="67" t="str">
        <f>VLOOKUP($B450,master!$B$3:$S$600,9,0)</f>
        <v>3</v>
      </c>
      <c r="K450" s="67" t="str">
        <f>VLOOKUP($B450,master!$B$3:$S$600,11,0)</f>
        <v>PONCOSARI</v>
      </c>
      <c r="L450" s="67" t="str">
        <f>VLOOKUP($B450,master!$B$3:$S$600,12,0)</f>
        <v>SRANDAKAN</v>
      </c>
      <c r="M450" s="67" t="str">
        <f>VLOOKUP($B450,master!$B$3:$S$600,6,0)</f>
        <v>ARI PURWANTO</v>
      </c>
      <c r="N450" s="82" t="str">
        <f>VLOOKUP($B450,master!$B$3:$S$600,15,0)</f>
        <v>SMP N 2 SRANDAKAN</v>
      </c>
      <c r="O450" s="82" t="str">
        <f>VLOOKUP($B450,master!$B$3:$S$600,4,0)</f>
        <v>24-10-2008</v>
      </c>
    </row>
    <row r="451" spans="1:15" ht="15.75" customHeight="1" x14ac:dyDescent="0.25">
      <c r="A451" s="80" t="s">
        <v>1450</v>
      </c>
      <c r="B451" s="11" t="s">
        <v>1433</v>
      </c>
      <c r="C451" s="11" t="s">
        <v>4576</v>
      </c>
      <c r="D451" s="11" t="s">
        <v>74</v>
      </c>
      <c r="E451" s="65" t="str">
        <f>VLOOKUP(D451,Total!$C$2:$D$518,2,0)</f>
        <v>11 TPM 1</v>
      </c>
      <c r="F451" s="65" t="str">
        <f>VLOOKUP(C451,Total!$B$2:$F$514,5,0)</f>
        <v>AKTIF</v>
      </c>
      <c r="G451" s="67" t="str">
        <f>VLOOKUP($B451,master!$B$3:$S$600,16,0)</f>
        <v>081392472024</v>
      </c>
      <c r="H451" s="67" t="str">
        <f>VLOOKUP($B451,master!$B$3:$S$600,17,0)</f>
        <v>-</v>
      </c>
      <c r="I451" s="67" t="str">
        <f>VLOOKUP($B451,master!$B$3:$S$600,8,0)</f>
        <v>GEDONGAN</v>
      </c>
      <c r="J451" s="67" t="str">
        <f>VLOOKUP($B451,master!$B$3:$S$600,9,0)</f>
        <v>6</v>
      </c>
      <c r="K451" s="67" t="str">
        <f>VLOOKUP($B451,master!$B$3:$S$600,11,0)</f>
        <v>BANGUNJIWO</v>
      </c>
      <c r="L451" s="67" t="str">
        <f>VLOOKUP($B451,master!$B$3:$S$600,12,0)</f>
        <v>KASIHAN</v>
      </c>
      <c r="M451" s="67" t="str">
        <f>VLOOKUP($B451,master!$B$3:$S$600,6,0)</f>
        <v>SUMADI</v>
      </c>
      <c r="N451" s="82" t="str">
        <f>VLOOKUP($B451,master!$B$3:$S$600,15,0)</f>
        <v>SMP N 3 KASIHAN</v>
      </c>
      <c r="O451" s="82" t="str">
        <f>VLOOKUP($B451,master!$B$3:$S$600,4,0)</f>
        <v>22-05-2009</v>
      </c>
    </row>
    <row r="452" spans="1:15" ht="15.75" customHeight="1" x14ac:dyDescent="0.25">
      <c r="A452" s="80" t="s">
        <v>1452</v>
      </c>
      <c r="B452" s="11" t="s">
        <v>1435</v>
      </c>
      <c r="C452" s="11" t="s">
        <v>4577</v>
      </c>
      <c r="D452" s="11" t="s">
        <v>75</v>
      </c>
      <c r="E452" s="65" t="str">
        <f>VLOOKUP(D452,Total!$C$2:$D$518,2,0)</f>
        <v>11 TPM 1</v>
      </c>
      <c r="F452" s="65" t="str">
        <f>VLOOKUP(C452,Total!$B$2:$F$514,5,0)</f>
        <v>AKTIF</v>
      </c>
      <c r="G452" s="67" t="str">
        <f>VLOOKUP($B452,master!$B$3:$S$600,16,0)</f>
        <v>087838998204</v>
      </c>
      <c r="H452" s="67" t="str">
        <f>VLOOKUP($B452,master!$B$3:$S$600,17,0)</f>
        <v>089612673924</v>
      </c>
      <c r="I452" s="67" t="str">
        <f>VLOOKUP($B452,master!$B$3:$S$600,8,0)</f>
        <v>NOGOSARI</v>
      </c>
      <c r="J452" s="67" t="str">
        <f>VLOOKUP($B452,master!$B$3:$S$600,9,0)</f>
        <v>4</v>
      </c>
      <c r="K452" s="67" t="str">
        <f>VLOOKUP($B452,master!$B$3:$S$600,11,0)</f>
        <v>TRIRENGGO</v>
      </c>
      <c r="L452" s="67" t="str">
        <f>VLOOKUP($B452,master!$B$3:$S$600,12,0)</f>
        <v>BANTUL</v>
      </c>
      <c r="M452" s="67" t="str">
        <f>VLOOKUP($B452,master!$B$3:$S$600,6,0)</f>
        <v>SURYANTA</v>
      </c>
      <c r="N452" s="82" t="str">
        <f>VLOOKUP($B452,master!$B$3:$S$600,15,0)</f>
        <v>sMP N 1 BANTUL</v>
      </c>
      <c r="O452" s="82" t="str">
        <f>VLOOKUP($B452,master!$B$3:$S$600,4,0)</f>
        <v>10-07-2008</v>
      </c>
    </row>
    <row r="453" spans="1:15" ht="15.75" customHeight="1" x14ac:dyDescent="0.25">
      <c r="A453" s="80" t="s">
        <v>1454</v>
      </c>
      <c r="B453" s="11" t="s">
        <v>1437</v>
      </c>
      <c r="C453" s="11" t="s">
        <v>4578</v>
      </c>
      <c r="D453" s="11" t="s">
        <v>76</v>
      </c>
      <c r="E453" s="65" t="str">
        <f>VLOOKUP(D453,Total!$C$2:$D$518,2,0)</f>
        <v>11 TPM 1</v>
      </c>
      <c r="F453" s="65" t="str">
        <f>VLOOKUP(C453,Total!$B$2:$F$514,5,0)</f>
        <v>AKTIF</v>
      </c>
      <c r="G453" s="67" t="str">
        <f>VLOOKUP($B453,master!$B$3:$S$600,16,0)</f>
        <v>085726355944</v>
      </c>
      <c r="H453" s="67" t="str">
        <f>VLOOKUP($B453,master!$B$3:$S$600,17,0)</f>
        <v>083141464014</v>
      </c>
      <c r="I453" s="67" t="str">
        <f>VLOOKUP($B453,master!$B$3:$S$600,8,0)</f>
        <v>KARANGJATI</v>
      </c>
      <c r="J453" s="67" t="str">
        <f>VLOOKUP($B453,master!$B$3:$S$600,9,0)</f>
        <v>07</v>
      </c>
      <c r="K453" s="67" t="str">
        <f>VLOOKUP($B453,master!$B$3:$S$600,11,0)</f>
        <v>BANGUNJIWO</v>
      </c>
      <c r="L453" s="67" t="str">
        <f>VLOOKUP($B453,master!$B$3:$S$600,12,0)</f>
        <v>KASIHAN</v>
      </c>
      <c r="M453" s="67" t="str">
        <f>VLOOKUP($B453,master!$B$3:$S$600,6,0)</f>
        <v>TONO</v>
      </c>
      <c r="N453" s="82" t="str">
        <f>VLOOKUP($B453,master!$B$3:$S$600,15,0)</f>
        <v>MTS MUHAMMADIYAH KASIHAN</v>
      </c>
      <c r="O453" s="82" t="str">
        <f>VLOOKUP($B453,master!$B$3:$S$600,4,0)</f>
        <v>1-06-2008</v>
      </c>
    </row>
    <row r="454" spans="1:15" ht="15.75" customHeight="1" x14ac:dyDescent="0.25">
      <c r="A454" s="80" t="s">
        <v>1456</v>
      </c>
      <c r="B454" s="11" t="s">
        <v>1439</v>
      </c>
      <c r="C454" s="11" t="s">
        <v>4579</v>
      </c>
      <c r="D454" s="11" t="s">
        <v>77</v>
      </c>
      <c r="E454" s="65" t="str">
        <f>VLOOKUP(D454,Total!$C$2:$D$518,2,0)</f>
        <v>11 TPM 1</v>
      </c>
      <c r="F454" s="65" t="str">
        <f>VLOOKUP(C454,Total!$B$2:$F$514,5,0)</f>
        <v>AKTIF</v>
      </c>
      <c r="G454" s="67" t="str">
        <f>VLOOKUP($B454,master!$B$3:$S$600,16,0)</f>
        <v>087738808422</v>
      </c>
      <c r="H454" s="67" t="str">
        <f>VLOOKUP($B454,master!$B$3:$S$600,17,0)</f>
        <v>0881025877125</v>
      </c>
      <c r="I454" s="67" t="str">
        <f>VLOOKUP($B454,master!$B$3:$S$600,8,0)</f>
        <v>JEBLOG</v>
      </c>
      <c r="J454" s="67" t="str">
        <f>VLOOKUP($B454,master!$B$3:$S$600,9,0)</f>
        <v>001</v>
      </c>
      <c r="K454" s="67" t="str">
        <f>VLOOKUP($B454,master!$B$3:$S$600,11,0)</f>
        <v>TIRTONIRMOLO</v>
      </c>
      <c r="L454" s="67" t="str">
        <f>VLOOKUP($B454,master!$B$3:$S$600,12,0)</f>
        <v>KASIHAN</v>
      </c>
      <c r="M454" s="67" t="str">
        <f>VLOOKUP($B454,master!$B$3:$S$600,6,0)</f>
        <v>SURYANTO</v>
      </c>
      <c r="N454" s="82" t="str">
        <f>VLOOKUP($B454,master!$B$3:$S$600,15,0)</f>
        <v>MTS MUHAMMADIYAH KASIHAN</v>
      </c>
      <c r="O454" s="82" t="str">
        <f>VLOOKUP($B454,master!$B$3:$S$600,4,0)</f>
        <v>6-09-2008</v>
      </c>
    </row>
    <row r="455" spans="1:15" ht="15.75" customHeight="1" x14ac:dyDescent="0.25">
      <c r="A455" s="80" t="s">
        <v>1458</v>
      </c>
      <c r="B455" s="11" t="s">
        <v>1441</v>
      </c>
      <c r="C455" s="11" t="s">
        <v>4580</v>
      </c>
      <c r="D455" s="11" t="s">
        <v>78</v>
      </c>
      <c r="E455" s="65" t="str">
        <f>VLOOKUP(D455,Total!$C$2:$D$518,2,0)</f>
        <v>11 TPM 1</v>
      </c>
      <c r="F455" s="65" t="str">
        <f>VLOOKUP(C455,Total!$B$2:$F$514,5,0)</f>
        <v>AKTIF</v>
      </c>
      <c r="G455" s="67" t="str">
        <f>VLOOKUP($B455,master!$B$3:$S$600,16,0)</f>
        <v>081999341785</v>
      </c>
      <c r="H455" s="67" t="str">
        <f>VLOOKUP($B455,master!$B$3:$S$600,17,0)</f>
        <v>08138445012</v>
      </c>
      <c r="I455" s="67" t="str">
        <f>VLOOKUP($B455,master!$B$3:$S$600,8,0)</f>
        <v>GANDEKAN</v>
      </c>
      <c r="J455" s="67" t="str">
        <f>VLOOKUP($B455,master!$B$3:$S$600,9,0)</f>
        <v>1</v>
      </c>
      <c r="K455" s="67" t="str">
        <f>VLOOKUP($B455,master!$B$3:$S$600,11,0)</f>
        <v>TRIRENGGO</v>
      </c>
      <c r="L455" s="67" t="str">
        <f>VLOOKUP($B455,master!$B$3:$S$600,12,0)</f>
        <v>BANTUL</v>
      </c>
      <c r="M455" s="67" t="str">
        <f>VLOOKUP($B455,master!$B$3:$S$600,6,0)</f>
        <v>ANI WATI</v>
      </c>
      <c r="N455" s="82" t="str">
        <f>VLOOKUP($B455,master!$B$3:$S$600,15,0)</f>
        <v>SMP CIKAL CENDEKIA</v>
      </c>
      <c r="O455" s="82" t="str">
        <f>VLOOKUP($B455,master!$B$3:$S$600,4,0)</f>
        <v>30-01-2009</v>
      </c>
    </row>
    <row r="456" spans="1:15" ht="15.75" customHeight="1" x14ac:dyDescent="0.25">
      <c r="A456" s="80" t="s">
        <v>1460</v>
      </c>
      <c r="B456" s="11" t="s">
        <v>1443</v>
      </c>
      <c r="C456" s="11" t="s">
        <v>4581</v>
      </c>
      <c r="D456" s="11" t="s">
        <v>79</v>
      </c>
      <c r="E456" s="65" t="str">
        <f>VLOOKUP(D456,Total!$C$2:$D$518,2,0)</f>
        <v>11 TPM 1</v>
      </c>
      <c r="F456" s="65" t="str">
        <f>VLOOKUP(C456,Total!$B$2:$F$514,5,0)</f>
        <v>AKTIF</v>
      </c>
      <c r="G456" s="67" t="str">
        <f>VLOOKUP($B456,master!$B$3:$S$600,16,0)</f>
        <v>082137633926</v>
      </c>
      <c r="H456" s="67" t="str">
        <f>VLOOKUP($B456,master!$B$3:$S$600,17,0)</f>
        <v>-</v>
      </c>
      <c r="I456" s="67" t="str">
        <f>VLOOKUP($B456,master!$B$3:$S$600,8,0)</f>
        <v>GEMAHAN</v>
      </c>
      <c r="J456" s="67" t="str">
        <f>VLOOKUP($B456,master!$B$3:$S$600,9,0)</f>
        <v>4</v>
      </c>
      <c r="K456" s="67" t="str">
        <f>VLOOKUP($B456,master!$B$3:$S$600,11,0)</f>
        <v>RINGINHARJO</v>
      </c>
      <c r="L456" s="67" t="str">
        <f>VLOOKUP($B456,master!$B$3:$S$600,12,0)</f>
        <v>BANTUL</v>
      </c>
      <c r="M456" s="67" t="str">
        <f>VLOOKUP($B456,master!$B$3:$S$600,6,0)</f>
        <v>SUPRIYADI</v>
      </c>
      <c r="N456" s="82" t="str">
        <f>VLOOKUP($B456,master!$B$3:$S$600,15,0)</f>
        <v>SMP IT ALAM INSAN MULIA</v>
      </c>
      <c r="O456" s="82" t="str">
        <f>VLOOKUP($B456,master!$B$3:$S$600,4,0)</f>
        <v>27-08-2007</v>
      </c>
    </row>
    <row r="457" spans="1:15" ht="15.75" customHeight="1" x14ac:dyDescent="0.25">
      <c r="A457" s="80" t="s">
        <v>1462</v>
      </c>
      <c r="B457" s="11" t="s">
        <v>1445</v>
      </c>
      <c r="C457" s="11" t="s">
        <v>4582</v>
      </c>
      <c r="D457" s="11" t="s">
        <v>80</v>
      </c>
      <c r="E457" s="65" t="str">
        <f>VLOOKUP(D457,Total!$C$2:$D$518,2,0)</f>
        <v>11 TPM 1</v>
      </c>
      <c r="F457" s="65" t="str">
        <f>VLOOKUP(C457,Total!$B$2:$F$514,5,0)</f>
        <v>AKTIF</v>
      </c>
      <c r="G457" s="67" t="str">
        <f>VLOOKUP($B457,master!$B$3:$S$600,16,0)</f>
        <v>88985702480</v>
      </c>
      <c r="H457" s="67" t="str">
        <f>VLOOKUP($B457,master!$B$3:$S$600,17,0)</f>
        <v>0</v>
      </c>
      <c r="I457" s="67" t="str">
        <f>VLOOKUP($B457,master!$B$3:$S$600,8,0)</f>
        <v>TANGKILAN</v>
      </c>
      <c r="J457" s="67" t="str">
        <f>VLOOKUP($B457,master!$B$3:$S$600,9,0)</f>
        <v>4</v>
      </c>
      <c r="K457" s="67" t="str">
        <f>VLOOKUP($B457,master!$B$3:$S$600,11,0)</f>
        <v>SUMBERMULYO</v>
      </c>
      <c r="L457" s="67" t="str">
        <f>VLOOKUP($B457,master!$B$3:$S$600,12,0)</f>
        <v>BAMBANGLIPURO</v>
      </c>
      <c r="M457" s="67" t="str">
        <f>VLOOKUP($B457,master!$B$3:$S$600,6,0)</f>
        <v>MARYONO</v>
      </c>
      <c r="N457" s="82" t="str">
        <f>VLOOKUP($B457,master!$B$3:$S$600,15,0)</f>
        <v>SMP MUHAMMADIYAH 1 BAMBANGLIPURO</v>
      </c>
      <c r="O457" s="82" t="str">
        <f>VLOOKUP($B457,master!$B$3:$S$600,4,0)</f>
        <v>6-06-2008</v>
      </c>
    </row>
    <row r="458" spans="1:15" ht="15.75" customHeight="1" x14ac:dyDescent="0.25">
      <c r="A458" s="80" t="s">
        <v>1464</v>
      </c>
      <c r="B458" s="11" t="s">
        <v>1447</v>
      </c>
      <c r="C458" s="11" t="s">
        <v>4583</v>
      </c>
      <c r="D458" s="11" t="s">
        <v>81</v>
      </c>
      <c r="E458" s="65" t="str">
        <f>VLOOKUP(D458,Total!$C$2:$D$518,2,0)</f>
        <v>11 TPM 1</v>
      </c>
      <c r="F458" s="65" t="str">
        <f>VLOOKUP(C458,Total!$B$2:$F$514,5,0)</f>
        <v>AKTIF</v>
      </c>
      <c r="G458" s="67" t="str">
        <f>VLOOKUP($B458,master!$B$3:$S$600,16,0)</f>
        <v>089601961316</v>
      </c>
      <c r="H458" s="67" t="str">
        <f>VLOOKUP($B458,master!$B$3:$S$600,17,0)</f>
        <v>089601961316</v>
      </c>
      <c r="I458" s="67" t="str">
        <f>VLOOKUP($B458,master!$B$3:$S$600,8,0)</f>
        <v>SEGOROYOSO I</v>
      </c>
      <c r="J458" s="67" t="str">
        <f>VLOOKUP($B458,master!$B$3:$S$600,9,0)</f>
        <v>01</v>
      </c>
      <c r="K458" s="67" t="str">
        <f>VLOOKUP($B458,master!$B$3:$S$600,11,0)</f>
        <v>SEGOROYOSO</v>
      </c>
      <c r="L458" s="67" t="str">
        <f>VLOOKUP($B458,master!$B$3:$S$600,12,0)</f>
        <v>PLERET</v>
      </c>
      <c r="M458" s="67" t="str">
        <f>VLOOKUP($B458,master!$B$3:$S$600,6,0)</f>
        <v>MAWARDI</v>
      </c>
      <c r="N458" s="82" t="str">
        <f>VLOOKUP($B458,master!$B$3:$S$600,15,0)</f>
        <v>SMP MA'ARIF IMOGIRI</v>
      </c>
      <c r="O458" s="82" t="str">
        <f>VLOOKUP($B458,master!$B$3:$S$600,4,0)</f>
        <v>17-07-2008</v>
      </c>
    </row>
    <row r="459" spans="1:15" ht="15.75" customHeight="1" x14ac:dyDescent="0.25">
      <c r="A459" s="80" t="s">
        <v>1466</v>
      </c>
      <c r="B459" s="11" t="s">
        <v>1449</v>
      </c>
      <c r="C459" s="11" t="s">
        <v>4584</v>
      </c>
      <c r="D459" s="11" t="s">
        <v>82</v>
      </c>
      <c r="E459" s="65" t="str">
        <f>VLOOKUP(D459,Total!$C$2:$D$518,2,0)</f>
        <v>11 TPM 1</v>
      </c>
      <c r="F459" s="65" t="str">
        <f>VLOOKUP(C459,Total!$B$2:$F$514,5,0)</f>
        <v>AKTIF</v>
      </c>
      <c r="G459" s="67" t="str">
        <f>VLOOKUP($B459,master!$B$3:$S$600,16,0)</f>
        <v>089510423097</v>
      </c>
      <c r="H459" s="67" t="str">
        <f>VLOOKUP($B459,master!$B$3:$S$600,17,0)</f>
        <v>0882006998341</v>
      </c>
      <c r="I459" s="67" t="str">
        <f>VLOOKUP($B459,master!$B$3:$S$600,8,0)</f>
        <v>PACETAN</v>
      </c>
      <c r="J459" s="67" t="str">
        <f>VLOOKUP($B459,master!$B$3:$S$600,9,0)</f>
        <v>20</v>
      </c>
      <c r="K459" s="67" t="str">
        <f>VLOOKUP($B459,master!$B$3:$S$600,11,0)</f>
        <v>PENDOWOHARJO</v>
      </c>
      <c r="L459" s="67" t="str">
        <f>VLOOKUP($B459,master!$B$3:$S$600,12,0)</f>
        <v>SEWON</v>
      </c>
      <c r="M459" s="67" t="str">
        <f>VLOOKUP($B459,master!$B$3:$S$600,6,0)</f>
        <v>MIARTA / TRI MARDIKA RINI</v>
      </c>
      <c r="N459" s="82" t="str">
        <f>VLOOKUP($B459,master!$B$3:$S$600,15,0)</f>
        <v>SMP MUHAMMADIYAH BANTUL</v>
      </c>
      <c r="O459" s="82" t="str">
        <f>VLOOKUP($B459,master!$B$3:$S$600,4,0)</f>
        <v>21-11-2008</v>
      </c>
    </row>
    <row r="460" spans="1:15" ht="15.75" customHeight="1" x14ac:dyDescent="0.25">
      <c r="A460" s="80" t="s">
        <v>1468</v>
      </c>
      <c r="B460" s="11" t="s">
        <v>1451</v>
      </c>
      <c r="C460" s="11" t="s">
        <v>4585</v>
      </c>
      <c r="D460" s="11" t="s">
        <v>83</v>
      </c>
      <c r="E460" s="65" t="str">
        <f>VLOOKUP(D460,Total!$C$2:$D$518,2,0)</f>
        <v>11 TPM 1</v>
      </c>
      <c r="F460" s="65" t="str">
        <f>VLOOKUP(C460,Total!$B$2:$F$514,5,0)</f>
        <v>AKTIF</v>
      </c>
      <c r="G460" s="67" t="str">
        <f>VLOOKUP($B460,master!$B$3:$S$600,16,0)</f>
        <v>0</v>
      </c>
      <c r="H460" s="67" t="str">
        <f>VLOOKUP($B460,master!$B$3:$S$600,17,0)</f>
        <v>0</v>
      </c>
      <c r="I460" s="67" t="str">
        <f>VLOOKUP($B460,master!$B$3:$S$600,8,0)</f>
        <v>DERESAN</v>
      </c>
      <c r="J460" s="67" t="str">
        <f>VLOOKUP($B460,master!$B$3:$S$600,9,0)</f>
        <v>1</v>
      </c>
      <c r="K460" s="67" t="str">
        <f>VLOOKUP($B460,master!$B$3:$S$600,11,0)</f>
        <v>RINGINHARJO</v>
      </c>
      <c r="L460" s="67" t="str">
        <f>VLOOKUP($B460,master!$B$3:$S$600,12,0)</f>
        <v>BANTUL</v>
      </c>
      <c r="M460" s="67" t="str">
        <f>VLOOKUP($B460,master!$B$3:$S$600,6,0)</f>
        <v>NOR RUCHMAN</v>
      </c>
      <c r="N460" s="82" t="str">
        <f>VLOOKUP($B460,master!$B$3:$S$600,15,0)</f>
        <v>SMP MUHAMMADIYAH BANTUL</v>
      </c>
      <c r="O460" s="82" t="str">
        <f>VLOOKUP($B460,master!$B$3:$S$600,4,0)</f>
        <v>7-07-2007</v>
      </c>
    </row>
    <row r="461" spans="1:15" ht="15.75" customHeight="1" x14ac:dyDescent="0.25">
      <c r="A461" s="80" t="s">
        <v>1470</v>
      </c>
      <c r="B461" s="11" t="s">
        <v>1453</v>
      </c>
      <c r="C461" s="11" t="s">
        <v>4586</v>
      </c>
      <c r="D461" s="11" t="s">
        <v>84</v>
      </c>
      <c r="E461" s="65" t="str">
        <f>VLOOKUP(D461,Total!$C$2:$D$518,2,0)</f>
        <v>11 TPM 1</v>
      </c>
      <c r="F461" s="65" t="str">
        <f>VLOOKUP(C461,Total!$B$2:$F$514,5,0)</f>
        <v>AKTIF</v>
      </c>
      <c r="G461" s="67" t="str">
        <f>VLOOKUP($B461,master!$B$3:$S$600,16,0)</f>
        <v>085228094260</v>
      </c>
      <c r="H461" s="67" t="str">
        <f>VLOOKUP($B461,master!$B$3:$S$600,17,0)</f>
        <v>-</v>
      </c>
      <c r="I461" s="67" t="str">
        <f>VLOOKUP($B461,master!$B$3:$S$600,8,0)</f>
        <v>GEMAHAN</v>
      </c>
      <c r="J461" s="67" t="str">
        <f>VLOOKUP($B461,master!$B$3:$S$600,9,0)</f>
        <v>3</v>
      </c>
      <c r="K461" s="67" t="str">
        <f>VLOOKUP($B461,master!$B$3:$S$600,11,0)</f>
        <v>RINGINHARJO</v>
      </c>
      <c r="L461" s="67" t="str">
        <f>VLOOKUP($B461,master!$B$3:$S$600,12,0)</f>
        <v>BANTUL</v>
      </c>
      <c r="M461" s="67" t="str">
        <f>VLOOKUP($B461,master!$B$3:$S$600,6,0)</f>
        <v>HADI</v>
      </c>
      <c r="N461" s="82" t="str">
        <f>VLOOKUP($B461,master!$B$3:$S$600,15,0)</f>
        <v>SMP N 1 BANTUL</v>
      </c>
      <c r="O461" s="82" t="str">
        <f>VLOOKUP($B461,master!$B$3:$S$600,4,0)</f>
        <v>15-12-2008</v>
      </c>
    </row>
    <row r="462" spans="1:15" ht="15.75" customHeight="1" x14ac:dyDescent="0.25">
      <c r="A462" s="80" t="s">
        <v>1472</v>
      </c>
      <c r="B462" s="11" t="s">
        <v>1455</v>
      </c>
      <c r="C462" s="11" t="s">
        <v>4587</v>
      </c>
      <c r="D462" s="11" t="s">
        <v>85</v>
      </c>
      <c r="E462" s="65" t="str">
        <f>VLOOKUP(D462,Total!$C$2:$D$518,2,0)</f>
        <v>11 TPM 1</v>
      </c>
      <c r="F462" s="65" t="str">
        <f>VLOOKUP(C462,Total!$B$2:$F$514,5,0)</f>
        <v>AKTIF</v>
      </c>
      <c r="G462" s="67" t="str">
        <f>VLOOKUP($B462,master!$B$3:$S$600,16,0)</f>
        <v>08773217045</v>
      </c>
      <c r="H462" s="67" t="str">
        <f>VLOOKUP($B462,master!$B$3:$S$600,17,0)</f>
        <v>083131803331</v>
      </c>
      <c r="I462" s="67" t="str">
        <f>VLOOKUP($B462,master!$B$3:$S$600,8,0)</f>
        <v>SOROBAYAN</v>
      </c>
      <c r="J462" s="67" t="str">
        <f>VLOOKUP($B462,master!$B$3:$S$600,9,0)</f>
        <v>01</v>
      </c>
      <c r="K462" s="67" t="str">
        <f>VLOOKUP($B462,master!$B$3:$S$600,11,0)</f>
        <v>GADINGSARI</v>
      </c>
      <c r="L462" s="67" t="str">
        <f>VLOOKUP($B462,master!$B$3:$S$600,12,0)</f>
        <v>SANDEN</v>
      </c>
      <c r="M462" s="67" t="str">
        <f>VLOOKUP($B462,master!$B$3:$S$600,6,0)</f>
        <v>PUJI LESTARI</v>
      </c>
      <c r="N462" s="82" t="str">
        <f>VLOOKUP($B462,master!$B$3:$S$600,15,0)</f>
        <v>SMP N 2 SANDEN</v>
      </c>
      <c r="O462" s="82" t="str">
        <f>VLOOKUP($B462,master!$B$3:$S$600,4,0)</f>
        <v>21-12-2008</v>
      </c>
    </row>
    <row r="463" spans="1:15" ht="15.75" customHeight="1" x14ac:dyDescent="0.25">
      <c r="A463" s="80" t="s">
        <v>1474</v>
      </c>
      <c r="B463" s="11" t="s">
        <v>1457</v>
      </c>
      <c r="C463" s="11" t="s">
        <v>4588</v>
      </c>
      <c r="D463" s="11" t="s">
        <v>86</v>
      </c>
      <c r="E463" s="65" t="str">
        <f>VLOOKUP(D463,Total!$C$2:$D$518,2,0)</f>
        <v>11 TPM 1</v>
      </c>
      <c r="F463" s="65" t="str">
        <f>VLOOKUP(C463,Total!$B$2:$F$514,5,0)</f>
        <v>AKTIF</v>
      </c>
      <c r="G463" s="67" t="str">
        <f>VLOOKUP($B463,master!$B$3:$S$600,16,0)</f>
        <v>+62 889-8386-0713</v>
      </c>
      <c r="H463" s="67" t="str">
        <f>VLOOKUP($B463,master!$B$3:$S$600,17,0)</f>
        <v>+62 882-0067-77</v>
      </c>
      <c r="I463" s="67" t="str">
        <f>VLOOKUP($B463,master!$B$3:$S$600,8,0)</f>
        <v>Cembing</v>
      </c>
      <c r="J463" s="67" t="str">
        <f>VLOOKUP($B463,master!$B$3:$S$600,9,0)</f>
        <v>RT 04</v>
      </c>
      <c r="K463" s="67" t="str">
        <f>VLOOKUP($B463,master!$B$3:$S$600,11,0)</f>
        <v>TRIMULYO</v>
      </c>
      <c r="L463" s="67" t="str">
        <f>VLOOKUP($B463,master!$B$3:$S$600,12,0)</f>
        <v>JETIS</v>
      </c>
      <c r="M463" s="67" t="str">
        <f>VLOOKUP($B463,master!$B$3:$S$600,6,0)</f>
        <v>Haris prabowo</v>
      </c>
      <c r="N463" s="82" t="str">
        <f>VLOOKUP($B463,master!$B$3:$S$600,15,0)</f>
        <v>SMP N 2 JETIS</v>
      </c>
      <c r="O463" s="82" t="str">
        <f>VLOOKUP($B463,master!$B$3:$S$600,4,0)</f>
        <v>10-03-2008</v>
      </c>
    </row>
    <row r="464" spans="1:15" ht="15.75" customHeight="1" x14ac:dyDescent="0.25">
      <c r="A464" s="80" t="s">
        <v>1476</v>
      </c>
      <c r="B464" s="11" t="s">
        <v>1459</v>
      </c>
      <c r="C464" s="11" t="s">
        <v>4589</v>
      </c>
      <c r="D464" s="11" t="s">
        <v>87</v>
      </c>
      <c r="E464" s="65" t="str">
        <f>VLOOKUP(D464,Total!$C$2:$D$518,2,0)</f>
        <v>11 TPM 1</v>
      </c>
      <c r="F464" s="65" t="str">
        <f>VLOOKUP(C464,Total!$B$2:$F$514,5,0)</f>
        <v>AKTIF</v>
      </c>
      <c r="G464" s="67" t="str">
        <f>VLOOKUP($B464,master!$B$3:$S$600,16,0)</f>
        <v>081575598560/085802706358</v>
      </c>
      <c r="H464" s="67" t="str">
        <f>VLOOKUP($B464,master!$B$3:$S$600,17,0)</f>
        <v>Lfeb</v>
      </c>
      <c r="I464" s="67" t="str">
        <f>VLOOKUP($B464,master!$B$3:$S$600,8,0)</f>
        <v>TARUBAN</v>
      </c>
      <c r="J464" s="67" t="str">
        <f>VLOOKUP($B464,master!$B$3:$S$600,9,0)</f>
        <v>7</v>
      </c>
      <c r="K464" s="67" t="str">
        <f>VLOOKUP($B464,master!$B$3:$S$600,11,0)</f>
        <v>PALBAPANG</v>
      </c>
      <c r="L464" s="67" t="str">
        <f>VLOOKUP($B464,master!$B$3:$S$600,12,0)</f>
        <v>BANTUL</v>
      </c>
      <c r="M464" s="67" t="str">
        <f>VLOOKUP($B464,master!$B$3:$S$600,6,0)</f>
        <v>ISWAHYUDI</v>
      </c>
      <c r="N464" s="82" t="str">
        <f>VLOOKUP($B464,master!$B$3:$S$600,15,0)</f>
        <v>MTS AL-FURQON SANDEN</v>
      </c>
      <c r="O464" s="82" t="str">
        <f>VLOOKUP($B464,master!$B$3:$S$600,4,0)</f>
        <v>29-05-2008</v>
      </c>
    </row>
    <row r="465" spans="1:15" ht="15.75" customHeight="1" x14ac:dyDescent="0.25">
      <c r="A465" s="80" t="s">
        <v>1478</v>
      </c>
      <c r="B465" s="11" t="s">
        <v>1461</v>
      </c>
      <c r="C465" s="11" t="s">
        <v>4590</v>
      </c>
      <c r="D465" s="11" t="s">
        <v>88</v>
      </c>
      <c r="E465" s="65" t="str">
        <f>VLOOKUP(D465,Total!$C$2:$D$518,2,0)</f>
        <v>11 TPM 1</v>
      </c>
      <c r="F465" s="65" t="str">
        <f>VLOOKUP(C465,Total!$B$2:$F$514,5,0)</f>
        <v>AKTIF</v>
      </c>
      <c r="G465" s="67" t="str">
        <f>VLOOKUP($B465,master!$B$3:$S$600,16,0)</f>
        <v>089648669140</v>
      </c>
      <c r="H465" s="67" t="str">
        <f>VLOOKUP($B465,master!$B$3:$S$600,17,0)</f>
        <v>089612656522</v>
      </c>
      <c r="I465" s="67" t="str">
        <f>VLOOKUP($B465,master!$B$3:$S$600,8,0)</f>
        <v>BRAJAN</v>
      </c>
      <c r="J465" s="67" t="str">
        <f>VLOOKUP($B465,master!$B$3:$S$600,9,0)</f>
        <v>02</v>
      </c>
      <c r="K465" s="67" t="str">
        <f>VLOOKUP($B465,master!$B$3:$S$600,11,0)</f>
        <v>TAMANTIRTO</v>
      </c>
      <c r="L465" s="67" t="str">
        <f>VLOOKUP($B465,master!$B$3:$S$600,12,0)</f>
        <v>KASIHAN</v>
      </c>
      <c r="M465" s="67" t="str">
        <f>VLOOKUP($B465,master!$B$3:$S$600,6,0)</f>
        <v>SUMARYANTO</v>
      </c>
      <c r="N465" s="82" t="str">
        <f>VLOOKUP($B465,master!$B$3:$S$600,15,0)</f>
        <v>SMP MUHAMMADIYAH 5 YOGYAKARTA</v>
      </c>
      <c r="O465" s="82" t="str">
        <f>VLOOKUP($B465,master!$B$3:$S$600,4,0)</f>
        <v>19-06-2008</v>
      </c>
    </row>
    <row r="466" spans="1:15" ht="15.75" customHeight="1" x14ac:dyDescent="0.25">
      <c r="A466" s="80" t="s">
        <v>1480</v>
      </c>
      <c r="B466" s="11" t="s">
        <v>1463</v>
      </c>
      <c r="C466" s="11" t="s">
        <v>4591</v>
      </c>
      <c r="D466" s="11" t="s">
        <v>89</v>
      </c>
      <c r="E466" s="65" t="str">
        <f>VLOOKUP(D466,Total!$C$2:$D$518,2,0)</f>
        <v>11 TPM 1</v>
      </c>
      <c r="F466" s="65" t="str">
        <f>VLOOKUP(C466,Total!$B$2:$F$514,5,0)</f>
        <v>AKTIF</v>
      </c>
      <c r="G466" s="67" t="str">
        <f>VLOOKUP($B466,master!$B$3:$S$600,16,0)</f>
        <v>082242751433</v>
      </c>
      <c r="H466" s="67" t="str">
        <f>VLOOKUP($B466,master!$B$3:$S$600,17,0)</f>
        <v>082242751433</v>
      </c>
      <c r="I466" s="67" t="str">
        <f>VLOOKUP($B466,master!$B$3:$S$600,8,0)</f>
        <v>Iroyudan</v>
      </c>
      <c r="J466" s="67" t="str">
        <f>VLOOKUP($B466,master!$B$3:$S$600,9,0)</f>
        <v>03</v>
      </c>
      <c r="K466" s="67" t="str">
        <f>VLOOKUP($B466,master!$B$3:$S$600,11,0)</f>
        <v>GUWOSARI</v>
      </c>
      <c r="L466" s="67" t="str">
        <f>VLOOKUP($B466,master!$B$3:$S$600,12,0)</f>
        <v>PAJANGAN</v>
      </c>
      <c r="M466" s="67" t="str">
        <f>VLOOKUP($B466,master!$B$3:$S$600,6,0)</f>
        <v>Siti wardatul imroh</v>
      </c>
      <c r="N466" s="82" t="str">
        <f>VLOOKUP($B466,master!$B$3:$S$600,15,0)</f>
        <v>SMP MUHAMMADIYAH BANTUL</v>
      </c>
      <c r="O466" s="82" t="str">
        <f>VLOOKUP($B466,master!$B$3:$S$600,4,0)</f>
        <v>26-06-2008</v>
      </c>
    </row>
    <row r="467" spans="1:15" ht="15.75" customHeight="1" x14ac:dyDescent="0.25">
      <c r="A467" s="80" t="s">
        <v>1482</v>
      </c>
      <c r="B467" s="11" t="s">
        <v>1465</v>
      </c>
      <c r="C467" s="11" t="s">
        <v>4592</v>
      </c>
      <c r="D467" s="11" t="s">
        <v>90</v>
      </c>
      <c r="E467" s="65" t="str">
        <f>VLOOKUP(D467,Total!$C$2:$D$518,2,0)</f>
        <v>11 TPM 1</v>
      </c>
      <c r="F467" s="65" t="str">
        <f>VLOOKUP(C467,Total!$B$2:$F$514,5,0)</f>
        <v>AKTIF</v>
      </c>
      <c r="G467" s="67" t="str">
        <f>VLOOKUP($B467,master!$B$3:$S$600,16,0)</f>
        <v>082316591245</v>
      </c>
      <c r="H467" s="67" t="str">
        <f>VLOOKUP($B467,master!$B$3:$S$600,17,0)</f>
        <v>081390800485</v>
      </c>
      <c r="I467" s="67" t="str">
        <f>VLOOKUP($B467,master!$B$3:$S$600,8,0)</f>
        <v>PEDAK</v>
      </c>
      <c r="J467" s="67" t="str">
        <f>VLOOKUP($B467,master!$B$3:$S$600,9,0)</f>
        <v>3</v>
      </c>
      <c r="K467" s="67" t="str">
        <f>VLOOKUP($B467,master!$B$3:$S$600,11,0)</f>
        <v>BANTUL</v>
      </c>
      <c r="L467" s="67" t="str">
        <f>VLOOKUP($B467,master!$B$3:$S$600,12,0)</f>
        <v>BANTUL</v>
      </c>
      <c r="M467" s="67" t="str">
        <f>VLOOKUP($B467,master!$B$3:$S$600,6,0)</f>
        <v>YULI LESTARI</v>
      </c>
      <c r="N467" s="82" t="str">
        <f>VLOOKUP($B467,master!$B$3:$S$600,15,0)</f>
        <v>SMP N 1 BANTUL</v>
      </c>
      <c r="O467" s="82" t="str">
        <f>VLOOKUP($B467,master!$B$3:$S$600,4,0)</f>
        <v>6-11-2008</v>
      </c>
    </row>
    <row r="468" spans="1:15" ht="15.75" customHeight="1" x14ac:dyDescent="0.25">
      <c r="A468" s="80" t="s">
        <v>1484</v>
      </c>
      <c r="B468" s="11" t="s">
        <v>1467</v>
      </c>
      <c r="C468" s="11" t="s">
        <v>4593</v>
      </c>
      <c r="D468" s="11" t="s">
        <v>91</v>
      </c>
      <c r="E468" s="65" t="str">
        <f>VLOOKUP(D468,Total!$C$2:$D$518,2,0)</f>
        <v>11 TPM 1</v>
      </c>
      <c r="F468" s="65" t="str">
        <f>VLOOKUP(C468,Total!$B$2:$F$514,5,0)</f>
        <v>KELUAR</v>
      </c>
      <c r="G468" s="67" t="str">
        <f>VLOOKUP($B468,master!$B$3:$S$600,16,0)</f>
        <v>0882008634931</v>
      </c>
      <c r="H468" s="67" t="str">
        <f>VLOOKUP($B468,master!$B$3:$S$600,17,0)</f>
        <v>0882008634931</v>
      </c>
      <c r="I468" s="67" t="str">
        <f>VLOOKUP($B468,master!$B$3:$S$600,8,0)</f>
        <v>NOGOSARI I</v>
      </c>
      <c r="J468" s="67" t="str">
        <f>VLOOKUP($B468,master!$B$3:$S$600,9,0)</f>
        <v>003</v>
      </c>
      <c r="K468" s="67" t="str">
        <f>VLOOKUP($B468,master!$B$3:$S$600,11,0)</f>
        <v>WUKIRSARI</v>
      </c>
      <c r="L468" s="67" t="str">
        <f>VLOOKUP($B468,master!$B$3:$S$600,12,0)</f>
        <v>IMOGIRI</v>
      </c>
      <c r="M468" s="67" t="str">
        <f>VLOOKUP($B468,master!$B$3:$S$600,6,0)</f>
        <v>Slamet</v>
      </c>
      <c r="N468" s="82" t="str">
        <f>VLOOKUP($B468,master!$B$3:$S$600,15,0)</f>
        <v>SMP N 1 IMOGIRI</v>
      </c>
      <c r="O468" s="82" t="str">
        <f>VLOOKUP($B468,master!$B$3:$S$600,4,0)</f>
        <v>31-05-2008</v>
      </c>
    </row>
    <row r="469" spans="1:15" ht="15.75" customHeight="1" x14ac:dyDescent="0.25">
      <c r="A469" s="80" t="s">
        <v>1486</v>
      </c>
      <c r="B469" s="11" t="s">
        <v>5126</v>
      </c>
      <c r="C469" s="11" t="s">
        <v>5133</v>
      </c>
      <c r="D469" s="11" t="s">
        <v>5127</v>
      </c>
      <c r="E469" s="65" t="str">
        <f>VLOOKUP(D469,Total!$C$2:$D$518,2,0)</f>
        <v>11 TPM 1</v>
      </c>
      <c r="F469" s="65" t="str">
        <f>VLOOKUP(C469,Total!$B$2:$F$514,5,0)</f>
        <v>KELUAR</v>
      </c>
      <c r="G469" s="67" t="str">
        <f>VLOOKUP($B469,master!$B$3:$S$600,16,0)</f>
        <v>081227998989</v>
      </c>
      <c r="H469" s="67" t="str">
        <f>VLOOKUP($B469,master!$B$3:$S$600,17,0)</f>
        <v>089630011134</v>
      </c>
      <c r="I469" s="67" t="str">
        <f>VLOOKUP($B469,master!$B$3:$S$600,8,0)</f>
        <v>SUMURAN</v>
      </c>
      <c r="J469" s="67" t="str">
        <f>VLOOKUP($B469,master!$B$3:$S$600,9,0)</f>
        <v>3</v>
      </c>
      <c r="K469" s="67" t="str">
        <f>VLOOKUP($B469,master!$B$3:$S$600,11,0)</f>
        <v>PALBAPANG</v>
      </c>
      <c r="L469" s="67" t="str">
        <f>VLOOKUP($B469,master!$B$3:$S$600,12,0)</f>
        <v>BANTUL</v>
      </c>
      <c r="M469" s="67" t="str">
        <f>VLOOKUP($B469,master!$B$3:$S$600,6,0)</f>
        <v>RATNA YULIYANTI</v>
      </c>
      <c r="N469" s="82" t="str">
        <f>VLOOKUP($B469,master!$B$3:$S$600,15,0)</f>
        <v>SMP N 2 BANTUL</v>
      </c>
      <c r="O469" s="82" t="str">
        <f>VLOOKUP($B469,master!$B$3:$S$600,4,0)</f>
        <v>14-03-2008</v>
      </c>
    </row>
    <row r="470" spans="1:15" ht="15.75" customHeight="1" x14ac:dyDescent="0.25">
      <c r="A470" s="80" t="s">
        <v>1488</v>
      </c>
      <c r="B470" s="11" t="s">
        <v>1469</v>
      </c>
      <c r="C470" s="11" t="s">
        <v>4594</v>
      </c>
      <c r="D470" s="11" t="s">
        <v>92</v>
      </c>
      <c r="E470" s="65" t="str">
        <f>VLOOKUP(D470,Total!$C$2:$D$518,2,0)</f>
        <v>11 TPM 1</v>
      </c>
      <c r="F470" s="65" t="str">
        <f>VLOOKUP(C470,Total!$B$2:$F$514,5,0)</f>
        <v>AKTIF</v>
      </c>
      <c r="G470" s="67" t="str">
        <f>VLOOKUP($B470,master!$B$3:$S$600,16,0)</f>
        <v>083838623885</v>
      </c>
      <c r="H470" s="67" t="str">
        <f>VLOOKUP($B470,master!$B$3:$S$600,17,0)</f>
        <v>083151427716</v>
      </c>
      <c r="I470" s="67" t="str">
        <f>VLOOKUP($B470,master!$B$3:$S$600,8,0)</f>
        <v>MOJOLEGI</v>
      </c>
      <c r="J470" s="67" t="str">
        <f>VLOOKUP($B470,master!$B$3:$S$600,9,0)</f>
        <v>05</v>
      </c>
      <c r="K470" s="67" t="str">
        <f>VLOOKUP($B470,master!$B$3:$S$600,11,0)</f>
        <v>KARANGTENGAH</v>
      </c>
      <c r="L470" s="67" t="str">
        <f>VLOOKUP($B470,master!$B$3:$S$600,12,0)</f>
        <v>IMOGIRI</v>
      </c>
      <c r="M470" s="67" t="str">
        <f>VLOOKUP($B470,master!$B$3:$S$600,6,0)</f>
        <v>Gunawan</v>
      </c>
      <c r="N470" s="82" t="str">
        <f>VLOOKUP($B470,master!$B$3:$S$600,15,0)</f>
        <v>SMP N 3 IMOGIRI</v>
      </c>
      <c r="O470" s="82" t="str">
        <f>VLOOKUP($B470,master!$B$3:$S$600,4,0)</f>
        <v>14-09-2007</v>
      </c>
    </row>
    <row r="471" spans="1:15" ht="15.75" customHeight="1" x14ac:dyDescent="0.25">
      <c r="A471" s="80" t="s">
        <v>1490</v>
      </c>
      <c r="B471" s="11" t="s">
        <v>1471</v>
      </c>
      <c r="C471" s="11" t="s">
        <v>4595</v>
      </c>
      <c r="D471" s="11" t="s">
        <v>93</v>
      </c>
      <c r="E471" s="65" t="str">
        <f>VLOOKUP(D471,Total!$C$2:$D$518,2,0)</f>
        <v>11 TPM 1</v>
      </c>
      <c r="F471" s="65" t="str">
        <f>VLOOKUP(C471,Total!$B$2:$F$514,5,0)</f>
        <v>AKTIF</v>
      </c>
      <c r="G471" s="67" t="str">
        <f>VLOOKUP($B471,master!$B$3:$S$600,16,0)</f>
        <v>89529990406</v>
      </c>
      <c r="H471" s="67" t="str">
        <f>VLOOKUP($B471,master!$B$3:$S$600,17,0)</f>
        <v>0</v>
      </c>
      <c r="I471" s="67" t="str">
        <f>VLOOKUP($B471,master!$B$3:$S$600,8,0)</f>
        <v>IROYUDAN</v>
      </c>
      <c r="J471" s="67" t="str">
        <f>VLOOKUP($B471,master!$B$3:$S$600,9,0)</f>
        <v>4</v>
      </c>
      <c r="K471" s="67" t="str">
        <f>VLOOKUP($B471,master!$B$3:$S$600,11,0)</f>
        <v>GUWOSARI</v>
      </c>
      <c r="L471" s="67" t="str">
        <f>VLOOKUP($B471,master!$B$3:$S$600,12,0)</f>
        <v>PAJANGAN</v>
      </c>
      <c r="M471" s="67" t="str">
        <f>VLOOKUP($B471,master!$B$3:$S$600,6,0)</f>
        <v>MUKTI</v>
      </c>
      <c r="N471" s="82" t="str">
        <f>VLOOKUP($B471,master!$B$3:$S$600,15,0)</f>
        <v>MTS N 4 BANTUL</v>
      </c>
      <c r="O471" s="82" t="str">
        <f>VLOOKUP($B471,master!$B$3:$S$600,4,0)</f>
        <v>25-06-2007</v>
      </c>
    </row>
    <row r="472" spans="1:15" ht="15.75" customHeight="1" x14ac:dyDescent="0.25">
      <c r="A472" s="80" t="s">
        <v>1492</v>
      </c>
      <c r="B472" s="11" t="s">
        <v>1473</v>
      </c>
      <c r="C472" s="11" t="s">
        <v>4596</v>
      </c>
      <c r="D472" s="11" t="s">
        <v>94</v>
      </c>
      <c r="E472" s="65" t="str">
        <f>VLOOKUP(D472,Total!$C$2:$D$518,2,0)</f>
        <v>11 TPM 1</v>
      </c>
      <c r="F472" s="65" t="str">
        <f>VLOOKUP(C472,Total!$B$2:$F$514,5,0)</f>
        <v>AKTIF</v>
      </c>
      <c r="G472" s="67" t="str">
        <f>VLOOKUP($B472,master!$B$3:$S$600,16,0)</f>
        <v>083125339359</v>
      </c>
      <c r="H472" s="67" t="str">
        <f>VLOOKUP($B472,master!$B$3:$S$600,17,0)</f>
        <v>0895397338030</v>
      </c>
      <c r="I472" s="67" t="str">
        <f>VLOOKUP($B472,master!$B$3:$S$600,8,0)</f>
        <v>SAMEN</v>
      </c>
      <c r="J472" s="67" t="str">
        <f>VLOOKUP($B472,master!$B$3:$S$600,9,0)</f>
        <v>003</v>
      </c>
      <c r="K472" s="67" t="str">
        <f>VLOOKUP($B472,master!$B$3:$S$600,11,0)</f>
        <v>SUMBERMULYO</v>
      </c>
      <c r="L472" s="67" t="str">
        <f>VLOOKUP($B472,master!$B$3:$S$600,12,0)</f>
        <v>BAMBANGLIPURO</v>
      </c>
      <c r="M472" s="67" t="str">
        <f>VLOOKUP($B472,master!$B$3:$S$600,6,0)</f>
        <v>YETIK YULIANTI</v>
      </c>
      <c r="N472" s="82" t="str">
        <f>VLOOKUP($B472,master!$B$3:$S$600,15,0)</f>
        <v>SMP N 1 BAMBANGLIPURO</v>
      </c>
      <c r="O472" s="82" t="str">
        <f>VLOOKUP($B472,master!$B$3:$S$600,4,0)</f>
        <v>27-03-2008</v>
      </c>
    </row>
    <row r="473" spans="1:15" ht="15.75" customHeight="1" x14ac:dyDescent="0.25">
      <c r="A473" s="80" t="s">
        <v>1494</v>
      </c>
      <c r="B473" s="11" t="s">
        <v>1475</v>
      </c>
      <c r="C473" s="11" t="s">
        <v>4597</v>
      </c>
      <c r="D473" s="11" t="s">
        <v>95</v>
      </c>
      <c r="E473" s="65" t="str">
        <f>VLOOKUP(D473,Total!$C$2:$D$518,2,0)</f>
        <v>11 TPM 1</v>
      </c>
      <c r="F473" s="65" t="str">
        <f>VLOOKUP(C473,Total!$B$2:$F$514,5,0)</f>
        <v>AKTIF</v>
      </c>
      <c r="G473" s="67" t="str">
        <f>VLOOKUP($B473,master!$B$3:$S$600,16,0)</f>
        <v>089649279106</v>
      </c>
      <c r="H473" s="67" t="str">
        <f>VLOOKUP($B473,master!$B$3:$S$600,17,0)</f>
        <v>085697300665</v>
      </c>
      <c r="I473" s="67" t="str">
        <f>VLOOKUP($B473,master!$B$3:$S$600,8,0)</f>
        <v>TANJUNG LOR</v>
      </c>
      <c r="J473" s="67" t="str">
        <f>VLOOKUP($B473,master!$B$3:$S$600,9,0)</f>
        <v>20</v>
      </c>
      <c r="K473" s="67" t="str">
        <f>VLOOKUP($B473,master!$B$3:$S$600,11,0)</f>
        <v>PATALAN</v>
      </c>
      <c r="L473" s="67" t="str">
        <f>VLOOKUP($B473,master!$B$3:$S$600,12,0)</f>
        <v>JETIS</v>
      </c>
      <c r="M473" s="67" t="str">
        <f>VLOOKUP($B473,master!$B$3:$S$600,6,0)</f>
        <v>WAKIJO</v>
      </c>
      <c r="N473" s="82" t="str">
        <f>VLOOKUP($B473,master!$B$3:$S$600,15,0)</f>
        <v>SMP MUHAMMADIYAH IMOGIRI</v>
      </c>
      <c r="O473" s="82" t="str">
        <f>VLOOKUP($B473,master!$B$3:$S$600,4,0)</f>
        <v>9-09-2008</v>
      </c>
    </row>
    <row r="474" spans="1:15" ht="15.75" customHeight="1" x14ac:dyDescent="0.25">
      <c r="A474" s="80" t="s">
        <v>1496</v>
      </c>
      <c r="B474" s="11" t="s">
        <v>1477</v>
      </c>
      <c r="C474" s="11" t="s">
        <v>4598</v>
      </c>
      <c r="D474" s="11" t="s">
        <v>96</v>
      </c>
      <c r="E474" s="65" t="str">
        <f>VLOOKUP(D474,Total!$C$2:$D$518,2,0)</f>
        <v>11 TPM 1</v>
      </c>
      <c r="F474" s="65" t="str">
        <f>VLOOKUP(C474,Total!$B$2:$F$514,5,0)</f>
        <v>AKTIF</v>
      </c>
      <c r="G474" s="67" t="str">
        <f>VLOOKUP($B474,master!$B$3:$S$600,16,0)</f>
        <v>085339119110</v>
      </c>
      <c r="H474" s="67" t="str">
        <f>VLOOKUP($B474,master!$B$3:$S$600,17,0)</f>
        <v>082135459253</v>
      </c>
      <c r="I474" s="67" t="str">
        <f>VLOOKUP($B474,master!$B$3:$S$600,8,0)</f>
        <v>PURON</v>
      </c>
      <c r="J474" s="67" t="str">
        <f>VLOOKUP($B474,master!$B$3:$S$600,9,0)</f>
        <v>49</v>
      </c>
      <c r="K474" s="67" t="str">
        <f>VLOOKUP($B474,master!$B$3:$S$600,11,0)</f>
        <v>TRIMURTI</v>
      </c>
      <c r="L474" s="67" t="str">
        <f>VLOOKUP($B474,master!$B$3:$S$600,12,0)</f>
        <v>SRANDAKAN</v>
      </c>
      <c r="M474" s="67" t="str">
        <f>VLOOKUP($B474,master!$B$3:$S$600,6,0)</f>
        <v>NOVIANA</v>
      </c>
      <c r="N474" s="82" t="str">
        <f>VLOOKUP($B474,master!$B$3:$S$600,15,0)</f>
        <v>SMP MUHAMMADIYAH 1 SANDEN</v>
      </c>
      <c r="O474" s="82" t="str">
        <f>VLOOKUP($B474,master!$B$3:$S$600,4,0)</f>
        <v>23-06-2008</v>
      </c>
    </row>
    <row r="475" spans="1:15" ht="15.75" customHeight="1" x14ac:dyDescent="0.25">
      <c r="A475" s="80" t="s">
        <v>1498</v>
      </c>
      <c r="B475" s="11" t="s">
        <v>1479</v>
      </c>
      <c r="C475" s="11" t="s">
        <v>4599</v>
      </c>
      <c r="D475" s="11" t="s">
        <v>97</v>
      </c>
      <c r="E475" s="65" t="str">
        <f>VLOOKUP(D475,Total!$C$2:$D$518,2,0)</f>
        <v>11 TPM 1</v>
      </c>
      <c r="F475" s="65" t="str">
        <f>VLOOKUP(C475,Total!$B$2:$F$514,5,0)</f>
        <v>KELUAR</v>
      </c>
      <c r="G475" s="67" t="str">
        <f>VLOOKUP($B475,master!$B$3:$S$600,16,0)</f>
        <v>08812132285</v>
      </c>
      <c r="H475" s="67" t="str">
        <f>VLOOKUP($B475,master!$B$3:$S$600,17,0)</f>
        <v>0878-4278-6599</v>
      </c>
      <c r="I475" s="67" t="str">
        <f>VLOOKUP($B475,master!$B$3:$S$600,8,0)</f>
        <v>Karang Kulon</v>
      </c>
      <c r="J475" s="67" t="str">
        <f>VLOOKUP($B475,master!$B$3:$S$600,9,0)</f>
        <v>01</v>
      </c>
      <c r="K475" s="67" t="str">
        <f>VLOOKUP($B475,master!$B$3:$S$600,11,0)</f>
        <v>Wukirsari</v>
      </c>
      <c r="L475" s="67" t="str">
        <f>VLOOKUP($B475,master!$B$3:$S$600,12,0)</f>
        <v>Imogiri</v>
      </c>
      <c r="M475" s="67" t="str">
        <f>VLOOKUP($B475,master!$B$3:$S$600,6,0)</f>
        <v>SLAMET WIDODO</v>
      </c>
      <c r="N475" s="82" t="str">
        <f>VLOOKUP($B475,master!$B$3:$S$600,15,0)</f>
        <v>SMP MAARIF IMOGIRI</v>
      </c>
      <c r="O475" s="82" t="str">
        <f>VLOOKUP($B475,master!$B$3:$S$600,4,0)</f>
        <v>25-09-2007</v>
      </c>
    </row>
    <row r="476" spans="1:15" ht="15.75" customHeight="1" x14ac:dyDescent="0.25">
      <c r="A476" s="80" t="s">
        <v>1500</v>
      </c>
      <c r="B476" s="11" t="s">
        <v>1481</v>
      </c>
      <c r="C476" s="11" t="s">
        <v>4600</v>
      </c>
      <c r="D476" s="11" t="s">
        <v>98</v>
      </c>
      <c r="E476" s="65" t="str">
        <f>VLOOKUP(D476,Total!$C$2:$D$518,2,0)</f>
        <v>11 TPM 1</v>
      </c>
      <c r="F476" s="65" t="str">
        <f>VLOOKUP(C476,Total!$B$2:$F$514,5,0)</f>
        <v>AKTIF</v>
      </c>
      <c r="G476" s="67" t="str">
        <f>VLOOKUP($B476,master!$B$3:$S$600,16,0)</f>
        <v>081575475075</v>
      </c>
      <c r="H476" s="67" t="str">
        <f>VLOOKUP($B476,master!$B$3:$S$600,17,0)</f>
        <v>081575475075</v>
      </c>
      <c r="I476" s="67" t="str">
        <f>VLOOKUP($B476,master!$B$3:$S$600,8,0)</f>
        <v>candi</v>
      </c>
      <c r="J476" s="67" t="str">
        <f>VLOOKUP($B476,master!$B$3:$S$600,9,0)</f>
        <v>6</v>
      </c>
      <c r="K476" s="67" t="str">
        <f>VLOOKUP($B476,master!$B$3:$S$600,11,0)</f>
        <v>SRIHARDONO</v>
      </c>
      <c r="L476" s="67" t="str">
        <f>VLOOKUP($B476,master!$B$3:$S$600,12,0)</f>
        <v>PUNDONG</v>
      </c>
      <c r="M476" s="67" t="str">
        <f>VLOOKUP($B476,master!$B$3:$S$600,6,0)</f>
        <v>tukija</v>
      </c>
      <c r="N476" s="82" t="str">
        <f>VLOOKUP($B476,master!$B$3:$S$600,15,0)</f>
        <v>SMP ISLAM AR-RISALAH</v>
      </c>
      <c r="O476" s="82" t="str">
        <f>VLOOKUP($B476,master!$B$3:$S$600,4,0)</f>
        <v>1-04-2008</v>
      </c>
    </row>
    <row r="477" spans="1:15" ht="15.75" customHeight="1" x14ac:dyDescent="0.25">
      <c r="A477" s="80" t="s">
        <v>1502</v>
      </c>
      <c r="B477" s="11" t="s">
        <v>1483</v>
      </c>
      <c r="C477" s="11" t="s">
        <v>4601</v>
      </c>
      <c r="D477" s="11" t="s">
        <v>99</v>
      </c>
      <c r="E477" s="65" t="str">
        <f>VLOOKUP(D477,Total!$C$2:$D$518,2,0)</f>
        <v>11 TPM 1</v>
      </c>
      <c r="F477" s="65" t="str">
        <f>VLOOKUP(C477,Total!$B$2:$F$514,5,0)</f>
        <v>KELUAR</v>
      </c>
      <c r="G477" s="67" t="str">
        <f>VLOOKUP($B477,master!$B$3:$S$600,16,0)</f>
        <v>083863538224</v>
      </c>
      <c r="H477" s="67" t="str">
        <f>VLOOKUP($B477,master!$B$3:$S$600,17,0)</f>
        <v>08895612468</v>
      </c>
      <c r="I477" s="67" t="str">
        <f>VLOOKUP($B477,master!$B$3:$S$600,8,0)</f>
        <v>TLOGO</v>
      </c>
      <c r="J477" s="67" t="str">
        <f>VLOOKUP($B477,master!$B$3:$S$600,9,0)</f>
        <v>2</v>
      </c>
      <c r="K477" s="67" t="str">
        <f>VLOOKUP($B477,master!$B$3:$S$600,11,0)</f>
        <v>KEBONAGUNG</v>
      </c>
      <c r="L477" s="67" t="str">
        <f>VLOOKUP($B477,master!$B$3:$S$600,12,0)</f>
        <v>IMOGIRI</v>
      </c>
      <c r="M477" s="67" t="str">
        <f>VLOOKUP($B477,master!$B$3:$S$600,6,0)</f>
        <v>TUGIYANTO</v>
      </c>
      <c r="N477" s="82" t="str">
        <f>VLOOKUP($B477,master!$B$3:$S$600,15,0)</f>
        <v>SMP N 3 IMOGIRI</v>
      </c>
      <c r="O477" s="82" t="str">
        <f>VLOOKUP($B477,master!$B$3:$S$600,4,0)</f>
        <v>26-11-2007</v>
      </c>
    </row>
    <row r="478" spans="1:15" ht="15.75" customHeight="1" x14ac:dyDescent="0.25">
      <c r="A478" s="80" t="s">
        <v>1504</v>
      </c>
      <c r="B478" s="11" t="s">
        <v>1485</v>
      </c>
      <c r="C478" s="11" t="s">
        <v>4602</v>
      </c>
      <c r="D478" s="11" t="s">
        <v>100</v>
      </c>
      <c r="E478" s="65" t="str">
        <f>VLOOKUP(D478,Total!$C$2:$D$518,2,0)</f>
        <v>11 TPM 1</v>
      </c>
      <c r="F478" s="65" t="str">
        <f>VLOOKUP(C478,Total!$B$2:$F$514,5,0)</f>
        <v>AKTIF</v>
      </c>
      <c r="G478" s="67" t="str">
        <f>VLOOKUP($B478,master!$B$3:$S$600,16,0)</f>
        <v>083895369043/0859188354152</v>
      </c>
      <c r="H478" s="67" t="str">
        <f>VLOOKUP($B478,master!$B$3:$S$600,17,0)</f>
        <v>0</v>
      </c>
      <c r="I478" s="67" t="str">
        <f>VLOOKUP($B478,master!$B$3:$S$600,8,0)</f>
        <v>KORIPAN</v>
      </c>
      <c r="J478" s="67" t="str">
        <f>VLOOKUP($B478,master!$B$3:$S$600,9,0)</f>
        <v>3</v>
      </c>
      <c r="K478" s="67" t="str">
        <f>VLOOKUP($B478,master!$B$3:$S$600,11,0)</f>
        <v>PONCOSARI</v>
      </c>
      <c r="L478" s="67" t="str">
        <f>VLOOKUP($B478,master!$B$3:$S$600,12,0)</f>
        <v>SRANDAKAN</v>
      </c>
      <c r="M478" s="67" t="str">
        <f>VLOOKUP($B478,master!$B$3:$S$600,6,0)</f>
        <v>INDARTO</v>
      </c>
      <c r="N478" s="82" t="str">
        <f>VLOOKUP($B478,master!$B$3:$S$600,15,0)</f>
        <v>SMP N 2 SRANDAKAN</v>
      </c>
      <c r="O478" s="82" t="str">
        <f>VLOOKUP($B478,master!$B$3:$S$600,4,0)</f>
        <v>25-05-2008</v>
      </c>
    </row>
    <row r="479" spans="1:15" ht="15.75" customHeight="1" x14ac:dyDescent="0.25">
      <c r="A479" s="80" t="s">
        <v>1506</v>
      </c>
      <c r="B479" s="11" t="s">
        <v>1487</v>
      </c>
      <c r="C479" s="11" t="s">
        <v>4603</v>
      </c>
      <c r="D479" s="11" t="s">
        <v>101</v>
      </c>
      <c r="E479" s="65" t="str">
        <f>VLOOKUP(D479,Total!$C$2:$D$518,2,0)</f>
        <v>11 TPM 2</v>
      </c>
      <c r="F479" s="65" t="str">
        <f>VLOOKUP(C479,Total!$B$2:$F$514,5,0)</f>
        <v>AKTIF</v>
      </c>
      <c r="G479" s="67" t="str">
        <f>VLOOKUP($B479,master!$B$3:$S$600,16,0)</f>
        <v>088216517217</v>
      </c>
      <c r="H479" s="67" t="str">
        <f>VLOOKUP($B479,master!$B$3:$S$600,17,0)</f>
        <v>088215456640</v>
      </c>
      <c r="I479" s="67" t="str">
        <f>VLOOKUP($B479,master!$B$3:$S$600,8,0)</f>
        <v>BANTENGAN</v>
      </c>
      <c r="J479" s="67" t="str">
        <f>VLOOKUP($B479,master!$B$3:$S$600,9,0)</f>
        <v>26</v>
      </c>
      <c r="K479" s="67" t="str">
        <f>VLOOKUP($B479,master!$B$3:$S$600,11,0)</f>
        <v>BROSOT</v>
      </c>
      <c r="L479" s="67" t="str">
        <f>VLOOKUP($B479,master!$B$3:$S$600,12,0)</f>
        <v>GALUR</v>
      </c>
      <c r="M479" s="67" t="str">
        <f>VLOOKUP($B479,master!$B$3:$S$600,6,0)</f>
        <v>FITRIANA</v>
      </c>
      <c r="N479" s="82" t="str">
        <f>VLOOKUP($B479,master!$B$3:$S$600,15,0)</f>
        <v>SMP N 2 GALUR</v>
      </c>
      <c r="O479" s="82" t="str">
        <f>VLOOKUP($B479,master!$B$3:$S$600,4,0)</f>
        <v>17-11-2008</v>
      </c>
    </row>
    <row r="480" spans="1:15" ht="15.75" customHeight="1" x14ac:dyDescent="0.25">
      <c r="A480" s="80" t="s">
        <v>1508</v>
      </c>
      <c r="B480" s="11" t="s">
        <v>1489</v>
      </c>
      <c r="C480" s="11" t="s">
        <v>4604</v>
      </c>
      <c r="D480" s="11" t="s">
        <v>102</v>
      </c>
      <c r="E480" s="65" t="str">
        <f>VLOOKUP(D480,Total!$C$2:$D$518,2,0)</f>
        <v>11 TPM 2</v>
      </c>
      <c r="F480" s="65" t="str">
        <f>VLOOKUP(C480,Total!$B$2:$F$514,5,0)</f>
        <v>AKTIF</v>
      </c>
      <c r="G480" s="67" t="str">
        <f>VLOOKUP($B480,master!$B$3:$S$600,16,0)</f>
        <v>085747257928</v>
      </c>
      <c r="H480" s="67" t="str">
        <f>VLOOKUP($B480,master!$B$3:$S$600,17,0)</f>
        <v>085869620297</v>
      </c>
      <c r="I480" s="67" t="str">
        <f>VLOOKUP($B480,master!$B$3:$S$600,8,0)</f>
        <v>KEDUNGPRING</v>
      </c>
      <c r="J480" s="67" t="str">
        <f>VLOOKUP($B480,master!$B$3:$S$600,9,0)</f>
        <v>1</v>
      </c>
      <c r="K480" s="67" t="str">
        <f>VLOOKUP($B480,master!$B$3:$S$600,11,0)</f>
        <v>BAWURAN</v>
      </c>
      <c r="L480" s="67" t="str">
        <f>VLOOKUP($B480,master!$B$3:$S$600,12,0)</f>
        <v>PLERET</v>
      </c>
      <c r="M480" s="67" t="str">
        <f>VLOOKUP($B480,master!$B$3:$S$600,6,0)</f>
        <v>MUKRI PURWANTO</v>
      </c>
      <c r="N480" s="82" t="str">
        <f>VLOOKUP($B480,master!$B$3:$S$600,15,0)</f>
        <v>SMP N 3 Pleret</v>
      </c>
      <c r="O480" s="82" t="str">
        <f>VLOOKUP($B480,master!$B$3:$S$600,4,0)</f>
        <v>2-02-2007</v>
      </c>
    </row>
    <row r="481" spans="1:15" ht="15.75" customHeight="1" x14ac:dyDescent="0.25">
      <c r="A481" s="80" t="s">
        <v>1510</v>
      </c>
      <c r="B481" s="11" t="s">
        <v>1491</v>
      </c>
      <c r="C481" s="11" t="s">
        <v>4605</v>
      </c>
      <c r="D481" s="11" t="s">
        <v>103</v>
      </c>
      <c r="E481" s="65" t="str">
        <f>VLOOKUP(D481,Total!$C$2:$D$518,2,0)</f>
        <v>11 TPM 2</v>
      </c>
      <c r="F481" s="65" t="str">
        <f>VLOOKUP(C481,Total!$B$2:$F$514,5,0)</f>
        <v>KELUAR</v>
      </c>
      <c r="G481" s="67" t="str">
        <f>VLOOKUP($B481,master!$B$3:$S$600,16,0)</f>
        <v>082226764082</v>
      </c>
      <c r="H481" s="67" t="str">
        <f>VLOOKUP($B481,master!$B$3:$S$600,17,0)</f>
        <v>-</v>
      </c>
      <c r="I481" s="67" t="str">
        <f>VLOOKUP($B481,master!$B$3:$S$600,8,0)</f>
        <v>GERSIK</v>
      </c>
      <c r="J481" s="67" t="str">
        <f>VLOOKUP($B481,master!$B$3:$S$600,9,0)</f>
        <v>1</v>
      </c>
      <c r="K481" s="67" t="str">
        <f>VLOOKUP($B481,master!$B$3:$S$600,11,0)</f>
        <v>SUMBERMULYO</v>
      </c>
      <c r="L481" s="67" t="str">
        <f>VLOOKUP($B481,master!$B$3:$S$600,12,0)</f>
        <v>BAMBANGLIPURO</v>
      </c>
      <c r="M481" s="67" t="str">
        <f>VLOOKUP($B481,master!$B$3:$S$600,6,0)</f>
        <v>BINTI MARYATUN</v>
      </c>
      <c r="N481" s="82" t="str">
        <f>VLOOKUP($B481,master!$B$3:$S$600,15,0)</f>
        <v>SMP N 2 BAMBANGLIPURO</v>
      </c>
      <c r="O481" s="82" t="str">
        <f>VLOOKUP($B481,master!$B$3:$S$600,4,0)</f>
        <v>4-04-2007</v>
      </c>
    </row>
    <row r="482" spans="1:15" ht="15.75" customHeight="1" x14ac:dyDescent="0.25">
      <c r="A482" s="80" t="s">
        <v>1512</v>
      </c>
      <c r="B482" s="11" t="s">
        <v>1493</v>
      </c>
      <c r="C482" s="11" t="s">
        <v>4606</v>
      </c>
      <c r="D482" s="11" t="s">
        <v>104</v>
      </c>
      <c r="E482" s="65" t="str">
        <f>VLOOKUP(D482,Total!$C$2:$D$518,2,0)</f>
        <v>11 TPM 2</v>
      </c>
      <c r="F482" s="65" t="str">
        <f>VLOOKUP(C482,Total!$B$2:$F$514,5,0)</f>
        <v>KELUAR</v>
      </c>
      <c r="G482" s="67" t="str">
        <f>VLOOKUP($B482,master!$B$3:$S$600,16,0)</f>
        <v>+62 878-3994-6105</v>
      </c>
      <c r="H482" s="67" t="str">
        <f>VLOOKUP($B482,master!$B$3:$S$600,17,0)</f>
        <v>08994855234</v>
      </c>
      <c r="I482" s="67" t="str">
        <f>VLOOKUP($B482,master!$B$3:$S$600,8,0)</f>
        <v>NGRAME DUSUN.DK.IV</v>
      </c>
      <c r="J482" s="67" t="str">
        <f>VLOOKUP($B482,master!$B$3:$S$600,9,0)</f>
        <v>2</v>
      </c>
      <c r="K482" s="67" t="str">
        <f>VLOOKUP($B482,master!$B$3:$S$600,11,0)</f>
        <v>TAMANTIRTO</v>
      </c>
      <c r="L482" s="67" t="str">
        <f>VLOOKUP($B482,master!$B$3:$S$600,12,0)</f>
        <v>KASIHAN</v>
      </c>
      <c r="M482" s="67" t="str">
        <f>VLOOKUP($B482,master!$B$3:$S$600,6,0)</f>
        <v>SUAMRIYAH</v>
      </c>
      <c r="N482" s="82" t="str">
        <f>VLOOKUP($B482,master!$B$3:$S$600,15,0)</f>
        <v>SMP N 3 KASIHAN</v>
      </c>
      <c r="O482" s="82" t="str">
        <f>VLOOKUP($B482,master!$B$3:$S$600,4,0)</f>
        <v>17-10-2007</v>
      </c>
    </row>
    <row r="483" spans="1:15" ht="15.75" customHeight="1" x14ac:dyDescent="0.25">
      <c r="A483" s="80" t="s">
        <v>1514</v>
      </c>
      <c r="B483" s="11" t="s">
        <v>1495</v>
      </c>
      <c r="C483" s="11" t="s">
        <v>4607</v>
      </c>
      <c r="D483" s="11" t="s">
        <v>105</v>
      </c>
      <c r="E483" s="65" t="str">
        <f>VLOOKUP(D483,Total!$C$2:$D$518,2,0)</f>
        <v>11 TPM 2</v>
      </c>
      <c r="F483" s="65" t="str">
        <f>VLOOKUP(C483,Total!$B$2:$F$514,5,0)</f>
        <v>AKTIF</v>
      </c>
      <c r="G483" s="67" t="str">
        <f>VLOOKUP($B483,master!$B$3:$S$600,16,0)</f>
        <v>0895423048257</v>
      </c>
      <c r="H483" s="67" t="str">
        <f>VLOOKUP($B483,master!$B$3:$S$600,17,0)</f>
        <v>08989285403</v>
      </c>
      <c r="I483" s="67" t="str">
        <f>VLOOKUP($B483,master!$B$3:$S$600,8,0)</f>
        <v>BEJI KULON</v>
      </c>
      <c r="J483" s="67" t="str">
        <f>VLOOKUP($B483,master!$B$3:$S$600,9,0)</f>
        <v>01</v>
      </c>
      <c r="K483" s="67" t="str">
        <f>VLOOKUP($B483,master!$B$3:$S$600,11,0)</f>
        <v>SENDANGSARI</v>
      </c>
      <c r="L483" s="67" t="str">
        <f>VLOOKUP($B483,master!$B$3:$S$600,12,0)</f>
        <v>PAJANGAN</v>
      </c>
      <c r="M483" s="67" t="str">
        <f>VLOOKUP($B483,master!$B$3:$S$600,6,0)</f>
        <v>Samidi</v>
      </c>
      <c r="N483" s="82" t="str">
        <f>VLOOKUP($B483,master!$B$3:$S$600,15,0)</f>
        <v>SMP N 3 PAJANGAN</v>
      </c>
      <c r="O483" s="82" t="str">
        <f>VLOOKUP($B483,master!$B$3:$S$600,4,0)</f>
        <v>12-07-2008</v>
      </c>
    </row>
    <row r="484" spans="1:15" ht="15.75" customHeight="1" x14ac:dyDescent="0.25">
      <c r="A484" s="80" t="s">
        <v>1516</v>
      </c>
      <c r="B484" s="11" t="s">
        <v>1497</v>
      </c>
      <c r="C484" s="11" t="s">
        <v>4608</v>
      </c>
      <c r="D484" s="11" t="s">
        <v>106</v>
      </c>
      <c r="E484" s="65" t="str">
        <f>VLOOKUP(D484,Total!$C$2:$D$518,2,0)</f>
        <v>11 TPM 2</v>
      </c>
      <c r="F484" s="65" t="str">
        <f>VLOOKUP(C484,Total!$B$2:$F$514,5,0)</f>
        <v>AKTIF</v>
      </c>
      <c r="G484" s="67" t="str">
        <f>VLOOKUP($B484,master!$B$3:$S$600,16,0)</f>
        <v>082220049298</v>
      </c>
      <c r="H484" s="67" t="str">
        <f>VLOOKUP($B484,master!$B$3:$S$600,17,0)</f>
        <v>34433224423</v>
      </c>
      <c r="I484" s="67" t="str">
        <f>VLOOKUP($B484,master!$B$3:$S$600,8,0)</f>
        <v>KLAGARAN</v>
      </c>
      <c r="J484" s="67" t="str">
        <f>VLOOKUP($B484,master!$B$3:$S$600,9,0)</f>
        <v>4</v>
      </c>
      <c r="K484" s="67" t="str">
        <f>VLOOKUP($B484,master!$B$3:$S$600,11,0)</f>
        <v>GADINGSARI</v>
      </c>
      <c r="L484" s="67" t="str">
        <f>VLOOKUP($B484,master!$B$3:$S$600,12,0)</f>
        <v>SANDEN</v>
      </c>
      <c r="M484" s="67" t="str">
        <f>VLOOKUP($B484,master!$B$3:$S$600,6,0)</f>
        <v>ROHMAT</v>
      </c>
      <c r="N484" s="82" t="str">
        <f>VLOOKUP($B484,master!$B$3:$S$600,15,0)</f>
        <v>SMP N 2 SANDEN</v>
      </c>
      <c r="O484" s="82" t="str">
        <f>VLOOKUP($B484,master!$B$3:$S$600,4,0)</f>
        <v>2-03-2009</v>
      </c>
    </row>
    <row r="485" spans="1:15" ht="15.75" customHeight="1" x14ac:dyDescent="0.25">
      <c r="A485" s="80" t="s">
        <v>1518</v>
      </c>
      <c r="B485" s="11" t="s">
        <v>1499</v>
      </c>
      <c r="C485" s="11" t="s">
        <v>4609</v>
      </c>
      <c r="D485" s="11" t="s">
        <v>107</v>
      </c>
      <c r="E485" s="65" t="str">
        <f>VLOOKUP(D485,Total!$C$2:$D$518,2,0)</f>
        <v>11 TPM 2</v>
      </c>
      <c r="F485" s="65" t="str">
        <f>VLOOKUP(C485,Total!$B$2:$F$514,5,0)</f>
        <v>KELUAR</v>
      </c>
      <c r="G485" s="67" t="str">
        <f>VLOOKUP($B485,master!$B$3:$S$600,16,0)</f>
        <v>087739858722</v>
      </c>
      <c r="H485" s="67" t="str">
        <f>VLOOKUP($B485,master!$B$3:$S$600,17,0)</f>
        <v>081323918224</v>
      </c>
      <c r="I485" s="67" t="str">
        <f>VLOOKUP($B485,master!$B$3:$S$600,8,0)</f>
        <v>KRETEK</v>
      </c>
      <c r="J485" s="67" t="str">
        <f>VLOOKUP($B485,master!$B$3:$S$600,9,0)</f>
        <v>2</v>
      </c>
      <c r="K485" s="67" t="str">
        <f>VLOOKUP($B485,master!$B$3:$S$600,11,0)</f>
        <v>PARANGTRITIS</v>
      </c>
      <c r="L485" s="67" t="str">
        <f>VLOOKUP($B485,master!$B$3:$S$600,12,0)</f>
        <v>KRETEK</v>
      </c>
      <c r="M485" s="67" t="str">
        <f>VLOOKUP($B485,master!$B$3:$S$600,6,0)</f>
        <v>HERI WIDODO</v>
      </c>
      <c r="N485" s="82" t="str">
        <f>VLOOKUP($B485,master!$B$3:$S$600,15,0)</f>
        <v>SMP N 2 KRETEK</v>
      </c>
      <c r="O485" s="82" t="str">
        <f>VLOOKUP($B485,master!$B$3:$S$600,4,0)</f>
        <v>16-11-2008</v>
      </c>
    </row>
    <row r="486" spans="1:15" ht="15.75" customHeight="1" x14ac:dyDescent="0.25">
      <c r="A486" s="80" t="s">
        <v>1520</v>
      </c>
      <c r="B486" s="11" t="s">
        <v>1501</v>
      </c>
      <c r="C486" s="11" t="s">
        <v>4610</v>
      </c>
      <c r="D486" s="11" t="s">
        <v>108</v>
      </c>
      <c r="E486" s="65" t="str">
        <f>VLOOKUP(D486,Total!$C$2:$D$518,2,0)</f>
        <v>11 TPM 2</v>
      </c>
      <c r="F486" s="65" t="str">
        <f>VLOOKUP(C486,Total!$B$2:$F$514,5,0)</f>
        <v>AKTIF</v>
      </c>
      <c r="G486" s="67" t="str">
        <f>VLOOKUP($B486,master!$B$3:$S$600,16,0)</f>
        <v>08974320424</v>
      </c>
      <c r="H486" s="67" t="str">
        <f>VLOOKUP($B486,master!$B$3:$S$600,17,0)</f>
        <v>08974320424</v>
      </c>
      <c r="I486" s="67" t="str">
        <f>VLOOKUP($B486,master!$B$3:$S$600,8,0)</f>
        <v>PANDES</v>
      </c>
      <c r="J486" s="67" t="str">
        <f>VLOOKUP($B486,master!$B$3:$S$600,9,0)</f>
        <v>61</v>
      </c>
      <c r="K486" s="67" t="str">
        <f>VLOOKUP($B486,master!$B$3:$S$600,11,0)</f>
        <v>PANGGUNGHARJO</v>
      </c>
      <c r="L486" s="67" t="str">
        <f>VLOOKUP($B486,master!$B$3:$S$600,12,0)</f>
        <v>SEWON</v>
      </c>
      <c r="M486" s="67" t="str">
        <f>VLOOKUP($B486,master!$B$3:$S$600,6,0)</f>
        <v>rR. SRI SADNAWA AMBAR NINGSIH</v>
      </c>
      <c r="N486" s="82" t="str">
        <f>VLOOKUP($B486,master!$B$3:$S$600,15,0)</f>
        <v>SMP AL MA'ARIF BANTUL</v>
      </c>
      <c r="O486" s="82" t="str">
        <f>VLOOKUP($B486,master!$B$3:$S$600,4,0)</f>
        <v>19-04-2009</v>
      </c>
    </row>
    <row r="487" spans="1:15" ht="15.75" customHeight="1" x14ac:dyDescent="0.25">
      <c r="A487" s="80" t="s">
        <v>1522</v>
      </c>
      <c r="B487" s="11" t="s">
        <v>1503</v>
      </c>
      <c r="C487" s="11" t="s">
        <v>4611</v>
      </c>
      <c r="D487" s="11" t="s">
        <v>109</v>
      </c>
      <c r="E487" s="65" t="str">
        <f>VLOOKUP(D487,Total!$C$2:$D$518,2,0)</f>
        <v>11 TPM 2</v>
      </c>
      <c r="F487" s="65" t="str">
        <f>VLOOKUP(C487,Total!$B$2:$F$514,5,0)</f>
        <v>AKTIF</v>
      </c>
      <c r="G487" s="67" t="str">
        <f>VLOOKUP($B487,master!$B$3:$S$600,16,0)</f>
        <v>081227333125</v>
      </c>
      <c r="H487" s="67" t="str">
        <f>VLOOKUP($B487,master!$B$3:$S$600,17,0)</f>
        <v>0895614688855</v>
      </c>
      <c r="I487" s="67" t="str">
        <f>VLOOKUP($B487,master!$B$3:$S$600,8,0)</f>
        <v>JOMBLANG</v>
      </c>
      <c r="J487" s="67" t="str">
        <f>VLOOKUP($B487,master!$B$3:$S$600,9,0)</f>
        <v>2</v>
      </c>
      <c r="K487" s="67" t="str">
        <f>VLOOKUP($B487,master!$B$3:$S$600,11,0)</f>
        <v>PALBAPANG</v>
      </c>
      <c r="L487" s="67" t="str">
        <f>VLOOKUP($B487,master!$B$3:$S$600,12,0)</f>
        <v>BANTUL</v>
      </c>
      <c r="M487" s="67" t="str">
        <f>VLOOKUP($B487,master!$B$3:$S$600,6,0)</f>
        <v>KRISDIARNO</v>
      </c>
      <c r="N487" s="82" t="str">
        <f>VLOOKUP($B487,master!$B$3:$S$600,15,0)</f>
        <v>SMP N 2 BANTUL</v>
      </c>
      <c r="O487" s="82" t="str">
        <f>VLOOKUP($B487,master!$B$3:$S$600,4,0)</f>
        <v>18-03-2009</v>
      </c>
    </row>
    <row r="488" spans="1:15" ht="15.75" customHeight="1" x14ac:dyDescent="0.25">
      <c r="A488" s="80" t="s">
        <v>1524</v>
      </c>
      <c r="B488" s="11" t="s">
        <v>1505</v>
      </c>
      <c r="C488" s="11" t="s">
        <v>4612</v>
      </c>
      <c r="D488" s="11" t="s">
        <v>110</v>
      </c>
      <c r="E488" s="65" t="str">
        <f>VLOOKUP(D488,Total!$C$2:$D$518,2,0)</f>
        <v>11 TPM 2</v>
      </c>
      <c r="F488" s="65" t="str">
        <f>VLOOKUP(C488,Total!$B$2:$F$514,5,0)</f>
        <v>AKTIF</v>
      </c>
      <c r="G488" s="67" t="str">
        <f>VLOOKUP($B488,master!$B$3:$S$600,16,0)</f>
        <v>089513245509</v>
      </c>
      <c r="H488" s="67" t="str">
        <f>VLOOKUP($B488,master!$B$3:$S$600,17,0)</f>
        <v>089531064224</v>
      </c>
      <c r="I488" s="67" t="str">
        <f>VLOOKUP($B488,master!$B$3:$S$600,8,0)</f>
        <v>KENALAN</v>
      </c>
      <c r="J488" s="67" t="str">
        <f>VLOOKUP($B488,master!$B$3:$S$600,9,0)</f>
        <v>005</v>
      </c>
      <c r="K488" s="67" t="str">
        <f>VLOOKUP($B488,master!$B$3:$S$600,11,0)</f>
        <v>BANGUNJIWO</v>
      </c>
      <c r="L488" s="67" t="str">
        <f>VLOOKUP($B488,master!$B$3:$S$600,12,0)</f>
        <v>KASIHAN</v>
      </c>
      <c r="M488" s="67" t="str">
        <f>VLOOKUP($B488,master!$B$3:$S$600,6,0)</f>
        <v>Suyarto</v>
      </c>
      <c r="N488" s="82" t="str">
        <f>VLOOKUP($B488,master!$B$3:$S$600,15,0)</f>
        <v>MTS MUHAMMADIYAH KASIHAN</v>
      </c>
      <c r="O488" s="82" t="str">
        <f>VLOOKUP($B488,master!$B$3:$S$600,4,0)</f>
        <v>25-03-2009</v>
      </c>
    </row>
    <row r="489" spans="1:15" ht="15.75" customHeight="1" x14ac:dyDescent="0.25">
      <c r="A489" s="80" t="s">
        <v>1526</v>
      </c>
      <c r="B489" s="11" t="s">
        <v>1509</v>
      </c>
      <c r="C489" s="11" t="s">
        <v>4613</v>
      </c>
      <c r="D489" s="11" t="s">
        <v>111</v>
      </c>
      <c r="E489" s="65" t="str">
        <f>VLOOKUP(D489,Total!$C$2:$D$518,2,0)</f>
        <v>11 TPM 2</v>
      </c>
      <c r="F489" s="65" t="str">
        <f>VLOOKUP(C489,Total!$B$2:$F$514,5,0)</f>
        <v>AKTIF</v>
      </c>
      <c r="G489" s="67" t="str">
        <f>VLOOKUP($B489,master!$B$3:$S$600,16,0)</f>
        <v>081336943478</v>
      </c>
      <c r="H489" s="67" t="str">
        <f>VLOOKUP($B489,master!$B$3:$S$600,17,0)</f>
        <v>081336943478</v>
      </c>
      <c r="I489" s="67" t="str">
        <f>VLOOKUP($B489,master!$B$3:$S$600,8,0)</f>
        <v>DEMAKAN</v>
      </c>
      <c r="J489" s="67" t="str">
        <f>VLOOKUP($B489,master!$B$3:$S$600,9,0)</f>
        <v>5</v>
      </c>
      <c r="K489" s="67" t="str">
        <f>VLOOKUP($B489,master!$B$3:$S$600,11,0)</f>
        <v>GADINGSARI</v>
      </c>
      <c r="L489" s="67" t="str">
        <f>VLOOKUP($B489,master!$B$3:$S$600,12,0)</f>
        <v>SANDEN</v>
      </c>
      <c r="M489" s="67" t="str">
        <f>VLOOKUP($B489,master!$B$3:$S$600,6,0)</f>
        <v>PURWANTO</v>
      </c>
      <c r="N489" s="82" t="str">
        <f>VLOOKUP($B489,master!$B$3:$S$600,15,0)</f>
        <v>SMP MUHAMMADIYAH SANDEN</v>
      </c>
      <c r="O489" s="82" t="str">
        <f>VLOOKUP($B489,master!$B$3:$S$600,4,0)</f>
        <v>29-01-2009</v>
      </c>
    </row>
    <row r="490" spans="1:15" ht="15.75" customHeight="1" x14ac:dyDescent="0.25">
      <c r="A490" s="80" t="s">
        <v>1528</v>
      </c>
      <c r="B490" s="11" t="s">
        <v>1511</v>
      </c>
      <c r="C490" s="11" t="s">
        <v>4614</v>
      </c>
      <c r="D490" s="11" t="s">
        <v>112</v>
      </c>
      <c r="E490" s="65" t="str">
        <f>VLOOKUP(D490,Total!$C$2:$D$518,2,0)</f>
        <v>11 TPM 2</v>
      </c>
      <c r="F490" s="65" t="str">
        <f>VLOOKUP(C490,Total!$B$2:$F$514,5,0)</f>
        <v>AKTIF</v>
      </c>
      <c r="G490" s="67" t="str">
        <f>VLOOKUP($B490,master!$B$3:$S$600,16,0)</f>
        <v>085974889156</v>
      </c>
      <c r="H490" s="67" t="str">
        <f>VLOOKUP($B490,master!$B$3:$S$600,17,0)</f>
        <v>083869978598</v>
      </c>
      <c r="I490" s="67" t="str">
        <f>VLOOKUP($B490,master!$B$3:$S$600,8,0)</f>
        <v>KEPUTREN</v>
      </c>
      <c r="J490" s="67" t="str">
        <f>VLOOKUP($B490,master!$B$3:$S$600,9,0)</f>
        <v>002</v>
      </c>
      <c r="K490" s="67" t="str">
        <f>VLOOKUP($B490,master!$B$3:$S$600,11,0)</f>
        <v>PLERET</v>
      </c>
      <c r="L490" s="67" t="str">
        <f>VLOOKUP($B490,master!$B$3:$S$600,12,0)</f>
        <v>PLERET</v>
      </c>
      <c r="M490" s="67" t="str">
        <f>VLOOKUP($B490,master!$B$3:$S$600,6,0)</f>
        <v>Mardi Purnomo</v>
      </c>
      <c r="N490" s="82" t="str">
        <f>VLOOKUP($B490,master!$B$3:$S$600,15,0)</f>
        <v>SMP N 2 PLERET</v>
      </c>
      <c r="O490" s="82" t="str">
        <f>VLOOKUP($B490,master!$B$3:$S$600,4,0)</f>
        <v>24-01-2009</v>
      </c>
    </row>
    <row r="491" spans="1:15" ht="15.75" customHeight="1" x14ac:dyDescent="0.25">
      <c r="A491" s="80" t="s">
        <v>1530</v>
      </c>
      <c r="B491" s="11" t="s">
        <v>1513</v>
      </c>
      <c r="C491" s="11" t="s">
        <v>4615</v>
      </c>
      <c r="D491" s="11" t="s">
        <v>113</v>
      </c>
      <c r="E491" s="65" t="str">
        <f>VLOOKUP(D491,Total!$C$2:$D$518,2,0)</f>
        <v>11 TPM 2</v>
      </c>
      <c r="F491" s="65" t="str">
        <f>VLOOKUP(C491,Total!$B$2:$F$514,5,0)</f>
        <v>KELUAR</v>
      </c>
      <c r="G491" s="67" t="str">
        <f>VLOOKUP($B491,master!$B$3:$S$600,16,0)</f>
        <v>088988518393</v>
      </c>
      <c r="H491" s="67" t="str">
        <f>VLOOKUP($B491,master!$B$3:$S$600,17,0)</f>
        <v>088988518393</v>
      </c>
      <c r="I491" s="67" t="str">
        <f>VLOOKUP($B491,master!$B$3:$S$600,8,0)</f>
        <v>KEMBANGSONGO</v>
      </c>
      <c r="J491" s="67" t="str">
        <f>VLOOKUP($B491,master!$B$3:$S$600,9,0)</f>
        <v>2</v>
      </c>
      <c r="K491" s="67" t="str">
        <f>VLOOKUP($B491,master!$B$3:$S$600,11,0)</f>
        <v>TRIMULYO</v>
      </c>
      <c r="L491" s="67" t="str">
        <f>VLOOKUP($B491,master!$B$3:$S$600,12,0)</f>
        <v>JETIS</v>
      </c>
      <c r="M491" s="67" t="str">
        <f>VLOOKUP($B491,master!$B$3:$S$600,6,0)</f>
        <v>YATIN</v>
      </c>
      <c r="N491" s="82" t="str">
        <f>VLOOKUP($B491,master!$B$3:$S$600,15,0)</f>
        <v>SMP AL MA'ARIF IMOGIRI</v>
      </c>
      <c r="O491" s="82" t="str">
        <f>VLOOKUP($B491,master!$B$3:$S$600,4,0)</f>
        <v>22-04-2007</v>
      </c>
    </row>
    <row r="492" spans="1:15" ht="15.75" customHeight="1" x14ac:dyDescent="0.25">
      <c r="A492" s="80" t="s">
        <v>1532</v>
      </c>
      <c r="B492" s="11" t="s">
        <v>1515</v>
      </c>
      <c r="C492" s="11" t="s">
        <v>4616</v>
      </c>
      <c r="D492" s="11" t="s">
        <v>114</v>
      </c>
      <c r="E492" s="65" t="str">
        <f>VLOOKUP(D492,Total!$C$2:$D$518,2,0)</f>
        <v>11 TPM 2</v>
      </c>
      <c r="F492" s="65" t="str">
        <f>VLOOKUP(C492,Total!$B$2:$F$514,5,0)</f>
        <v>AKTIF</v>
      </c>
      <c r="G492" s="67" t="str">
        <f>VLOOKUP($B492,master!$B$3:$S$600,16,0)</f>
        <v>089501104712</v>
      </c>
      <c r="H492" s="67" t="str">
        <f>VLOOKUP($B492,master!$B$3:$S$600,17,0)</f>
        <v>0895387893500</v>
      </c>
      <c r="I492" s="67" t="str">
        <f>VLOOKUP($B492,master!$B$3:$S$600,8,0)</f>
        <v>TRUKAN</v>
      </c>
      <c r="J492" s="67" t="str">
        <f>VLOOKUP($B492,master!$B$3:$S$600,9,0)</f>
        <v>1</v>
      </c>
      <c r="K492" s="67" t="str">
        <f>VLOOKUP($B492,master!$B$3:$S$600,11,0)</f>
        <v>SEGOROYOSO</v>
      </c>
      <c r="L492" s="67" t="str">
        <f>VLOOKUP($B492,master!$B$3:$S$600,12,0)</f>
        <v>PLERET</v>
      </c>
      <c r="M492" s="67" t="str">
        <f>VLOOKUP($B492,master!$B$3:$S$600,6,0)</f>
        <v>SUMARWAN</v>
      </c>
      <c r="N492" s="82" t="str">
        <f>VLOOKUP($B492,master!$B$3:$S$600,15,0)</f>
        <v>SMP N 3 PLERET</v>
      </c>
      <c r="O492" s="82" t="str">
        <f>VLOOKUP($B492,master!$B$3:$S$600,4,0)</f>
        <v>15-04-2009</v>
      </c>
    </row>
    <row r="493" spans="1:15" ht="15.75" customHeight="1" x14ac:dyDescent="0.25">
      <c r="A493" s="80" t="s">
        <v>1534</v>
      </c>
      <c r="B493" s="11" t="s">
        <v>1517</v>
      </c>
      <c r="C493" s="11" t="s">
        <v>4617</v>
      </c>
      <c r="D493" s="11" t="s">
        <v>115</v>
      </c>
      <c r="E493" s="65" t="str">
        <f>VLOOKUP(D493,Total!$C$2:$D$518,2,0)</f>
        <v>11 TPM 2</v>
      </c>
      <c r="F493" s="65" t="str">
        <f>VLOOKUP(C493,Total!$B$2:$F$514,5,0)</f>
        <v>AKTIF</v>
      </c>
      <c r="G493" s="67" t="str">
        <f>VLOOKUP($B493,master!$B$3:$S$600,16,0)</f>
        <v>082328424620</v>
      </c>
      <c r="H493" s="67" t="str">
        <f>VLOOKUP($B493,master!$B$3:$S$600,17,0)</f>
        <v>082328424620</v>
      </c>
      <c r="I493" s="67" t="str">
        <f>VLOOKUP($B493,master!$B$3:$S$600,8,0)</f>
        <v>SAMPANGAN</v>
      </c>
      <c r="J493" s="67" t="str">
        <f>VLOOKUP($B493,master!$B$3:$S$600,9,0)</f>
        <v>2</v>
      </c>
      <c r="K493" s="67" t="str">
        <f>VLOOKUP($B493,master!$B$3:$S$600,11,0)</f>
        <v>WIROKERTEN</v>
      </c>
      <c r="L493" s="67" t="str">
        <f>VLOOKUP($B493,master!$B$3:$S$600,12,0)</f>
        <v>BANGUNTAPAN</v>
      </c>
      <c r="M493" s="67" t="str">
        <f>VLOOKUP($B493,master!$B$3:$S$600,6,0)</f>
        <v>Budi Suprayogi</v>
      </c>
      <c r="N493" s="82" t="str">
        <f>VLOOKUP($B493,master!$B$3:$S$600,15,0)</f>
        <v>SMP Muhammadiyah 7 Yogyakarta</v>
      </c>
      <c r="O493" s="82" t="str">
        <f>VLOOKUP($B493,master!$B$3:$S$600,4,0)</f>
        <v>21-08-2008</v>
      </c>
    </row>
    <row r="494" spans="1:15" ht="15.75" customHeight="1" x14ac:dyDescent="0.25">
      <c r="A494" s="80" t="s">
        <v>1536</v>
      </c>
      <c r="B494" s="11" t="s">
        <v>1519</v>
      </c>
      <c r="C494" s="11" t="s">
        <v>4618</v>
      </c>
      <c r="D494" s="11" t="s">
        <v>116</v>
      </c>
      <c r="E494" s="65" t="str">
        <f>VLOOKUP(D494,Total!$C$2:$D$518,2,0)</f>
        <v>11 TPM 2</v>
      </c>
      <c r="F494" s="65" t="str">
        <f>VLOOKUP(C494,Total!$B$2:$F$514,5,0)</f>
        <v>AKTIF</v>
      </c>
      <c r="G494" s="67" t="str">
        <f>VLOOKUP($B494,master!$B$3:$S$600,16,0)</f>
        <v>0895385376756</v>
      </c>
      <c r="H494" s="67" t="str">
        <f>VLOOKUP($B494,master!$B$3:$S$600,17,0)</f>
        <v>0895385376756</v>
      </c>
      <c r="I494" s="67" t="str">
        <f>VLOOKUP($B494,master!$B$3:$S$600,8,0)</f>
        <v>SIDOREJO</v>
      </c>
      <c r="J494" s="67" t="str">
        <f>VLOOKUP($B494,master!$B$3:$S$600,9,0)</f>
        <v>0</v>
      </c>
      <c r="K494" s="67" t="str">
        <f>VLOOKUP($B494,master!$B$3:$S$600,11,0)</f>
        <v>NGESTIHARJO</v>
      </c>
      <c r="L494" s="67" t="str">
        <f>VLOOKUP($B494,master!$B$3:$S$600,12,0)</f>
        <v>KASIHAN</v>
      </c>
      <c r="M494" s="67" t="str">
        <f>VLOOKUP($B494,master!$B$3:$S$600,6,0)</f>
        <v>NGADIKIN</v>
      </c>
      <c r="N494" s="82" t="str">
        <f>VLOOKUP($B494,master!$B$3:$S$600,15,0)</f>
        <v>SMP MUHAMMADIYAH KASIHAN</v>
      </c>
      <c r="O494" s="82" t="str">
        <f>VLOOKUP($B494,master!$B$3:$S$600,4,0)</f>
        <v>2-07-2008</v>
      </c>
    </row>
    <row r="495" spans="1:15" ht="15.75" customHeight="1" x14ac:dyDescent="0.25">
      <c r="A495" s="80" t="s">
        <v>1538</v>
      </c>
      <c r="B495" s="11" t="s">
        <v>1521</v>
      </c>
      <c r="C495" s="11" t="s">
        <v>4619</v>
      </c>
      <c r="D495" s="11" t="s">
        <v>117</v>
      </c>
      <c r="E495" s="65" t="str">
        <f>VLOOKUP(D495,Total!$C$2:$D$518,2,0)</f>
        <v>11 TPM 2</v>
      </c>
      <c r="F495" s="65" t="str">
        <f>VLOOKUP(C495,Total!$B$2:$F$514,5,0)</f>
        <v>KELUAR</v>
      </c>
      <c r="G495" s="67" t="str">
        <f>VLOOKUP($B495,master!$B$3:$S$600,16,0)</f>
        <v>087877924571/081314385501</v>
      </c>
      <c r="H495" s="67" t="str">
        <f>VLOOKUP($B495,master!$B$3:$S$600,17,0)</f>
        <v>089526717873</v>
      </c>
      <c r="I495" s="67" t="str">
        <f>VLOOKUP($B495,master!$B$3:$S$600,8,0)</f>
        <v>GESIKAN 3</v>
      </c>
      <c r="J495" s="67" t="str">
        <f>VLOOKUP($B495,master!$B$3:$S$600,9,0)</f>
        <v>001</v>
      </c>
      <c r="K495" s="67" t="str">
        <f>VLOOKUP($B495,master!$B$3:$S$600,11,0)</f>
        <v>WIJIREJO</v>
      </c>
      <c r="L495" s="67" t="str">
        <f>VLOOKUP($B495,master!$B$3:$S$600,12,0)</f>
        <v>pANDAK</v>
      </c>
      <c r="M495" s="67" t="str">
        <f>VLOOKUP($B495,master!$B$3:$S$600,6,0)</f>
        <v>MOHAMMAD ISRO HARIYADI</v>
      </c>
      <c r="N495" s="82" t="str">
        <f>VLOOKUP($B495,master!$B$3:$S$600,15,0)</f>
        <v>SMP MUHAMMADIYAH BANTUL</v>
      </c>
      <c r="O495" s="82" t="str">
        <f>VLOOKUP($B495,master!$B$3:$S$600,4,0)</f>
        <v>15-11-2005</v>
      </c>
    </row>
    <row r="496" spans="1:15" ht="15.75" customHeight="1" x14ac:dyDescent="0.25">
      <c r="A496" s="80" t="s">
        <v>1540</v>
      </c>
      <c r="B496" s="11" t="s">
        <v>1523</v>
      </c>
      <c r="C496" s="11" t="s">
        <v>4620</v>
      </c>
      <c r="D496" s="11" t="s">
        <v>118</v>
      </c>
      <c r="E496" s="65" t="str">
        <f>VLOOKUP(D496,Total!$C$2:$D$518,2,0)</f>
        <v>11 TPM 2</v>
      </c>
      <c r="F496" s="65" t="str">
        <f>VLOOKUP(C496,Total!$B$2:$F$514,5,0)</f>
        <v>AKTIF</v>
      </c>
      <c r="G496" s="67" t="str">
        <f>VLOOKUP($B496,master!$B$3:$S$600,16,0)</f>
        <v>0895418904137</v>
      </c>
      <c r="H496" s="67" t="str">
        <f>VLOOKUP($B496,master!$B$3:$S$600,17,0)</f>
        <v>08994101937</v>
      </c>
      <c r="I496" s="67" t="str">
        <f>VLOOKUP($B496,master!$B$3:$S$600,8,0)</f>
        <v>PUCUNG</v>
      </c>
      <c r="J496" s="67" t="str">
        <f>VLOOKUP($B496,master!$B$3:$S$600,9,0)</f>
        <v>52</v>
      </c>
      <c r="K496" s="67" t="str">
        <f>VLOOKUP($B496,master!$B$3:$S$600,11,0)</f>
        <v>PENDOWOHARJO</v>
      </c>
      <c r="L496" s="67" t="str">
        <f>VLOOKUP($B496,master!$B$3:$S$600,12,0)</f>
        <v>SEWON</v>
      </c>
      <c r="M496" s="67" t="str">
        <f>VLOOKUP($B496,master!$B$3:$S$600,6,0)</f>
        <v>WARNO</v>
      </c>
      <c r="N496" s="82" t="str">
        <f>VLOOKUP($B496,master!$B$3:$S$600,15,0)</f>
        <v>MTS MUHAMMADIYAH KASIHAN</v>
      </c>
      <c r="O496" s="82" t="str">
        <f>VLOOKUP($B496,master!$B$3:$S$600,4,0)</f>
        <v>13-12-2008</v>
      </c>
    </row>
    <row r="497" spans="1:15" ht="15.75" customHeight="1" x14ac:dyDescent="0.25">
      <c r="A497" s="80" t="s">
        <v>1542</v>
      </c>
      <c r="B497" s="11" t="s">
        <v>1525</v>
      </c>
      <c r="C497" s="11" t="s">
        <v>4621</v>
      </c>
      <c r="D497" s="11" t="s">
        <v>119</v>
      </c>
      <c r="E497" s="65" t="str">
        <f>VLOOKUP(D497,Total!$C$2:$D$518,2,0)</f>
        <v>11 TPM 2</v>
      </c>
      <c r="F497" s="65" t="str">
        <f>VLOOKUP(C497,Total!$B$2:$F$514,5,0)</f>
        <v>AKTIF</v>
      </c>
      <c r="G497" s="67" t="str">
        <f>VLOOKUP($B497,master!$B$3:$S$600,16,0)</f>
        <v>085729846105</v>
      </c>
      <c r="H497" s="67" t="str">
        <f>VLOOKUP($B497,master!$B$3:$S$600,17,0)</f>
        <v>085729846</v>
      </c>
      <c r="I497" s="67" t="str">
        <f>VLOOKUP($B497,master!$B$3:$S$600,8,0)</f>
        <v>Blunyahan</v>
      </c>
      <c r="J497" s="67" t="str">
        <f>VLOOKUP($B497,master!$B$3:$S$600,9,0)</f>
        <v>50</v>
      </c>
      <c r="K497" s="67" t="str">
        <f>VLOOKUP($B497,master!$B$3:$S$600,11,0)</f>
        <v>PENDOWOHARJO</v>
      </c>
      <c r="L497" s="67" t="str">
        <f>VLOOKUP($B497,master!$B$3:$S$600,12,0)</f>
        <v>SEWON</v>
      </c>
      <c r="M497" s="67" t="str">
        <f>VLOOKUP($B497,master!$B$3:$S$600,6,0)</f>
        <v>Supriyanto</v>
      </c>
      <c r="N497" s="82" t="str">
        <f>VLOOKUP($B497,master!$B$3:$S$600,15,0)</f>
        <v>SMP MUHAMMADIYAH BANTUL</v>
      </c>
      <c r="O497" s="82" t="str">
        <f>VLOOKUP($B497,master!$B$3:$S$600,4,0)</f>
        <v>7-10-2008</v>
      </c>
    </row>
    <row r="498" spans="1:15" ht="15.75" customHeight="1" x14ac:dyDescent="0.25">
      <c r="A498" s="80" t="s">
        <v>1544</v>
      </c>
      <c r="B498" s="11" t="s">
        <v>1527</v>
      </c>
      <c r="C498" s="11" t="s">
        <v>4622</v>
      </c>
      <c r="D498" s="11" t="s">
        <v>120</v>
      </c>
      <c r="E498" s="65" t="str">
        <f>VLOOKUP(D498,Total!$C$2:$D$518,2,0)</f>
        <v>11 TPM 2</v>
      </c>
      <c r="F498" s="65" t="str">
        <f>VLOOKUP(C498,Total!$B$2:$F$514,5,0)</f>
        <v>AKTIF</v>
      </c>
      <c r="G498" s="67" t="str">
        <f>VLOOKUP($B498,master!$B$3:$S$600,16,0)</f>
        <v>0882006517817</v>
      </c>
      <c r="H498" s="67" t="str">
        <f>VLOOKUP($B498,master!$B$3:$S$600,17,0)</f>
        <v>08827949981</v>
      </c>
      <c r="I498" s="67" t="str">
        <f>VLOOKUP($B498,master!$B$3:$S$600,8,0)</f>
        <v>JEJERAN I</v>
      </c>
      <c r="J498" s="67" t="str">
        <f>VLOOKUP($B498,master!$B$3:$S$600,9,0)</f>
        <v>3</v>
      </c>
      <c r="K498" s="67" t="str">
        <f>VLOOKUP($B498,master!$B$3:$S$600,11,0)</f>
        <v>WONOKROMO</v>
      </c>
      <c r="L498" s="67" t="str">
        <f>VLOOKUP($B498,master!$B$3:$S$600,12,0)</f>
        <v>PLERET</v>
      </c>
      <c r="M498" s="67" t="str">
        <f>VLOOKUP($B498,master!$B$3:$S$600,6,0)</f>
        <v>SRIYAMTINI</v>
      </c>
      <c r="N498" s="82" t="str">
        <f>VLOOKUP($B498,master!$B$3:$S$600,15,0)</f>
        <v>SMP N 1 PLERET</v>
      </c>
      <c r="O498" s="82" t="str">
        <f>VLOOKUP($B498,master!$B$3:$S$600,4,0)</f>
        <v>18-04-2008</v>
      </c>
    </row>
    <row r="499" spans="1:15" ht="15.75" customHeight="1" x14ac:dyDescent="0.25">
      <c r="A499" s="80" t="s">
        <v>1546</v>
      </c>
      <c r="B499" s="14" t="s">
        <v>1529</v>
      </c>
      <c r="C499" s="11" t="s">
        <v>4623</v>
      </c>
      <c r="D499" s="14" t="s">
        <v>121</v>
      </c>
      <c r="E499" s="65" t="str">
        <f>VLOOKUP(D499,Total!$C$2:$D$518,2,0)</f>
        <v>11 TPM 2</v>
      </c>
      <c r="F499" s="65" t="str">
        <f>VLOOKUP(C499,Total!$B$2:$F$514,5,0)</f>
        <v>AKTIF</v>
      </c>
      <c r="G499" s="67" t="str">
        <f>VLOOKUP($B499,master!$B$3:$S$600,16,0)</f>
        <v>89652968104</v>
      </c>
      <c r="H499" s="67" t="str">
        <f>VLOOKUP($B499,master!$B$3:$S$600,17,0)</f>
        <v>0</v>
      </c>
      <c r="I499" s="67" t="str">
        <f>VLOOKUP($B499,master!$B$3:$S$600,8,0)</f>
        <v>CENGKIRAN</v>
      </c>
      <c r="J499" s="67" t="str">
        <f>VLOOKUP($B499,master!$B$3:$S$600,9,0)</f>
        <v>8</v>
      </c>
      <c r="K499" s="67" t="str">
        <f>VLOOKUP($B499,master!$B$3:$S$600,11,0)</f>
        <v>TRIHARJO</v>
      </c>
      <c r="L499" s="67" t="str">
        <f>VLOOKUP($B499,master!$B$3:$S$600,12,0)</f>
        <v>PANDAK</v>
      </c>
      <c r="M499" s="67" t="str">
        <f>VLOOKUP($B499,master!$B$3:$S$600,6,0)</f>
        <v>ROHADI</v>
      </c>
      <c r="N499" s="82" t="str">
        <f>VLOOKUP($B499,master!$B$3:$S$600,15,0)</f>
        <v>SMP N 3 PANDAK</v>
      </c>
      <c r="O499" s="82" t="str">
        <f>VLOOKUP($B499,master!$B$3:$S$600,4,0)</f>
        <v>10-06-2008</v>
      </c>
    </row>
    <row r="500" spans="1:15" ht="15.75" customHeight="1" x14ac:dyDescent="0.25">
      <c r="A500" s="80" t="s">
        <v>1548</v>
      </c>
      <c r="B500" s="11" t="s">
        <v>1531</v>
      </c>
      <c r="C500" s="11" t="s">
        <v>4624</v>
      </c>
      <c r="D500" s="11" t="s">
        <v>122</v>
      </c>
      <c r="E500" s="65" t="str">
        <f>VLOOKUP(D500,Total!$C$2:$D$518,2,0)</f>
        <v>11 TPM 2</v>
      </c>
      <c r="F500" s="65" t="str">
        <f>VLOOKUP(C500,Total!$B$2:$F$514,5,0)</f>
        <v>AKTIF</v>
      </c>
      <c r="G500" s="67" t="str">
        <f>VLOOKUP($B500,master!$B$3:$S$600,16,0)</f>
        <v>082137188517</v>
      </c>
      <c r="H500" s="67" t="str">
        <f>VLOOKUP($B500,master!$B$3:$S$600,17,0)</f>
        <v>-</v>
      </c>
      <c r="I500" s="67" t="s">
        <v>5134</v>
      </c>
      <c r="J500" s="67" t="str">
        <f>VLOOKUP($B500,master!$B$3:$S$600,9,0)</f>
        <v>4</v>
      </c>
      <c r="K500" s="67" t="str">
        <f>VLOOKUP($B500,master!$B$3:$S$600,11,0)</f>
        <v>SRIHARDONO</v>
      </c>
      <c r="L500" s="67" t="str">
        <f>VLOOKUP($B500,master!$B$3:$S$600,12,0)</f>
        <v>PUNDONG</v>
      </c>
      <c r="M500" s="67" t="str">
        <f>VLOOKUP($B500,master!$B$3:$S$600,6,0)</f>
        <v>SAFRIDONI/WIJI LESTARI</v>
      </c>
      <c r="N500" s="82" t="str">
        <f>VLOOKUP($B500,master!$B$3:$S$600,15,0)</f>
        <v>SMP Baitul Quran Cendekia</v>
      </c>
      <c r="O500" s="82" t="str">
        <f>VLOOKUP($B500,master!$B$3:$S$600,4,0)</f>
        <v>17-09-2007</v>
      </c>
    </row>
    <row r="501" spans="1:15" ht="15.75" customHeight="1" x14ac:dyDescent="0.25">
      <c r="A501" s="80" t="s">
        <v>1550</v>
      </c>
      <c r="B501" s="11" t="s">
        <v>5118</v>
      </c>
      <c r="C501" s="11" t="s">
        <v>5117</v>
      </c>
      <c r="D501" s="14" t="s">
        <v>5119</v>
      </c>
      <c r="E501" s="83" t="str">
        <f>VLOOKUP(D501,Total!$C$2:$D$518,2,0)</f>
        <v>11 TPM 2</v>
      </c>
      <c r="F501" s="83" t="str">
        <f>VLOOKUP(C501,Total!$B$2:$F$514,5,0)</f>
        <v>AKTIF</v>
      </c>
      <c r="G501" s="158" t="str">
        <f>VLOOKUP($B501,master!$B$3:$S$600,16,0)</f>
        <v>085643719786</v>
      </c>
      <c r="H501" s="67" t="str">
        <f>VLOOKUP($B501,master!$B$3:$S$600,17,0)</f>
        <v>089692720008</v>
      </c>
      <c r="I501" s="67" t="str">
        <f>VLOOKUP($B501,master!$B$3:$S$600,8,0)</f>
        <v>BANDUNG</v>
      </c>
      <c r="J501" s="67" t="str">
        <f>VLOOKUP($B501,master!$B$3:$S$600,9,0)</f>
        <v>29</v>
      </c>
      <c r="K501" s="67" t="str">
        <f>VLOOKUP($B501,master!$B$3:$S$600,11,0)</f>
        <v>PENDOWOHARJO</v>
      </c>
      <c r="L501" s="67" t="str">
        <f>VLOOKUP($B501,master!$B$3:$S$600,12,0)</f>
        <v>SEWON</v>
      </c>
      <c r="M501" s="67" t="str">
        <f>VLOOKUP($B501,master!$B$3:$S$600,6,0)</f>
        <v>KUSWANTI</v>
      </c>
      <c r="N501" s="82" t="str">
        <f>VLOOKUP($B501,master!$B$3:$S$600,15,0)</f>
        <v>SMP MUHAMMADIYAH SEWON</v>
      </c>
      <c r="O501" s="82" t="str">
        <f>VLOOKUP($B501,master!$B$3:$S$600,4,0)</f>
        <v>24-04-2008</v>
      </c>
    </row>
    <row r="502" spans="1:15" ht="15.75" customHeight="1" x14ac:dyDescent="0.25">
      <c r="A502" s="80" t="s">
        <v>1552</v>
      </c>
      <c r="B502" s="11" t="s">
        <v>1533</v>
      </c>
      <c r="C502" s="65" t="s">
        <v>4625</v>
      </c>
      <c r="D502" s="75" t="s">
        <v>123</v>
      </c>
      <c r="E502" s="75" t="str">
        <f>VLOOKUP(D502,Total!$C$2:$D$518,2,0)</f>
        <v>11 TPM 2</v>
      </c>
      <c r="F502" s="75" t="str">
        <f>VLOOKUP(C502,Total!$B$2:$F$514,5,0)</f>
        <v>AKTIF</v>
      </c>
      <c r="G502" s="131" t="str">
        <f>VLOOKUP($B502,master!$B$3:$S$600,16,0)</f>
        <v>089646568434</v>
      </c>
      <c r="H502" s="86" t="str">
        <f>VLOOKUP($B502,master!$B$3:$S$600,17,0)</f>
        <v>0895620509933</v>
      </c>
      <c r="I502" s="67" t="str">
        <f>VLOOKUP($B502,master!$B$3:$S$600,8,0)</f>
        <v>PATEN</v>
      </c>
      <c r="J502" s="67" t="str">
        <f>VLOOKUP($B502,master!$B$3:$S$600,9,0)</f>
        <v>06</v>
      </c>
      <c r="K502" s="67" t="str">
        <f>VLOOKUP($B502,master!$B$3:$S$600,11,0)</f>
        <v>TIMBULHARJO</v>
      </c>
      <c r="L502" s="67" t="str">
        <f>VLOOKUP($B502,master!$B$3:$S$600,12,0)</f>
        <v>SEWON</v>
      </c>
      <c r="M502" s="67" t="str">
        <f>VLOOKUP($B502,master!$B$3:$S$600,6,0)</f>
        <v>ANDRIYANTO</v>
      </c>
      <c r="N502" s="82" t="str">
        <f>VLOOKUP($B502,master!$B$3:$S$600,15,0)</f>
        <v>MTS N 4 BANTUL</v>
      </c>
      <c r="O502" s="82" t="str">
        <f>VLOOKUP($B502,master!$B$3:$S$600,4,0)</f>
        <v>26-03-2008</v>
      </c>
    </row>
    <row r="503" spans="1:15" ht="15.75" customHeight="1" x14ac:dyDescent="0.25">
      <c r="A503" s="80" t="s">
        <v>1554</v>
      </c>
      <c r="B503" s="14" t="s">
        <v>1535</v>
      </c>
      <c r="C503" s="65" t="s">
        <v>4626</v>
      </c>
      <c r="D503" s="75" t="s">
        <v>124</v>
      </c>
      <c r="E503" s="75" t="str">
        <f>VLOOKUP(D503,Total!$C$2:$D$518,2,0)</f>
        <v>11 TPM 2</v>
      </c>
      <c r="F503" s="75" t="str">
        <f>VLOOKUP(C503,Total!$B$2:$F$514,5,0)</f>
        <v>AKTIF</v>
      </c>
      <c r="G503" s="131" t="str">
        <f>VLOOKUP($B503,master!$B$3:$S$600,16,0)</f>
        <v>082230510426</v>
      </c>
      <c r="H503" s="86" t="str">
        <f>VLOOKUP($B503,master!$B$3:$S$600,17,0)</f>
        <v>085967055628</v>
      </c>
      <c r="I503" s="67" t="str">
        <f>VLOOKUP($B503,master!$B$3:$S$600,8,0)</f>
        <v>SELOBENTAR</v>
      </c>
      <c r="J503" s="67" t="str">
        <f>VLOOKUP($B503,master!$B$3:$S$600,9,0)</f>
        <v>32</v>
      </c>
      <c r="K503" s="67" t="str">
        <f>VLOOKUP($B503,master!$B$3:$S$600,11,0)</f>
        <v>TRIMURTI</v>
      </c>
      <c r="L503" s="67" t="str">
        <f>VLOOKUP($B503,master!$B$3:$S$600,12,0)</f>
        <v>SRANDAKAN</v>
      </c>
      <c r="M503" s="67" t="str">
        <f>VLOOKUP($B503,master!$B$3:$S$600,6,0)</f>
        <v>RATIJAH</v>
      </c>
      <c r="N503" s="82" t="str">
        <f>VLOOKUP($B503,master!$B$3:$S$600,15,0)</f>
        <v>SMP N 2 SRANDAKAN</v>
      </c>
      <c r="O503" s="82" t="str">
        <f>VLOOKUP($B503,master!$B$3:$S$600,4,0)</f>
        <v>27-11-2008</v>
      </c>
    </row>
    <row r="504" spans="1:15" ht="15.75" customHeight="1" x14ac:dyDescent="0.25">
      <c r="A504" s="84" t="s">
        <v>1556</v>
      </c>
      <c r="B504" s="85" t="s">
        <v>1537</v>
      </c>
      <c r="C504" s="65" t="s">
        <v>4627</v>
      </c>
      <c r="D504" s="75" t="s">
        <v>125</v>
      </c>
      <c r="E504" s="75" t="str">
        <f>VLOOKUP(D504,Total!$C$2:$D$518,2,0)</f>
        <v>11 TPM 2</v>
      </c>
      <c r="F504" s="75" t="str">
        <f>VLOOKUP(C504,Total!$B$2:$F$514,5,0)</f>
        <v>AKTIF</v>
      </c>
      <c r="G504" s="131" t="str">
        <f>VLOOKUP($B504,master!$B$3:$S$600,16,0)</f>
        <v>081804388666</v>
      </c>
      <c r="H504" s="86" t="str">
        <f>VLOOKUP($B504,master!$B$3:$S$600,17,0)</f>
        <v>-</v>
      </c>
      <c r="I504" s="67" t="str">
        <f>VLOOKUP($B504,master!$B$3:$S$600,8,0)</f>
        <v>GENDENG</v>
      </c>
      <c r="J504" s="67" t="str">
        <f>VLOOKUP($B504,master!$B$3:$S$600,9,0)</f>
        <v>3</v>
      </c>
      <c r="K504" s="67" t="str">
        <f>VLOOKUP($B504,master!$B$3:$S$600,11,0)</f>
        <v>BANGUNJIWO</v>
      </c>
      <c r="L504" s="67" t="str">
        <f>VLOOKUP($B504,master!$B$3:$S$600,12,0)</f>
        <v>KASIHAN</v>
      </c>
      <c r="M504" s="67" t="str">
        <f>VLOOKUP($B504,master!$B$3:$S$600,6,0)</f>
        <v>SUWANTO</v>
      </c>
      <c r="N504" s="82" t="str">
        <f>VLOOKUP($B504,master!$B$3:$S$600,15,0)</f>
        <v>MTS MUHAMMADIYAH KASIHAN</v>
      </c>
      <c r="O504" s="82" t="str">
        <f>VLOOKUP($B504,master!$B$3:$S$600,4,0)</f>
        <v>9-10-2008</v>
      </c>
    </row>
    <row r="505" spans="1:15" ht="15.75" customHeight="1" x14ac:dyDescent="0.25">
      <c r="A505" s="87" t="s">
        <v>4024</v>
      </c>
      <c r="B505" s="75" t="s">
        <v>1539</v>
      </c>
      <c r="C505" s="65" t="s">
        <v>4628</v>
      </c>
      <c r="D505" s="75" t="s">
        <v>126</v>
      </c>
      <c r="E505" s="75" t="str">
        <f>VLOOKUP(D505,Total!$C$2:$D$518,2,0)</f>
        <v>11 TPM 2</v>
      </c>
      <c r="F505" s="75" t="str">
        <f>VLOOKUP(C505,Total!$B$2:$F$514,5,0)</f>
        <v>AKTIF</v>
      </c>
      <c r="G505" s="131" t="str">
        <f>VLOOKUP($B505,master!$B$3:$S$600,16,0)</f>
        <v>082265269142</v>
      </c>
      <c r="H505" s="86" t="str">
        <f>VLOOKUP($B505,master!$B$3:$S$600,17,0)</f>
        <v>083841783198</v>
      </c>
      <c r="I505" s="67" t="str">
        <f>VLOOKUP($B505,master!$B$3:$S$600,8,0)</f>
        <v>BARAN</v>
      </c>
      <c r="J505" s="67" t="str">
        <f>VLOOKUP($B505,master!$B$3:$S$600,9,0)</f>
        <v>001</v>
      </c>
      <c r="K505" s="67" t="str">
        <f>VLOOKUP($B505,master!$B$3:$S$600,11,0)</f>
        <v>SRIHARDONO</v>
      </c>
      <c r="L505" s="67" t="str">
        <f>VLOOKUP($B505,master!$B$3:$S$600,12,0)</f>
        <v>PUNDONG</v>
      </c>
      <c r="M505" s="67" t="str">
        <f>VLOOKUP($B505,master!$B$3:$S$600,6,0)</f>
        <v>AGUS SARWANTO</v>
      </c>
      <c r="N505" s="82" t="str">
        <f>VLOOKUP($B505,master!$B$3:$S$600,15,0)</f>
        <v>SMP N 2 PUNDONG</v>
      </c>
      <c r="O505" s="82" t="str">
        <f>VLOOKUP($B505,master!$B$3:$S$600,4,0)</f>
        <v>29-03-2008</v>
      </c>
    </row>
    <row r="506" spans="1:15" ht="15.75" customHeight="1" x14ac:dyDescent="0.25">
      <c r="A506" s="87" t="s">
        <v>4028</v>
      </c>
      <c r="B506" s="75" t="s">
        <v>1541</v>
      </c>
      <c r="C506" s="65" t="s">
        <v>4629</v>
      </c>
      <c r="D506" s="75" t="s">
        <v>127</v>
      </c>
      <c r="E506" s="75" t="str">
        <f>VLOOKUP(D506,Total!$C$2:$D$518,2,0)</f>
        <v>11 TPM 2</v>
      </c>
      <c r="F506" s="75" t="str">
        <f>VLOOKUP(C506,Total!$B$2:$F$514,5,0)</f>
        <v>AKTIF</v>
      </c>
      <c r="G506" s="131" t="str">
        <f>VLOOKUP($B506,master!$B$3:$S$600,16,0)</f>
        <v>089632313761/089636391551</v>
      </c>
      <c r="H506" s="86" t="str">
        <f>VLOOKUP($B506,master!$B$3:$S$600,17,0)</f>
        <v>08963639155</v>
      </c>
      <c r="I506" s="67" t="str">
        <f>VLOOKUP($B506,master!$B$3:$S$600,8,0)</f>
        <v>TEGAL DOWO</v>
      </c>
      <c r="J506" s="67" t="str">
        <f>VLOOKUP($B506,master!$B$3:$S$600,9,0)</f>
        <v>4</v>
      </c>
      <c r="K506" s="67" t="str">
        <f>VLOOKUP($B506,master!$B$3:$S$600,11,0)</f>
        <v>BANTUL</v>
      </c>
      <c r="L506" s="67" t="str">
        <f>VLOOKUP($B506,master!$B$3:$S$600,12,0)</f>
        <v>BANTUL</v>
      </c>
      <c r="M506" s="67" t="str">
        <f>VLOOKUP($B506,master!$B$3:$S$600,6,0)</f>
        <v>KARWATI</v>
      </c>
      <c r="N506" s="82" t="str">
        <f>VLOOKUP($B506,master!$B$3:$S$600,15,0)</f>
        <v>SMP N 4 SEWON</v>
      </c>
      <c r="O506" s="82" t="str">
        <f>VLOOKUP($B506,master!$B$3:$S$600,4,0)</f>
        <v>1-10-2007</v>
      </c>
    </row>
    <row r="507" spans="1:15" ht="15.75" customHeight="1" x14ac:dyDescent="0.25">
      <c r="A507" s="87" t="s">
        <v>4035</v>
      </c>
      <c r="B507" s="75" t="s">
        <v>1543</v>
      </c>
      <c r="C507" s="65" t="s">
        <v>4630</v>
      </c>
      <c r="D507" s="75" t="s">
        <v>128</v>
      </c>
      <c r="E507" s="75" t="str">
        <f>VLOOKUP(D507,Total!$C$2:$D$518,2,0)</f>
        <v>11 TPM 2</v>
      </c>
      <c r="F507" s="75" t="str">
        <f>VLOOKUP(C507,Total!$B$2:$F$514,5,0)</f>
        <v>AKTIF</v>
      </c>
      <c r="G507" s="131" t="str">
        <f>VLOOKUP($B507,master!$B$3:$S$600,16,0)</f>
        <v>085103536350</v>
      </c>
      <c r="H507" s="86" t="str">
        <f>VLOOKUP($B507,master!$B$3:$S$600,17,0)</f>
        <v>0882006985378</v>
      </c>
      <c r="I507" s="67" t="str">
        <f>VLOOKUP($B507,master!$B$3:$S$600,8,0)</f>
        <v>SINGOSAREN</v>
      </c>
      <c r="J507" s="67" t="str">
        <f>VLOOKUP($B507,master!$B$3:$S$600,9,0)</f>
        <v>1</v>
      </c>
      <c r="K507" s="67" t="str">
        <f>VLOOKUP($B507,master!$B$3:$S$600,11,0)</f>
        <v>WUKIRSARI</v>
      </c>
      <c r="L507" s="67" t="str">
        <f>VLOOKUP($B507,master!$B$3:$S$600,12,0)</f>
        <v>IMOGIRI</v>
      </c>
      <c r="M507" s="67" t="str">
        <f>VLOOKUP($B507,master!$B$3:$S$600,6,0)</f>
        <v>MUHAMAD SUBKHAN</v>
      </c>
      <c r="N507" s="82" t="str">
        <f>VLOOKUP($B507,master!$B$3:$S$600,15,0)</f>
        <v>SMP AL MA'ARIF IMOGIRI</v>
      </c>
      <c r="O507" s="82" t="str">
        <f>VLOOKUP($B507,master!$B$3:$S$600,4,0)</f>
        <v>7-08-2008</v>
      </c>
    </row>
    <row r="508" spans="1:15" ht="15.75" customHeight="1" x14ac:dyDescent="0.25">
      <c r="A508" s="87" t="s">
        <v>4041</v>
      </c>
      <c r="B508" s="75" t="s">
        <v>1545</v>
      </c>
      <c r="C508" s="65" t="s">
        <v>4631</v>
      </c>
      <c r="D508" s="75" t="s">
        <v>129</v>
      </c>
      <c r="E508" s="75" t="str">
        <f>VLOOKUP(D508,Total!$C$2:$D$518,2,0)</f>
        <v>11 TPM 2</v>
      </c>
      <c r="F508" s="75" t="str">
        <f>VLOOKUP(C508,Total!$B$2:$F$514,5,0)</f>
        <v>AKTIF</v>
      </c>
      <c r="G508" s="131" t="str">
        <f>VLOOKUP($B508,master!$B$3:$S$600,16,0)</f>
        <v>85228636179</v>
      </c>
      <c r="H508" s="86" t="str">
        <f>VLOOKUP($B508,master!$B$3:$S$600,17,0)</f>
        <v>0</v>
      </c>
      <c r="I508" s="67" t="str">
        <f>VLOOKUP($B508,master!$B$3:$S$600,8,0)</f>
        <v>KADISORO</v>
      </c>
      <c r="J508" s="67" t="str">
        <f>VLOOKUP($B508,master!$B$3:$S$600,9,0)</f>
        <v>3</v>
      </c>
      <c r="K508" s="67" t="str">
        <f>VLOOKUP($B508,master!$B$3:$S$600,11,0)</f>
        <v>GILANGHARJO</v>
      </c>
      <c r="L508" s="67" t="str">
        <f>VLOOKUP($B508,master!$B$3:$S$600,12,0)</f>
        <v>PANDAK</v>
      </c>
      <c r="M508" s="67" t="str">
        <f>VLOOKUP($B508,master!$B$3:$S$600,6,0)</f>
        <v>ANGGA INDRIAWAN P</v>
      </c>
      <c r="N508" s="82" t="str">
        <f>VLOOKUP($B508,master!$B$3:$S$600,15,0)</f>
        <v>SMP N 3 PANDAK</v>
      </c>
      <c r="O508" s="82" t="str">
        <f>VLOOKUP($B508,master!$B$3:$S$600,4,0)</f>
        <v>2-02-2008</v>
      </c>
    </row>
    <row r="509" spans="1:15" ht="15.75" customHeight="1" x14ac:dyDescent="0.25">
      <c r="A509" s="87" t="s">
        <v>4047</v>
      </c>
      <c r="B509" s="75" t="s">
        <v>1547</v>
      </c>
      <c r="C509" s="65" t="s">
        <v>4632</v>
      </c>
      <c r="D509" s="75" t="s">
        <v>130</v>
      </c>
      <c r="E509" s="75" t="str">
        <f>VLOOKUP(D509,Total!$C$2:$D$518,2,0)</f>
        <v>11 TPM 2</v>
      </c>
      <c r="F509" s="75" t="str">
        <f>VLOOKUP(C509,Total!$B$2:$F$514,5,0)</f>
        <v>AKTIF</v>
      </c>
      <c r="G509" s="131" t="str">
        <f>VLOOKUP($B509,master!$B$3:$S$600,16,0)</f>
        <v>088216647137</v>
      </c>
      <c r="H509" s="86" t="str">
        <f>VLOOKUP($B509,master!$B$3:$S$600,17,0)</f>
        <v>-</v>
      </c>
      <c r="I509" s="67" t="str">
        <f>VLOOKUP($B509,master!$B$3:$S$600,8,0)</f>
        <v>NENGAHAN</v>
      </c>
      <c r="J509" s="67" t="str">
        <f>VLOOKUP($B509,master!$B$3:$S$600,9,0)</f>
        <v>86</v>
      </c>
      <c r="K509" s="67" t="str">
        <f>VLOOKUP($B509,master!$B$3:$S$600,11,0)</f>
        <v>TRIMURTI</v>
      </c>
      <c r="L509" s="67" t="str">
        <f>VLOOKUP($B509,master!$B$3:$S$600,12,0)</f>
        <v>SRANDAKAN</v>
      </c>
      <c r="M509" s="67" t="str">
        <f>VLOOKUP($B509,master!$B$3:$S$600,6,0)</f>
        <v>ISMUNANDAR</v>
      </c>
      <c r="N509" s="82" t="str">
        <f>VLOOKUP($B509,master!$B$3:$S$600,15,0)</f>
        <v>SMP N 1 SRANDAKAN</v>
      </c>
      <c r="O509" s="82" t="str">
        <f>VLOOKUP($B509,master!$B$3:$S$600,4,0)</f>
        <v>17-02-2009</v>
      </c>
    </row>
    <row r="510" spans="1:15" ht="15.75" customHeight="1" x14ac:dyDescent="0.25">
      <c r="A510" s="87" t="s">
        <v>4052</v>
      </c>
      <c r="B510" s="75" t="s">
        <v>1549</v>
      </c>
      <c r="C510" s="65" t="s">
        <v>4633</v>
      </c>
      <c r="D510" s="75" t="s">
        <v>131</v>
      </c>
      <c r="E510" s="75" t="str">
        <f>VLOOKUP(D510,Total!$C$2:$D$518,2,0)</f>
        <v>11 TPM 2</v>
      </c>
      <c r="F510" s="75" t="str">
        <f>VLOOKUP(C510,Total!$B$2:$F$514,5,0)</f>
        <v>AKTIF</v>
      </c>
      <c r="G510" s="131" t="str">
        <f>VLOOKUP($B510,master!$B$3:$S$600,16,0)</f>
        <v>083126193252</v>
      </c>
      <c r="H510" s="86" t="str">
        <f>VLOOKUP($B510,master!$B$3:$S$600,17,0)</f>
        <v>083126193252</v>
      </c>
      <c r="I510" s="67" t="str">
        <f>VLOOKUP($B510,master!$B$3:$S$600,8,0)</f>
        <v>LANTENG 2</v>
      </c>
      <c r="J510" s="67" t="str">
        <f>VLOOKUP($B510,master!$B$3:$S$600,9,0)</f>
        <v>4</v>
      </c>
      <c r="K510" s="67" t="str">
        <f>VLOOKUP($B510,master!$B$3:$S$600,11,0)</f>
        <v>SELOPAMIORO</v>
      </c>
      <c r="L510" s="67" t="str">
        <f>VLOOKUP($B510,master!$B$3:$S$600,12,0)</f>
        <v>IMOGIRI</v>
      </c>
      <c r="M510" s="67" t="str">
        <f>VLOOKUP($B510,master!$B$3:$S$600,6,0)</f>
        <v>MURSIDI</v>
      </c>
      <c r="N510" s="82" t="str">
        <f>VLOOKUP($B510,master!$B$3:$S$600,15,0)</f>
        <v>SMP N 3 IMOGIRI</v>
      </c>
      <c r="O510" s="82" t="str">
        <f>VLOOKUP($B510,master!$B$3:$S$600,4,0)</f>
        <v>29-08-2008</v>
      </c>
    </row>
    <row r="511" spans="1:15" ht="15.75" customHeight="1" x14ac:dyDescent="0.25">
      <c r="A511" s="130" t="s">
        <v>4058</v>
      </c>
      <c r="B511" s="85" t="s">
        <v>1551</v>
      </c>
      <c r="C511" s="65" t="s">
        <v>4634</v>
      </c>
      <c r="D511" s="75" t="s">
        <v>132</v>
      </c>
      <c r="E511" s="75" t="str">
        <f>VLOOKUP(D511,Total!$C$2:$D$518,2,0)</f>
        <v>11 TPM 2</v>
      </c>
      <c r="F511" s="75" t="str">
        <f>VLOOKUP(C511,Total!$B$2:$F$514,5,0)</f>
        <v>AKTIF</v>
      </c>
      <c r="G511" s="131" t="str">
        <f>VLOOKUP($B511,master!$B$3:$S$600,16,0)</f>
        <v>085927487315</v>
      </c>
      <c r="H511" s="86" t="str">
        <f>VLOOKUP($B511,master!$B$3:$S$600,17,0)</f>
        <v>082326059380</v>
      </c>
      <c r="I511" s="67" t="str">
        <f>VLOOKUP($B511,master!$B$3:$S$600,8,0)</f>
        <v>SUKORAME</v>
      </c>
      <c r="J511" s="67" t="str">
        <f>VLOOKUP($B511,master!$B$3:$S$600,9,0)</f>
        <v>020</v>
      </c>
      <c r="K511" s="67" t="str">
        <f>VLOOKUP($B511,master!$B$3:$S$600,11,0)</f>
        <v>MANGUNAN</v>
      </c>
      <c r="L511" s="67" t="str">
        <f>VLOOKUP($B511,master!$B$3:$S$600,12,0)</f>
        <v>DLINGO</v>
      </c>
      <c r="M511" s="67" t="str">
        <f>VLOOKUP($B511,master!$B$3:$S$600,6,0)</f>
        <v>Slamet widodo</v>
      </c>
      <c r="N511" s="82" t="str">
        <f>VLOOKUP($B511,master!$B$3:$S$600,15,0)</f>
        <v>SMP Muhammadiyah 2 Dlingo</v>
      </c>
      <c r="O511" s="82" t="str">
        <f>VLOOKUP($B511,master!$B$3:$S$600,4,0)</f>
        <v>7-12-2008</v>
      </c>
    </row>
    <row r="512" spans="1:15" ht="15.75" customHeight="1" x14ac:dyDescent="0.25">
      <c r="A512" s="87" t="s">
        <v>4064</v>
      </c>
      <c r="B512" s="75" t="s">
        <v>1553</v>
      </c>
      <c r="C512" s="65" t="s">
        <v>4635</v>
      </c>
      <c r="D512" s="75" t="s">
        <v>133</v>
      </c>
      <c r="E512" s="75" t="str">
        <f>VLOOKUP(D512,Total!$C$2:$D$518,2,0)</f>
        <v>11 TPM 2</v>
      </c>
      <c r="F512" s="75" t="str">
        <f>VLOOKUP(C512,Total!$B$2:$F$514,5,0)</f>
        <v>AKTIF</v>
      </c>
      <c r="G512" s="131" t="str">
        <f>VLOOKUP($B512,master!$B$3:$S$600,16,0)</f>
        <v>088980738038</v>
      </c>
      <c r="H512" s="86" t="str">
        <f>VLOOKUP($B512,master!$B$3:$S$600,17,0)</f>
        <v>0882005858497</v>
      </c>
      <c r="I512" s="67" t="str">
        <f>VLOOKUP($B512,master!$B$3:$S$600,8,0)</f>
        <v>BULU</v>
      </c>
      <c r="J512" s="67" t="str">
        <f>VLOOKUP($B512,master!$B$3:$S$600,9,0)</f>
        <v>2</v>
      </c>
      <c r="K512" s="67" t="str">
        <f>VLOOKUP($B512,master!$B$3:$S$600,11,0)</f>
        <v>TRIMULYO</v>
      </c>
      <c r="L512" s="67" t="str">
        <f>VLOOKUP($B512,master!$B$3:$S$600,12,0)</f>
        <v>JETIS</v>
      </c>
      <c r="M512" s="67" t="str">
        <f>VLOOKUP($B512,master!$B$3:$S$600,6,0)</f>
        <v>YUNIATI</v>
      </c>
      <c r="N512" s="82" t="str">
        <f>VLOOKUP($B512,master!$B$3:$S$600,15,0)</f>
        <v>SMP MUHAMMADIYAH IMOGIRI</v>
      </c>
      <c r="O512" s="82" t="str">
        <f>VLOOKUP($B512,master!$B$3:$S$600,4,0)</f>
        <v>25-09-2008</v>
      </c>
    </row>
    <row r="513" spans="1:15" ht="15.75" customHeight="1" x14ac:dyDescent="0.25">
      <c r="A513" s="87" t="s">
        <v>4068</v>
      </c>
      <c r="B513" s="75" t="s">
        <v>1555</v>
      </c>
      <c r="C513" s="65" t="s">
        <v>4636</v>
      </c>
      <c r="D513" s="75" t="s">
        <v>134</v>
      </c>
      <c r="E513" s="75" t="str">
        <f>VLOOKUP(D513,Total!$C$2:$D$518,2,0)</f>
        <v>11 TPM 2</v>
      </c>
      <c r="F513" s="75" t="str">
        <f>VLOOKUP(C513,Total!$B$2:$F$514,5,0)</f>
        <v>KELUAR</v>
      </c>
      <c r="G513" s="131" t="str">
        <f>VLOOKUP($B513,master!$B$3:$S$600,16,0)</f>
        <v>081903748688</v>
      </c>
      <c r="H513" s="86" t="str">
        <f>VLOOKUP($B513,master!$B$3:$S$600,17,0)</f>
        <v>081903748688</v>
      </c>
      <c r="I513" s="67" t="str">
        <f>VLOOKUP($B513,master!$B$3:$S$600,8,0)</f>
        <v>PLEMBUTAN</v>
      </c>
      <c r="J513" s="67" t="str">
        <f>VLOOKUP($B513,master!$B$3:$S$600,9,0)</f>
        <v>05</v>
      </c>
      <c r="K513" s="67" t="str">
        <f>VLOOKUP($B513,master!$B$3:$S$600,11,0)</f>
        <v>CANDEN</v>
      </c>
      <c r="L513" s="67" t="str">
        <f>VLOOKUP($B513,master!$B$3:$S$600,12,0)</f>
        <v>JETIS</v>
      </c>
      <c r="M513" s="67" t="str">
        <f>VLOOKUP($B513,master!$B$3:$S$600,6,0)</f>
        <v>Tri Riyanto</v>
      </c>
      <c r="N513" s="82" t="str">
        <f>VLOOKUP($B513,master!$B$3:$S$600,15,0)</f>
        <v>SMP N 2 JETIS</v>
      </c>
      <c r="O513" s="82" t="str">
        <f>VLOOKUP($B513,master!$B$3:$S$600,4,0)</f>
        <v>1-01-2007</v>
      </c>
    </row>
    <row r="514" spans="1:15" ht="15.75" customHeight="1" x14ac:dyDescent="0.25">
      <c r="A514" s="87" t="s">
        <v>4072</v>
      </c>
      <c r="B514" s="75" t="s">
        <v>1557</v>
      </c>
      <c r="C514" s="11" t="s">
        <v>4637</v>
      </c>
      <c r="D514" s="159" t="s">
        <v>135</v>
      </c>
      <c r="E514" s="159" t="str">
        <f>VLOOKUP(D514,Total!$C$2:$D$518,2,0)</f>
        <v>11 TPM 2</v>
      </c>
      <c r="F514" s="160" t="str">
        <f>VLOOKUP(C514,Total!$B$2:$F$514,5,0)</f>
        <v>AKTIF</v>
      </c>
      <c r="G514" s="161" t="str">
        <f>VLOOKUP($B514,master!$B$3:$S$600,16,0)</f>
        <v>082221149233</v>
      </c>
      <c r="H514" s="86" t="str">
        <f>VLOOKUP($B514,master!$B$3:$S$600,17,0)</f>
        <v>-</v>
      </c>
      <c r="I514" s="67" t="str">
        <f>VLOOKUP($B514,master!$B$3:$S$600,8,0)</f>
        <v>KLEGEN</v>
      </c>
      <c r="J514" s="67" t="str">
        <f>VLOOKUP($B514,master!$B$3:$S$600,9,0)</f>
        <v>2</v>
      </c>
      <c r="K514" s="67" t="str">
        <f>VLOOKUP($B514,master!$B$3:$S$600,11,0)</f>
        <v>TIRTOSARI</v>
      </c>
      <c r="L514" s="67" t="str">
        <f>VLOOKUP($B514,master!$B$3:$S$600,12,0)</f>
        <v>KRETEK</v>
      </c>
      <c r="M514" s="67" t="str">
        <f>VLOOKUP($B514,master!$B$3:$S$600,6,0)</f>
        <v>HADI MARWANTA</v>
      </c>
      <c r="N514" s="82" t="str">
        <f>VLOOKUP($B514,master!$B$3:$S$600,15,0)</f>
        <v>SMP N 1 KRETEK</v>
      </c>
      <c r="O514" s="82" t="str">
        <f>VLOOKUP($B514,master!$B$3:$S$600,4,0)</f>
        <v>16-04-2008</v>
      </c>
    </row>
    <row r="515" spans="1:15" ht="15.75" customHeight="1" x14ac:dyDescent="0.25">
      <c r="A515" s="19"/>
      <c r="B515" s="19"/>
      <c r="C515" s="19"/>
      <c r="D515" s="19"/>
      <c r="E515" s="19"/>
      <c r="F515" s="19"/>
    </row>
    <row r="516" spans="1:15" ht="15.75" customHeight="1" x14ac:dyDescent="0.25">
      <c r="A516" s="19"/>
      <c r="B516" s="19"/>
      <c r="C516" s="19"/>
      <c r="D516" s="19"/>
      <c r="E516" s="19"/>
      <c r="F516" s="19"/>
    </row>
    <row r="517" spans="1:15" ht="15.75" customHeight="1" x14ac:dyDescent="0.25">
      <c r="A517" s="19"/>
      <c r="B517" s="19"/>
      <c r="C517" s="19"/>
      <c r="D517" s="19"/>
      <c r="E517" s="19"/>
      <c r="F517" s="19"/>
    </row>
    <row r="518" spans="1:15" ht="15.75" customHeight="1" x14ac:dyDescent="0.25">
      <c r="A518" s="19"/>
      <c r="B518" s="19"/>
      <c r="C518" s="19"/>
      <c r="D518" s="19"/>
      <c r="E518" s="19"/>
      <c r="F518" s="19"/>
    </row>
    <row r="519" spans="1:15" ht="15.75" customHeight="1" x14ac:dyDescent="0.25">
      <c r="A519" s="19"/>
      <c r="B519" s="19"/>
      <c r="C519" s="19"/>
      <c r="D519" s="19"/>
      <c r="E519" s="19"/>
      <c r="F519" s="19"/>
    </row>
    <row r="520" spans="1:15" ht="15.75" customHeight="1" x14ac:dyDescent="0.25">
      <c r="A520" s="19"/>
      <c r="B520" s="19"/>
      <c r="C520" s="19"/>
      <c r="D520" s="19"/>
      <c r="E520" s="19"/>
      <c r="F520" s="19"/>
    </row>
    <row r="521" spans="1:15" ht="15.75" customHeight="1" x14ac:dyDescent="0.25">
      <c r="A521" s="19"/>
      <c r="B521" s="19"/>
      <c r="C521" s="19"/>
      <c r="D521" s="19"/>
      <c r="E521" s="19"/>
      <c r="F521" s="19"/>
    </row>
    <row r="522" spans="1:15" ht="15.75" customHeight="1" x14ac:dyDescent="0.25">
      <c r="A522" s="19"/>
      <c r="B522" s="19"/>
      <c r="C522" s="19"/>
      <c r="D522" s="19"/>
      <c r="E522" s="19"/>
      <c r="F522" s="19"/>
    </row>
    <row r="523" spans="1:15" ht="15.75" customHeight="1" x14ac:dyDescent="0.25">
      <c r="A523" s="19"/>
      <c r="B523" s="19"/>
      <c r="C523" s="19"/>
      <c r="D523" s="19"/>
      <c r="E523" s="19"/>
      <c r="F523" s="19"/>
    </row>
    <row r="524" spans="1:15" ht="15.75" customHeight="1" x14ac:dyDescent="0.25">
      <c r="A524" s="19"/>
      <c r="B524" s="19"/>
      <c r="C524" s="19"/>
      <c r="D524" s="19"/>
      <c r="E524" s="19"/>
      <c r="F524" s="19"/>
    </row>
    <row r="525" spans="1:15" ht="15.75" customHeight="1" x14ac:dyDescent="0.25">
      <c r="A525" s="19"/>
      <c r="B525" s="19"/>
      <c r="C525" s="19"/>
      <c r="D525" s="19"/>
      <c r="E525" s="19"/>
      <c r="F525" s="19"/>
    </row>
    <row r="526" spans="1:15" ht="15.75" customHeight="1" x14ac:dyDescent="0.25">
      <c r="A526" s="19"/>
      <c r="B526" s="19"/>
      <c r="C526" s="19"/>
      <c r="D526" s="19"/>
      <c r="E526" s="19"/>
      <c r="F526" s="19"/>
    </row>
    <row r="527" spans="1:15" ht="15.75" customHeight="1" x14ac:dyDescent="0.25">
      <c r="A527" s="19"/>
      <c r="B527" s="19"/>
      <c r="C527" s="19"/>
      <c r="D527" s="19"/>
      <c r="E527" s="19"/>
      <c r="F527" s="19"/>
    </row>
    <row r="528" spans="1:15" ht="15.75" customHeight="1" x14ac:dyDescent="0.25">
      <c r="A528" s="19"/>
      <c r="B528" s="19"/>
      <c r="C528" s="19"/>
      <c r="D528" s="19"/>
      <c r="E528" s="19"/>
      <c r="F528" s="19"/>
    </row>
    <row r="529" spans="1:6" ht="15.75" customHeight="1" x14ac:dyDescent="0.25">
      <c r="A529" s="19"/>
      <c r="B529" s="19"/>
      <c r="C529" s="19"/>
      <c r="D529" s="19"/>
      <c r="E529" s="19"/>
      <c r="F529" s="19"/>
    </row>
    <row r="530" spans="1:6" ht="15.75" customHeight="1" x14ac:dyDescent="0.25">
      <c r="A530" s="19"/>
      <c r="B530" s="19"/>
      <c r="C530" s="19"/>
      <c r="D530" s="19"/>
      <c r="E530" s="19"/>
      <c r="F530" s="19"/>
    </row>
    <row r="531" spans="1:6" ht="15.75" customHeight="1" x14ac:dyDescent="0.25">
      <c r="A531" s="19"/>
      <c r="B531" s="19"/>
      <c r="C531" s="19"/>
      <c r="D531" s="19"/>
      <c r="E531" s="19"/>
      <c r="F531" s="19"/>
    </row>
    <row r="532" spans="1:6" ht="15.75" customHeight="1" x14ac:dyDescent="0.25">
      <c r="A532" s="19"/>
      <c r="B532" s="19"/>
      <c r="C532" s="19"/>
      <c r="D532" s="19"/>
      <c r="E532" s="19"/>
      <c r="F532" s="19"/>
    </row>
    <row r="533" spans="1:6" ht="15.75" customHeight="1" x14ac:dyDescent="0.25">
      <c r="A533" s="19"/>
      <c r="B533" s="19"/>
      <c r="C533" s="19"/>
      <c r="D533" s="19"/>
      <c r="E533" s="19"/>
      <c r="F533" s="19"/>
    </row>
    <row r="534" spans="1:6" ht="15.75" customHeight="1" x14ac:dyDescent="0.25">
      <c r="A534" s="19"/>
      <c r="B534" s="19"/>
      <c r="C534" s="19"/>
      <c r="D534" s="19"/>
      <c r="E534" s="19"/>
      <c r="F534" s="19"/>
    </row>
    <row r="535" spans="1:6" ht="15.75" customHeight="1" x14ac:dyDescent="0.25">
      <c r="A535" s="19"/>
      <c r="B535" s="19"/>
      <c r="C535" s="19"/>
      <c r="D535" s="19"/>
      <c r="E535" s="19"/>
      <c r="F535" s="19"/>
    </row>
    <row r="536" spans="1:6" ht="15.75" customHeight="1" x14ac:dyDescent="0.25">
      <c r="A536" s="19"/>
      <c r="B536" s="19"/>
      <c r="C536" s="19"/>
      <c r="D536" s="19"/>
      <c r="E536" s="19"/>
      <c r="F536" s="19"/>
    </row>
    <row r="537" spans="1:6" ht="15.75" customHeight="1" x14ac:dyDescent="0.25">
      <c r="A537" s="19"/>
      <c r="B537" s="19"/>
      <c r="C537" s="19"/>
      <c r="D537" s="19"/>
      <c r="E537" s="19"/>
      <c r="F537" s="19"/>
    </row>
    <row r="538" spans="1:6" ht="15.75" customHeight="1" x14ac:dyDescent="0.25">
      <c r="A538" s="19"/>
      <c r="B538" s="19"/>
      <c r="C538" s="19"/>
      <c r="D538" s="19"/>
      <c r="E538" s="19"/>
      <c r="F538" s="19"/>
    </row>
    <row r="539" spans="1:6" ht="15.75" customHeight="1" x14ac:dyDescent="0.25">
      <c r="A539" s="19"/>
      <c r="B539" s="19"/>
      <c r="C539" s="19"/>
      <c r="D539" s="19"/>
      <c r="E539" s="19"/>
      <c r="F539" s="19"/>
    </row>
    <row r="540" spans="1:6" ht="15.75" customHeight="1" x14ac:dyDescent="0.25">
      <c r="A540" s="19"/>
      <c r="B540" s="19"/>
      <c r="C540" s="19"/>
      <c r="D540" s="19"/>
      <c r="E540" s="19"/>
      <c r="F540" s="19"/>
    </row>
    <row r="541" spans="1:6" ht="15.75" customHeight="1" x14ac:dyDescent="0.25">
      <c r="A541" s="19"/>
      <c r="B541" s="19"/>
      <c r="C541" s="19"/>
      <c r="D541" s="19"/>
      <c r="E541" s="19"/>
      <c r="F541" s="19"/>
    </row>
    <row r="542" spans="1:6" ht="15.75" customHeight="1" x14ac:dyDescent="0.25">
      <c r="A542" s="19"/>
      <c r="B542" s="19"/>
      <c r="C542" s="19"/>
      <c r="D542" s="19"/>
      <c r="E542" s="19"/>
      <c r="F542" s="19"/>
    </row>
    <row r="543" spans="1:6" ht="15.75" customHeight="1" x14ac:dyDescent="0.25">
      <c r="A543" s="19"/>
      <c r="B543" s="19"/>
      <c r="C543" s="19"/>
      <c r="D543" s="19"/>
      <c r="E543" s="19"/>
      <c r="F543" s="19"/>
    </row>
    <row r="544" spans="1:6" ht="15.75" customHeight="1" x14ac:dyDescent="0.25">
      <c r="A544" s="19"/>
      <c r="B544" s="19"/>
      <c r="C544" s="19"/>
      <c r="D544" s="19"/>
      <c r="E544" s="19"/>
      <c r="F544" s="19"/>
    </row>
    <row r="545" spans="1:6" ht="15.75" customHeight="1" x14ac:dyDescent="0.25">
      <c r="A545" s="19"/>
      <c r="B545" s="19"/>
      <c r="C545" s="19"/>
      <c r="D545" s="19"/>
      <c r="E545" s="19"/>
      <c r="F545" s="19"/>
    </row>
    <row r="546" spans="1:6" ht="15.75" customHeight="1" x14ac:dyDescent="0.25">
      <c r="A546" s="19"/>
      <c r="B546" s="19"/>
      <c r="C546" s="19"/>
      <c r="D546" s="19"/>
      <c r="E546" s="19"/>
      <c r="F546" s="19"/>
    </row>
    <row r="547" spans="1:6" ht="15.75" customHeight="1" x14ac:dyDescent="0.25">
      <c r="A547" s="19"/>
      <c r="B547" s="19"/>
      <c r="C547" s="19"/>
      <c r="D547" s="19"/>
      <c r="E547" s="19"/>
      <c r="F547" s="19"/>
    </row>
    <row r="548" spans="1:6" ht="15.75" customHeight="1" x14ac:dyDescent="0.25">
      <c r="A548" s="19"/>
      <c r="B548" s="19"/>
      <c r="C548" s="19"/>
      <c r="D548" s="19"/>
      <c r="E548" s="19"/>
      <c r="F548" s="19"/>
    </row>
    <row r="549" spans="1:6" ht="15.75" customHeight="1" x14ac:dyDescent="0.25">
      <c r="A549" s="19"/>
      <c r="B549" s="19"/>
      <c r="C549" s="19"/>
      <c r="D549" s="19"/>
      <c r="E549" s="19"/>
      <c r="F549" s="19"/>
    </row>
    <row r="550" spans="1:6" ht="15.75" customHeight="1" x14ac:dyDescent="0.25">
      <c r="A550" s="19"/>
      <c r="B550" s="19"/>
      <c r="C550" s="19"/>
      <c r="D550" s="19"/>
      <c r="E550" s="19"/>
      <c r="F550" s="19"/>
    </row>
    <row r="551" spans="1:6" ht="15.75" customHeight="1" x14ac:dyDescent="0.25">
      <c r="A551" s="19"/>
      <c r="B551" s="19"/>
      <c r="C551" s="19"/>
      <c r="D551" s="19"/>
      <c r="E551" s="19"/>
      <c r="F551" s="19"/>
    </row>
    <row r="552" spans="1:6" ht="15.75" customHeight="1" x14ac:dyDescent="0.25">
      <c r="A552" s="19"/>
      <c r="B552" s="19"/>
      <c r="C552" s="19"/>
      <c r="D552" s="19"/>
      <c r="E552" s="19"/>
      <c r="F552" s="19"/>
    </row>
    <row r="553" spans="1:6" ht="15.75" customHeight="1" x14ac:dyDescent="0.25">
      <c r="A553" s="19"/>
      <c r="B553" s="19"/>
      <c r="C553" s="19"/>
      <c r="D553" s="19"/>
      <c r="E553" s="19"/>
      <c r="F553" s="19"/>
    </row>
    <row r="554" spans="1:6" ht="15.75" customHeight="1" x14ac:dyDescent="0.25">
      <c r="A554" s="19"/>
      <c r="B554" s="19"/>
      <c r="C554" s="19"/>
      <c r="D554" s="19"/>
      <c r="E554" s="19"/>
      <c r="F554" s="19"/>
    </row>
    <row r="555" spans="1:6" ht="15.75" customHeight="1" x14ac:dyDescent="0.25">
      <c r="A555" s="19"/>
      <c r="B555" s="19"/>
      <c r="C555" s="19"/>
      <c r="D555" s="19"/>
      <c r="E555" s="19"/>
      <c r="F555" s="19"/>
    </row>
    <row r="556" spans="1:6" ht="15.75" customHeight="1" x14ac:dyDescent="0.25">
      <c r="A556" s="19"/>
      <c r="B556" s="19"/>
      <c r="C556" s="19"/>
      <c r="D556" s="19"/>
      <c r="E556" s="19"/>
      <c r="F556" s="19"/>
    </row>
    <row r="557" spans="1:6" ht="15.75" customHeight="1" x14ac:dyDescent="0.25">
      <c r="A557" s="19"/>
      <c r="B557" s="19"/>
      <c r="C557" s="19"/>
      <c r="D557" s="19"/>
      <c r="E557" s="19"/>
      <c r="F557" s="19"/>
    </row>
    <row r="558" spans="1:6" ht="15.75" customHeight="1" x14ac:dyDescent="0.25">
      <c r="A558" s="19"/>
      <c r="B558" s="19"/>
      <c r="C558" s="19"/>
      <c r="D558" s="19"/>
      <c r="E558" s="19"/>
      <c r="F558" s="19"/>
    </row>
    <row r="559" spans="1:6" ht="15.75" customHeight="1" x14ac:dyDescent="0.25">
      <c r="A559" s="19"/>
      <c r="B559" s="19"/>
      <c r="C559" s="19"/>
      <c r="D559" s="19"/>
      <c r="E559" s="19"/>
      <c r="F559" s="19"/>
    </row>
    <row r="560" spans="1:6" ht="15.75" customHeight="1" x14ac:dyDescent="0.25">
      <c r="A560" s="19"/>
      <c r="B560" s="19"/>
      <c r="C560" s="19"/>
      <c r="D560" s="19"/>
      <c r="E560" s="19"/>
      <c r="F560" s="19"/>
    </row>
    <row r="561" spans="1:6" ht="15.75" customHeight="1" x14ac:dyDescent="0.25">
      <c r="A561" s="19"/>
      <c r="B561" s="19"/>
      <c r="C561" s="19"/>
      <c r="D561" s="19"/>
      <c r="E561" s="19"/>
      <c r="F561" s="19"/>
    </row>
    <row r="562" spans="1:6" ht="15.75" customHeight="1" x14ac:dyDescent="0.25">
      <c r="A562" s="19"/>
      <c r="B562" s="19"/>
      <c r="C562" s="19"/>
      <c r="D562" s="19"/>
      <c r="E562" s="19"/>
      <c r="F562" s="19"/>
    </row>
    <row r="563" spans="1:6" ht="15.75" customHeight="1" x14ac:dyDescent="0.25">
      <c r="A563" s="19"/>
      <c r="B563" s="19"/>
      <c r="C563" s="19"/>
      <c r="D563" s="19"/>
      <c r="E563" s="19"/>
      <c r="F563" s="19"/>
    </row>
    <row r="564" spans="1:6" ht="15.75" customHeight="1" x14ac:dyDescent="0.25">
      <c r="A564" s="19"/>
      <c r="B564" s="19"/>
      <c r="C564" s="19"/>
      <c r="D564" s="19"/>
      <c r="E564" s="19"/>
      <c r="F564" s="19"/>
    </row>
    <row r="565" spans="1:6" ht="15.75" customHeight="1" x14ac:dyDescent="0.25">
      <c r="A565" s="19"/>
      <c r="B565" s="19"/>
      <c r="C565" s="19"/>
      <c r="D565" s="19"/>
      <c r="E565" s="19"/>
      <c r="F565" s="19"/>
    </row>
    <row r="566" spans="1:6" ht="15.75" customHeight="1" x14ac:dyDescent="0.25">
      <c r="A566" s="19"/>
      <c r="B566" s="19"/>
      <c r="C566" s="19"/>
      <c r="D566" s="19"/>
      <c r="E566" s="19"/>
      <c r="F566" s="19"/>
    </row>
    <row r="567" spans="1:6" ht="15.75" customHeight="1" x14ac:dyDescent="0.25">
      <c r="A567" s="19"/>
      <c r="B567" s="19"/>
      <c r="C567" s="19"/>
      <c r="D567" s="19"/>
      <c r="E567" s="19"/>
      <c r="F567" s="19"/>
    </row>
    <row r="568" spans="1:6" ht="15.75" customHeight="1" x14ac:dyDescent="0.25">
      <c r="A568" s="19"/>
      <c r="B568" s="19"/>
      <c r="C568" s="19"/>
      <c r="D568" s="19"/>
      <c r="E568" s="19"/>
      <c r="F568" s="19"/>
    </row>
    <row r="569" spans="1:6" ht="15.75" customHeight="1" x14ac:dyDescent="0.25">
      <c r="A569" s="19"/>
      <c r="B569" s="19"/>
      <c r="C569" s="19"/>
      <c r="D569" s="19"/>
      <c r="E569" s="19"/>
      <c r="F569" s="19"/>
    </row>
    <row r="570" spans="1:6" ht="15.75" customHeight="1" x14ac:dyDescent="0.25">
      <c r="A570" s="19"/>
      <c r="B570" s="19"/>
      <c r="C570" s="19"/>
      <c r="D570" s="19"/>
      <c r="E570" s="19"/>
      <c r="F570" s="19"/>
    </row>
    <row r="571" spans="1:6" ht="15.75" customHeight="1" x14ac:dyDescent="0.25">
      <c r="A571" s="19"/>
      <c r="B571" s="19"/>
      <c r="C571" s="19"/>
      <c r="D571" s="19"/>
      <c r="E571" s="19"/>
      <c r="F571" s="19"/>
    </row>
    <row r="572" spans="1:6" ht="15.75" customHeight="1" x14ac:dyDescent="0.25">
      <c r="A572" s="19"/>
      <c r="B572" s="19"/>
      <c r="C572" s="19"/>
      <c r="D572" s="19"/>
      <c r="E572" s="19"/>
      <c r="F572" s="19"/>
    </row>
    <row r="573" spans="1:6" ht="15.75" customHeight="1" x14ac:dyDescent="0.25">
      <c r="A573" s="19"/>
      <c r="B573" s="19"/>
      <c r="C573" s="19"/>
      <c r="D573" s="19"/>
      <c r="E573" s="19"/>
      <c r="F573" s="19"/>
    </row>
    <row r="574" spans="1:6" ht="15.75" customHeight="1" x14ac:dyDescent="0.25">
      <c r="A574" s="19"/>
      <c r="B574" s="19"/>
      <c r="C574" s="19"/>
      <c r="D574" s="19"/>
      <c r="E574" s="19"/>
      <c r="F574" s="19"/>
    </row>
    <row r="575" spans="1:6" ht="15.75" customHeight="1" x14ac:dyDescent="0.25">
      <c r="A575" s="19"/>
      <c r="B575" s="19"/>
      <c r="C575" s="19"/>
      <c r="D575" s="19"/>
      <c r="E575" s="19"/>
      <c r="F575" s="19"/>
    </row>
    <row r="576" spans="1:6" ht="15.75" customHeight="1" x14ac:dyDescent="0.25">
      <c r="A576" s="19"/>
      <c r="B576" s="19"/>
      <c r="C576" s="19"/>
      <c r="D576" s="19"/>
      <c r="E576" s="19"/>
      <c r="F576" s="19"/>
    </row>
    <row r="577" spans="1:6" ht="15.75" customHeight="1" x14ac:dyDescent="0.25">
      <c r="A577" s="19"/>
      <c r="B577" s="19"/>
      <c r="C577" s="19"/>
      <c r="D577" s="19"/>
      <c r="E577" s="19"/>
      <c r="F577" s="19"/>
    </row>
    <row r="578" spans="1:6" ht="15.75" customHeight="1" x14ac:dyDescent="0.25">
      <c r="A578" s="19"/>
      <c r="B578" s="19"/>
      <c r="C578" s="19"/>
      <c r="D578" s="19"/>
      <c r="E578" s="19"/>
      <c r="F578" s="19"/>
    </row>
    <row r="579" spans="1:6" ht="15.75" customHeight="1" x14ac:dyDescent="0.25">
      <c r="A579" s="19"/>
      <c r="B579" s="19"/>
      <c r="C579" s="19"/>
      <c r="D579" s="19"/>
      <c r="E579" s="19"/>
      <c r="F579" s="19"/>
    </row>
    <row r="580" spans="1:6" ht="15.75" customHeight="1" x14ac:dyDescent="0.25">
      <c r="A580" s="19"/>
      <c r="B580" s="19"/>
      <c r="C580" s="19"/>
      <c r="D580" s="19"/>
      <c r="E580" s="19"/>
      <c r="F580" s="19"/>
    </row>
    <row r="581" spans="1:6" ht="15.75" customHeight="1" x14ac:dyDescent="0.25">
      <c r="A581" s="19"/>
      <c r="B581" s="19"/>
      <c r="C581" s="19"/>
      <c r="D581" s="19"/>
      <c r="E581" s="19"/>
      <c r="F581" s="19"/>
    </row>
    <row r="582" spans="1:6" ht="15.75" customHeight="1" x14ac:dyDescent="0.25">
      <c r="A582" s="19"/>
      <c r="B582" s="19"/>
      <c r="C582" s="19"/>
      <c r="D582" s="19"/>
      <c r="E582" s="19"/>
      <c r="F582" s="19"/>
    </row>
    <row r="583" spans="1:6" ht="15.75" customHeight="1" x14ac:dyDescent="0.25">
      <c r="A583" s="19"/>
      <c r="B583" s="19"/>
      <c r="C583" s="19"/>
      <c r="D583" s="19"/>
      <c r="E583" s="19"/>
      <c r="F583" s="19"/>
    </row>
    <row r="584" spans="1:6" ht="15.75" customHeight="1" x14ac:dyDescent="0.25">
      <c r="A584" s="19"/>
      <c r="B584" s="19"/>
      <c r="C584" s="19"/>
      <c r="D584" s="19"/>
      <c r="E584" s="19"/>
      <c r="F584" s="19"/>
    </row>
    <row r="585" spans="1:6" ht="15.75" customHeight="1" x14ac:dyDescent="0.25">
      <c r="A585" s="19"/>
      <c r="B585" s="19"/>
      <c r="C585" s="19"/>
      <c r="D585" s="19"/>
      <c r="E585" s="19"/>
      <c r="F585" s="19"/>
    </row>
    <row r="586" spans="1:6" ht="15.75" customHeight="1" x14ac:dyDescent="0.25">
      <c r="A586" s="19"/>
      <c r="B586" s="19"/>
      <c r="C586" s="19"/>
      <c r="D586" s="19"/>
      <c r="E586" s="19"/>
      <c r="F586" s="19"/>
    </row>
    <row r="587" spans="1:6" ht="15.75" customHeight="1" x14ac:dyDescent="0.25">
      <c r="A587" s="19"/>
      <c r="B587" s="19"/>
      <c r="C587" s="19"/>
      <c r="D587" s="19"/>
      <c r="E587" s="19"/>
      <c r="F587" s="19"/>
    </row>
    <row r="588" spans="1:6" ht="15.75" customHeight="1" x14ac:dyDescent="0.25">
      <c r="A588" s="19"/>
      <c r="B588" s="19"/>
      <c r="C588" s="19"/>
      <c r="D588" s="19"/>
      <c r="E588" s="19"/>
      <c r="F588" s="19"/>
    </row>
    <row r="589" spans="1:6" ht="15.75" customHeight="1" x14ac:dyDescent="0.25">
      <c r="A589" s="19"/>
      <c r="B589" s="19"/>
      <c r="C589" s="19"/>
      <c r="D589" s="19"/>
      <c r="E589" s="19"/>
      <c r="F589" s="19"/>
    </row>
    <row r="590" spans="1:6" ht="15.75" customHeight="1" x14ac:dyDescent="0.25">
      <c r="A590" s="19"/>
      <c r="B590" s="19"/>
      <c r="C590" s="19"/>
      <c r="D590" s="19"/>
      <c r="E590" s="19"/>
      <c r="F590" s="19"/>
    </row>
    <row r="591" spans="1:6" ht="15.75" customHeight="1" x14ac:dyDescent="0.25">
      <c r="A591" s="19"/>
      <c r="B591" s="19"/>
      <c r="C591" s="19"/>
      <c r="D591" s="19"/>
      <c r="E591" s="19"/>
      <c r="F591" s="19"/>
    </row>
    <row r="592" spans="1:6" ht="15.75" customHeight="1" x14ac:dyDescent="0.25">
      <c r="A592" s="19"/>
      <c r="B592" s="19"/>
      <c r="C592" s="19"/>
      <c r="D592" s="19"/>
      <c r="E592" s="19"/>
      <c r="F592" s="19"/>
    </row>
    <row r="593" spans="1:6" ht="15.75" customHeight="1" x14ac:dyDescent="0.25">
      <c r="A593" s="19"/>
      <c r="B593" s="19"/>
      <c r="C593" s="19"/>
      <c r="D593" s="19"/>
      <c r="E593" s="19"/>
      <c r="F593" s="19"/>
    </row>
    <row r="594" spans="1:6" ht="15.75" customHeight="1" x14ac:dyDescent="0.25">
      <c r="A594" s="19"/>
      <c r="B594" s="19"/>
      <c r="C594" s="19"/>
      <c r="D594" s="19"/>
      <c r="E594" s="19"/>
      <c r="F594" s="19"/>
    </row>
    <row r="595" spans="1:6" ht="15.75" customHeight="1" x14ac:dyDescent="0.25">
      <c r="A595" s="19"/>
      <c r="B595" s="19"/>
      <c r="C595" s="19"/>
      <c r="D595" s="19"/>
      <c r="E595" s="19"/>
      <c r="F595" s="19"/>
    </row>
    <row r="596" spans="1:6" ht="15.75" customHeight="1" x14ac:dyDescent="0.25">
      <c r="A596" s="19"/>
      <c r="B596" s="19"/>
      <c r="C596" s="19"/>
      <c r="D596" s="19"/>
      <c r="E596" s="19"/>
      <c r="F596" s="19"/>
    </row>
    <row r="597" spans="1:6" ht="15.75" customHeight="1" x14ac:dyDescent="0.25">
      <c r="A597" s="19"/>
      <c r="B597" s="19"/>
      <c r="C597" s="19"/>
      <c r="D597" s="19"/>
      <c r="E597" s="19"/>
      <c r="F597" s="19"/>
    </row>
    <row r="598" spans="1:6" ht="15.75" customHeight="1" x14ac:dyDescent="0.25">
      <c r="A598" s="19"/>
      <c r="B598" s="19"/>
      <c r="C598" s="19"/>
      <c r="D598" s="19"/>
      <c r="E598" s="19"/>
      <c r="F598" s="19"/>
    </row>
    <row r="599" spans="1:6" ht="15.75" customHeight="1" x14ac:dyDescent="0.25">
      <c r="A599" s="19"/>
      <c r="B599" s="19"/>
      <c r="C599" s="19"/>
      <c r="D599" s="19"/>
      <c r="E599" s="19"/>
      <c r="F599" s="19"/>
    </row>
    <row r="600" spans="1:6" ht="15.75" customHeight="1" x14ac:dyDescent="0.25">
      <c r="A600" s="19"/>
      <c r="B600" s="19"/>
      <c r="C600" s="19"/>
      <c r="D600" s="19"/>
      <c r="E600" s="19"/>
      <c r="F600" s="19"/>
    </row>
    <row r="601" spans="1:6" ht="15.75" customHeight="1" x14ac:dyDescent="0.25">
      <c r="A601" s="19"/>
      <c r="B601" s="19"/>
      <c r="C601" s="19"/>
      <c r="D601" s="19"/>
      <c r="E601" s="19"/>
      <c r="F601" s="19"/>
    </row>
    <row r="602" spans="1:6" ht="15.75" customHeight="1" x14ac:dyDescent="0.25">
      <c r="A602" s="19"/>
      <c r="B602" s="19"/>
      <c r="C602" s="19"/>
      <c r="D602" s="19"/>
      <c r="E602" s="19"/>
      <c r="F602" s="19"/>
    </row>
    <row r="603" spans="1:6" ht="15.75" customHeight="1" x14ac:dyDescent="0.25">
      <c r="A603" s="19"/>
      <c r="B603" s="19"/>
      <c r="C603" s="19"/>
      <c r="D603" s="19"/>
      <c r="E603" s="19"/>
      <c r="F603" s="19"/>
    </row>
    <row r="604" spans="1:6" ht="15.75" customHeight="1" x14ac:dyDescent="0.25">
      <c r="A604" s="19"/>
      <c r="B604" s="19"/>
      <c r="C604" s="19"/>
      <c r="D604" s="19"/>
      <c r="E604" s="19"/>
      <c r="F604" s="19"/>
    </row>
    <row r="605" spans="1:6" ht="15.75" customHeight="1" x14ac:dyDescent="0.25">
      <c r="A605" s="19"/>
      <c r="B605" s="19"/>
      <c r="C605" s="19"/>
      <c r="D605" s="19"/>
      <c r="E605" s="19"/>
      <c r="F605" s="19"/>
    </row>
    <row r="606" spans="1:6" ht="15.75" customHeight="1" x14ac:dyDescent="0.25">
      <c r="A606" s="19"/>
      <c r="B606" s="19"/>
      <c r="C606" s="19"/>
      <c r="D606" s="19"/>
      <c r="E606" s="19"/>
      <c r="F606" s="19"/>
    </row>
    <row r="607" spans="1:6" ht="15.75" customHeight="1" x14ac:dyDescent="0.25">
      <c r="A607" s="19"/>
      <c r="B607" s="19"/>
      <c r="C607" s="19"/>
      <c r="D607" s="19"/>
      <c r="E607" s="19"/>
      <c r="F607" s="19"/>
    </row>
    <row r="608" spans="1:6" ht="15.75" customHeight="1" x14ac:dyDescent="0.25">
      <c r="A608" s="19"/>
      <c r="B608" s="19"/>
      <c r="C608" s="19"/>
      <c r="D608" s="19"/>
      <c r="E608" s="19"/>
      <c r="F608" s="19"/>
    </row>
    <row r="609" spans="1:6" ht="15.75" customHeight="1" x14ac:dyDescent="0.25">
      <c r="A609" s="19"/>
      <c r="B609" s="19"/>
      <c r="C609" s="19"/>
      <c r="D609" s="19"/>
      <c r="E609" s="19"/>
      <c r="F609" s="19"/>
    </row>
    <row r="610" spans="1:6" ht="15.75" customHeight="1" x14ac:dyDescent="0.25">
      <c r="A610" s="19"/>
      <c r="B610" s="19"/>
      <c r="C610" s="19"/>
      <c r="D610" s="19"/>
      <c r="E610" s="19"/>
      <c r="F610" s="19"/>
    </row>
    <row r="611" spans="1:6" ht="15.75" customHeight="1" x14ac:dyDescent="0.25">
      <c r="A611" s="19"/>
      <c r="B611" s="19"/>
      <c r="C611" s="19"/>
      <c r="D611" s="19"/>
      <c r="E611" s="19"/>
      <c r="F611" s="19"/>
    </row>
    <row r="612" spans="1:6" ht="15.75" customHeight="1" x14ac:dyDescent="0.25">
      <c r="A612" s="19"/>
      <c r="B612" s="19"/>
      <c r="C612" s="19"/>
      <c r="D612" s="19"/>
      <c r="E612" s="19"/>
      <c r="F612" s="19"/>
    </row>
    <row r="613" spans="1:6" ht="15.75" customHeight="1" x14ac:dyDescent="0.25">
      <c r="A613" s="19"/>
      <c r="B613" s="19"/>
      <c r="C613" s="19"/>
      <c r="D613" s="19"/>
      <c r="E613" s="19"/>
      <c r="F613" s="19"/>
    </row>
    <row r="614" spans="1:6" ht="15.75" customHeight="1" x14ac:dyDescent="0.25">
      <c r="A614" s="19"/>
      <c r="B614" s="19"/>
      <c r="C614" s="19"/>
      <c r="D614" s="19"/>
      <c r="E614" s="19"/>
      <c r="F614" s="19"/>
    </row>
    <row r="615" spans="1:6" ht="15.75" customHeight="1" x14ac:dyDescent="0.25">
      <c r="A615" s="19"/>
      <c r="B615" s="19"/>
      <c r="C615" s="19"/>
      <c r="D615" s="19"/>
      <c r="E615" s="19"/>
      <c r="F615" s="19"/>
    </row>
    <row r="616" spans="1:6" ht="15.75" customHeight="1" x14ac:dyDescent="0.25">
      <c r="A616" s="19"/>
      <c r="B616" s="19"/>
      <c r="C616" s="19"/>
      <c r="D616" s="19"/>
      <c r="E616" s="19"/>
      <c r="F616" s="19"/>
    </row>
    <row r="617" spans="1:6" ht="15.75" customHeight="1" x14ac:dyDescent="0.25">
      <c r="A617" s="19"/>
      <c r="B617" s="19"/>
      <c r="C617" s="19"/>
      <c r="D617" s="19"/>
      <c r="E617" s="19"/>
      <c r="F617" s="19"/>
    </row>
    <row r="618" spans="1:6" ht="15.75" customHeight="1" x14ac:dyDescent="0.25">
      <c r="A618" s="19"/>
      <c r="B618" s="19"/>
      <c r="C618" s="19"/>
      <c r="D618" s="19"/>
      <c r="E618" s="19"/>
      <c r="F618" s="19"/>
    </row>
    <row r="619" spans="1:6" ht="15.75" customHeight="1" x14ac:dyDescent="0.25">
      <c r="A619" s="19"/>
      <c r="B619" s="19"/>
      <c r="C619" s="19"/>
      <c r="D619" s="19"/>
      <c r="E619" s="19"/>
      <c r="F619" s="19"/>
    </row>
    <row r="620" spans="1:6" ht="15.75" customHeight="1" x14ac:dyDescent="0.25">
      <c r="A620" s="19"/>
      <c r="B620" s="19"/>
      <c r="C620" s="19"/>
      <c r="D620" s="19"/>
      <c r="E620" s="19"/>
      <c r="F620" s="19"/>
    </row>
    <row r="621" spans="1:6" ht="15.75" customHeight="1" x14ac:dyDescent="0.25">
      <c r="A621" s="19"/>
      <c r="B621" s="19"/>
      <c r="C621" s="19"/>
      <c r="D621" s="19"/>
      <c r="E621" s="19"/>
      <c r="F621" s="19"/>
    </row>
    <row r="622" spans="1:6" ht="15.75" customHeight="1" x14ac:dyDescent="0.25">
      <c r="A622" s="19"/>
      <c r="B622" s="19"/>
      <c r="C622" s="19"/>
      <c r="D622" s="19"/>
      <c r="E622" s="19"/>
      <c r="F622" s="19"/>
    </row>
    <row r="623" spans="1:6" ht="15.75" customHeight="1" x14ac:dyDescent="0.25">
      <c r="A623" s="19"/>
      <c r="B623" s="19"/>
      <c r="C623" s="19"/>
      <c r="D623" s="19"/>
      <c r="E623" s="19"/>
      <c r="F623" s="19"/>
    </row>
    <row r="624" spans="1:6" ht="15.75" customHeight="1" x14ac:dyDescent="0.25">
      <c r="A624" s="19"/>
      <c r="B624" s="19"/>
      <c r="C624" s="19"/>
      <c r="D624" s="19"/>
      <c r="E624" s="19"/>
      <c r="F624" s="19"/>
    </row>
    <row r="625" spans="1:6" ht="15.75" customHeight="1" x14ac:dyDescent="0.25">
      <c r="A625" s="19"/>
      <c r="B625" s="19"/>
      <c r="C625" s="19"/>
      <c r="D625" s="19"/>
      <c r="E625" s="19"/>
      <c r="F625" s="19"/>
    </row>
    <row r="626" spans="1:6" ht="15.75" customHeight="1" x14ac:dyDescent="0.25">
      <c r="A626" s="19"/>
      <c r="B626" s="19"/>
      <c r="C626" s="19"/>
      <c r="D626" s="19"/>
      <c r="E626" s="19"/>
      <c r="F626" s="19"/>
    </row>
    <row r="627" spans="1:6" ht="15.75" customHeight="1" x14ac:dyDescent="0.25">
      <c r="A627" s="19"/>
      <c r="B627" s="19"/>
      <c r="C627" s="19"/>
      <c r="D627" s="19"/>
      <c r="E627" s="19"/>
      <c r="F627" s="19"/>
    </row>
    <row r="628" spans="1:6" ht="15.75" customHeight="1" x14ac:dyDescent="0.25">
      <c r="A628" s="19"/>
      <c r="B628" s="19"/>
      <c r="C628" s="19"/>
      <c r="D628" s="19"/>
      <c r="E628" s="19"/>
      <c r="F628" s="19"/>
    </row>
    <row r="629" spans="1:6" ht="15.75" customHeight="1" x14ac:dyDescent="0.25">
      <c r="A629" s="19"/>
      <c r="B629" s="19"/>
      <c r="C629" s="19"/>
      <c r="D629" s="19"/>
      <c r="E629" s="19"/>
      <c r="F629" s="19"/>
    </row>
    <row r="630" spans="1:6" ht="15.75" customHeight="1" x14ac:dyDescent="0.25">
      <c r="A630" s="19"/>
      <c r="B630" s="19"/>
      <c r="C630" s="19"/>
      <c r="D630" s="19"/>
      <c r="E630" s="19"/>
      <c r="F630" s="19"/>
    </row>
    <row r="631" spans="1:6" ht="15.75" customHeight="1" x14ac:dyDescent="0.25">
      <c r="A631" s="19"/>
      <c r="B631" s="19"/>
      <c r="C631" s="19"/>
      <c r="D631" s="19"/>
      <c r="E631" s="19"/>
      <c r="F631" s="19"/>
    </row>
    <row r="632" spans="1:6" ht="15.75" customHeight="1" x14ac:dyDescent="0.25">
      <c r="A632" s="19"/>
      <c r="B632" s="19"/>
      <c r="C632" s="19"/>
      <c r="D632" s="19"/>
      <c r="E632" s="19"/>
      <c r="F632" s="19"/>
    </row>
    <row r="633" spans="1:6" ht="15.75" customHeight="1" x14ac:dyDescent="0.25">
      <c r="A633" s="19"/>
      <c r="B633" s="19"/>
      <c r="C633" s="19"/>
      <c r="D633" s="19"/>
      <c r="E633" s="19"/>
      <c r="F633" s="19"/>
    </row>
    <row r="634" spans="1:6" ht="15.75" customHeight="1" x14ac:dyDescent="0.25">
      <c r="A634" s="19"/>
      <c r="B634" s="19"/>
      <c r="C634" s="19"/>
      <c r="D634" s="19"/>
      <c r="E634" s="19"/>
      <c r="F634" s="19"/>
    </row>
    <row r="635" spans="1:6" ht="15.75" customHeight="1" x14ac:dyDescent="0.25">
      <c r="A635" s="19"/>
      <c r="B635" s="19"/>
      <c r="C635" s="19"/>
      <c r="D635" s="19"/>
      <c r="E635" s="19"/>
      <c r="F635" s="19"/>
    </row>
    <row r="636" spans="1:6" ht="15.75" customHeight="1" x14ac:dyDescent="0.25">
      <c r="A636" s="19"/>
      <c r="B636" s="19"/>
      <c r="C636" s="19"/>
      <c r="D636" s="19"/>
      <c r="E636" s="19"/>
      <c r="F636" s="19"/>
    </row>
    <row r="637" spans="1:6" ht="15.75" customHeight="1" x14ac:dyDescent="0.25">
      <c r="A637" s="19"/>
      <c r="B637" s="19"/>
      <c r="C637" s="19"/>
      <c r="D637" s="19"/>
      <c r="E637" s="19"/>
      <c r="F637" s="19"/>
    </row>
    <row r="638" spans="1:6" ht="15.75" customHeight="1" x14ac:dyDescent="0.25">
      <c r="A638" s="19"/>
      <c r="B638" s="19"/>
      <c r="C638" s="19"/>
      <c r="D638" s="19"/>
      <c r="E638" s="19"/>
      <c r="F638" s="19"/>
    </row>
    <row r="639" spans="1:6" ht="15.75" customHeight="1" x14ac:dyDescent="0.25">
      <c r="A639" s="19"/>
      <c r="B639" s="19"/>
      <c r="C639" s="19"/>
      <c r="D639" s="19"/>
      <c r="E639" s="19"/>
      <c r="F639" s="19"/>
    </row>
    <row r="640" spans="1:6" ht="15.75" customHeight="1" x14ac:dyDescent="0.25">
      <c r="A640" s="19"/>
      <c r="B640" s="19"/>
      <c r="C640" s="19"/>
      <c r="D640" s="19"/>
      <c r="E640" s="19"/>
      <c r="F640" s="19"/>
    </row>
    <row r="641" spans="1:6" ht="15.75" customHeight="1" x14ac:dyDescent="0.25">
      <c r="A641" s="19"/>
      <c r="B641" s="19"/>
      <c r="C641" s="19"/>
      <c r="D641" s="19"/>
      <c r="E641" s="19"/>
      <c r="F641" s="19"/>
    </row>
    <row r="642" spans="1:6" ht="15.75" customHeight="1" x14ac:dyDescent="0.25">
      <c r="A642" s="19"/>
      <c r="B642" s="19"/>
      <c r="C642" s="19"/>
      <c r="D642" s="19"/>
      <c r="E642" s="19"/>
      <c r="F642" s="19"/>
    </row>
    <row r="643" spans="1:6" ht="15.75" customHeight="1" x14ac:dyDescent="0.25">
      <c r="A643" s="19"/>
      <c r="B643" s="19"/>
      <c r="C643" s="19"/>
      <c r="D643" s="19"/>
      <c r="E643" s="19"/>
      <c r="F643" s="19"/>
    </row>
    <row r="644" spans="1:6" ht="15.75" customHeight="1" x14ac:dyDescent="0.25">
      <c r="A644" s="19"/>
      <c r="B644" s="19"/>
      <c r="C644" s="19"/>
      <c r="D644" s="19"/>
      <c r="E644" s="19"/>
      <c r="F644" s="19"/>
    </row>
    <row r="645" spans="1:6" ht="15.75" customHeight="1" x14ac:dyDescent="0.25">
      <c r="A645" s="19"/>
      <c r="B645" s="19"/>
      <c r="C645" s="19"/>
      <c r="D645" s="19"/>
      <c r="E645" s="19"/>
      <c r="F645" s="19"/>
    </row>
    <row r="646" spans="1:6" ht="15.75" customHeight="1" x14ac:dyDescent="0.25">
      <c r="A646" s="19"/>
      <c r="B646" s="19"/>
      <c r="C646" s="19"/>
      <c r="D646" s="19"/>
      <c r="E646" s="19"/>
      <c r="F646" s="19"/>
    </row>
    <row r="647" spans="1:6" ht="15.75" customHeight="1" x14ac:dyDescent="0.25">
      <c r="A647" s="19"/>
      <c r="B647" s="19"/>
      <c r="C647" s="19"/>
      <c r="D647" s="19"/>
      <c r="E647" s="19"/>
      <c r="F647" s="19"/>
    </row>
    <row r="648" spans="1:6" ht="15.75" customHeight="1" x14ac:dyDescent="0.25">
      <c r="A648" s="19"/>
      <c r="B648" s="19"/>
      <c r="C648" s="19"/>
      <c r="D648" s="19"/>
      <c r="E648" s="19"/>
      <c r="F648" s="19"/>
    </row>
    <row r="649" spans="1:6" ht="15.75" customHeight="1" x14ac:dyDescent="0.25">
      <c r="A649" s="19"/>
      <c r="B649" s="19"/>
      <c r="C649" s="19"/>
      <c r="D649" s="19"/>
      <c r="E649" s="19"/>
      <c r="F649" s="19"/>
    </row>
    <row r="650" spans="1:6" ht="15.75" customHeight="1" x14ac:dyDescent="0.25">
      <c r="A650" s="19"/>
      <c r="B650" s="19"/>
      <c r="C650" s="19"/>
      <c r="D650" s="19"/>
      <c r="E650" s="19"/>
      <c r="F650" s="19"/>
    </row>
    <row r="651" spans="1:6" ht="15.75" customHeight="1" x14ac:dyDescent="0.25">
      <c r="A651" s="19"/>
      <c r="B651" s="19"/>
      <c r="C651" s="19"/>
      <c r="D651" s="19"/>
      <c r="E651" s="19"/>
      <c r="F651" s="19"/>
    </row>
    <row r="652" spans="1:6" ht="15.75" customHeight="1" x14ac:dyDescent="0.25">
      <c r="A652" s="19"/>
      <c r="B652" s="19"/>
      <c r="C652" s="19"/>
      <c r="D652" s="19"/>
      <c r="E652" s="19"/>
      <c r="F652" s="19"/>
    </row>
    <row r="653" spans="1:6" ht="15.75" customHeight="1" x14ac:dyDescent="0.25">
      <c r="A653" s="19"/>
      <c r="B653" s="19"/>
      <c r="C653" s="19"/>
      <c r="D653" s="19"/>
      <c r="E653" s="19"/>
      <c r="F653" s="19"/>
    </row>
    <row r="654" spans="1:6" ht="15.75" customHeight="1" x14ac:dyDescent="0.25">
      <c r="A654" s="19"/>
      <c r="B654" s="19"/>
      <c r="C654" s="19"/>
      <c r="D654" s="19"/>
      <c r="E654" s="19"/>
      <c r="F654" s="19"/>
    </row>
    <row r="655" spans="1:6" ht="15.75" customHeight="1" x14ac:dyDescent="0.25">
      <c r="A655" s="19"/>
      <c r="B655" s="19"/>
      <c r="C655" s="19"/>
      <c r="D655" s="19"/>
      <c r="E655" s="19"/>
      <c r="F655" s="19"/>
    </row>
    <row r="656" spans="1:6" ht="15.75" customHeight="1" x14ac:dyDescent="0.25">
      <c r="A656" s="19"/>
      <c r="B656" s="19"/>
      <c r="C656" s="19"/>
      <c r="D656" s="19"/>
      <c r="E656" s="19"/>
      <c r="F656" s="19"/>
    </row>
    <row r="657" spans="1:6" ht="15.75" customHeight="1" x14ac:dyDescent="0.25">
      <c r="A657" s="19"/>
      <c r="B657" s="19"/>
      <c r="C657" s="19"/>
      <c r="D657" s="19"/>
      <c r="E657" s="19"/>
      <c r="F657" s="19"/>
    </row>
    <row r="658" spans="1:6" ht="15.75" customHeight="1" x14ac:dyDescent="0.25">
      <c r="A658" s="19"/>
      <c r="B658" s="19"/>
      <c r="C658" s="19"/>
      <c r="D658" s="19"/>
      <c r="E658" s="19"/>
      <c r="F658" s="19"/>
    </row>
    <row r="659" spans="1:6" ht="15.75" customHeight="1" x14ac:dyDescent="0.25">
      <c r="A659" s="19"/>
      <c r="B659" s="19"/>
      <c r="C659" s="19"/>
      <c r="D659" s="19"/>
      <c r="E659" s="19"/>
      <c r="F659" s="19"/>
    </row>
    <row r="660" spans="1:6" ht="15.75" customHeight="1" x14ac:dyDescent="0.25">
      <c r="A660" s="19"/>
      <c r="B660" s="19"/>
      <c r="C660" s="19"/>
      <c r="D660" s="19"/>
      <c r="E660" s="19"/>
      <c r="F660" s="19"/>
    </row>
    <row r="661" spans="1:6" ht="15.75" customHeight="1" x14ac:dyDescent="0.25">
      <c r="A661" s="19"/>
      <c r="B661" s="19"/>
      <c r="C661" s="19"/>
      <c r="D661" s="19"/>
      <c r="E661" s="19"/>
      <c r="F661" s="19"/>
    </row>
    <row r="662" spans="1:6" ht="15.75" customHeight="1" x14ac:dyDescent="0.25">
      <c r="A662" s="19"/>
      <c r="B662" s="19"/>
      <c r="C662" s="19"/>
      <c r="D662" s="19"/>
      <c r="E662" s="19"/>
      <c r="F662" s="19"/>
    </row>
    <row r="663" spans="1:6" ht="15.75" customHeight="1" x14ac:dyDescent="0.25">
      <c r="A663" s="19"/>
      <c r="B663" s="19"/>
      <c r="C663" s="19"/>
      <c r="D663" s="19"/>
      <c r="E663" s="19"/>
      <c r="F663" s="19"/>
    </row>
    <row r="664" spans="1:6" ht="15.75" customHeight="1" x14ac:dyDescent="0.25">
      <c r="A664" s="19"/>
      <c r="B664" s="19"/>
      <c r="C664" s="19"/>
      <c r="D664" s="19"/>
      <c r="E664" s="19"/>
      <c r="F664" s="19"/>
    </row>
    <row r="665" spans="1:6" ht="15.75" customHeight="1" x14ac:dyDescent="0.25">
      <c r="A665" s="19"/>
      <c r="B665" s="19"/>
      <c r="C665" s="19"/>
      <c r="D665" s="19"/>
      <c r="E665" s="19"/>
      <c r="F665" s="19"/>
    </row>
    <row r="666" spans="1:6" ht="15.75" customHeight="1" x14ac:dyDescent="0.25">
      <c r="A666" s="19"/>
      <c r="B666" s="19"/>
      <c r="C666" s="19"/>
      <c r="D666" s="19"/>
      <c r="E666" s="19"/>
      <c r="F666" s="19"/>
    </row>
    <row r="667" spans="1:6" ht="15.75" customHeight="1" x14ac:dyDescent="0.25">
      <c r="A667" s="19"/>
      <c r="B667" s="19"/>
      <c r="C667" s="19"/>
      <c r="D667" s="19"/>
      <c r="E667" s="19"/>
      <c r="F667" s="19"/>
    </row>
    <row r="668" spans="1:6" ht="15.75" customHeight="1" x14ac:dyDescent="0.25">
      <c r="A668" s="19"/>
      <c r="B668" s="19"/>
      <c r="C668" s="19"/>
      <c r="D668" s="19"/>
      <c r="E668" s="19"/>
      <c r="F668" s="19"/>
    </row>
    <row r="669" spans="1:6" ht="15.75" customHeight="1" x14ac:dyDescent="0.25">
      <c r="A669" s="19"/>
      <c r="B669" s="19"/>
      <c r="C669" s="19"/>
      <c r="D669" s="19"/>
      <c r="E669" s="19"/>
      <c r="F669" s="19"/>
    </row>
    <row r="670" spans="1:6" ht="15.75" customHeight="1" x14ac:dyDescent="0.25">
      <c r="A670" s="19"/>
      <c r="B670" s="19"/>
      <c r="C670" s="19"/>
      <c r="D670" s="19"/>
      <c r="E670" s="19"/>
      <c r="F670" s="19"/>
    </row>
    <row r="671" spans="1:6" ht="15.75" customHeight="1" x14ac:dyDescent="0.25">
      <c r="A671" s="19"/>
      <c r="B671" s="19"/>
      <c r="C671" s="19"/>
      <c r="D671" s="19"/>
      <c r="E671" s="19"/>
      <c r="F671" s="19"/>
    </row>
    <row r="672" spans="1:6" ht="15.75" customHeight="1" x14ac:dyDescent="0.25">
      <c r="A672" s="19"/>
      <c r="B672" s="19"/>
      <c r="C672" s="19"/>
      <c r="D672" s="19"/>
      <c r="E672" s="19"/>
      <c r="F672" s="19"/>
    </row>
    <row r="673" spans="1:6" ht="15.75" customHeight="1" x14ac:dyDescent="0.25">
      <c r="A673" s="19"/>
      <c r="B673" s="19"/>
      <c r="C673" s="19"/>
      <c r="D673" s="19"/>
      <c r="E673" s="19"/>
      <c r="F673" s="19"/>
    </row>
    <row r="674" spans="1:6" ht="15.75" customHeight="1" x14ac:dyDescent="0.25">
      <c r="A674" s="19"/>
      <c r="B674" s="19"/>
      <c r="C674" s="19"/>
      <c r="D674" s="19"/>
      <c r="E674" s="19"/>
      <c r="F674" s="19"/>
    </row>
    <row r="675" spans="1:6" ht="15.75" customHeight="1" x14ac:dyDescent="0.25">
      <c r="A675" s="19"/>
      <c r="B675" s="19"/>
      <c r="C675" s="19"/>
      <c r="D675" s="19"/>
      <c r="E675" s="19"/>
      <c r="F675" s="19"/>
    </row>
    <row r="676" spans="1:6" ht="15.75" customHeight="1" x14ac:dyDescent="0.25">
      <c r="A676" s="19"/>
      <c r="B676" s="19"/>
      <c r="C676" s="19"/>
      <c r="D676" s="19"/>
      <c r="E676" s="19"/>
      <c r="F676" s="19"/>
    </row>
    <row r="677" spans="1:6" ht="15.75" customHeight="1" x14ac:dyDescent="0.25">
      <c r="A677" s="19"/>
      <c r="B677" s="19"/>
      <c r="C677" s="19"/>
      <c r="D677" s="19"/>
      <c r="E677" s="19"/>
      <c r="F677" s="19"/>
    </row>
    <row r="678" spans="1:6" ht="15.75" customHeight="1" x14ac:dyDescent="0.25">
      <c r="A678" s="19"/>
      <c r="B678" s="19"/>
      <c r="C678" s="19"/>
      <c r="D678" s="19"/>
      <c r="E678" s="19"/>
      <c r="F678" s="19"/>
    </row>
    <row r="679" spans="1:6" ht="15.75" customHeight="1" x14ac:dyDescent="0.25">
      <c r="A679" s="19"/>
      <c r="B679" s="19"/>
      <c r="C679" s="19"/>
      <c r="D679" s="19"/>
      <c r="E679" s="19"/>
      <c r="F679" s="19"/>
    </row>
    <row r="680" spans="1:6" ht="15.75" customHeight="1" x14ac:dyDescent="0.25">
      <c r="A680" s="19"/>
      <c r="B680" s="19"/>
      <c r="C680" s="19"/>
      <c r="D680" s="19"/>
      <c r="E680" s="19"/>
      <c r="F680" s="19"/>
    </row>
    <row r="681" spans="1:6" ht="15.75" customHeight="1" x14ac:dyDescent="0.25">
      <c r="A681" s="19"/>
      <c r="B681" s="19"/>
      <c r="C681" s="19"/>
      <c r="D681" s="19"/>
      <c r="E681" s="19"/>
      <c r="F681" s="19"/>
    </row>
    <row r="682" spans="1:6" ht="15.75" customHeight="1" x14ac:dyDescent="0.25">
      <c r="A682" s="19"/>
      <c r="B682" s="19"/>
      <c r="C682" s="19"/>
      <c r="D682" s="19"/>
      <c r="E682" s="19"/>
      <c r="F682" s="19"/>
    </row>
    <row r="683" spans="1:6" ht="15.75" customHeight="1" x14ac:dyDescent="0.25">
      <c r="A683" s="19"/>
      <c r="B683" s="19"/>
      <c r="C683" s="19"/>
      <c r="D683" s="19"/>
      <c r="E683" s="19"/>
      <c r="F683" s="19"/>
    </row>
    <row r="684" spans="1:6" ht="15.75" customHeight="1" x14ac:dyDescent="0.25">
      <c r="A684" s="19"/>
      <c r="B684" s="19"/>
      <c r="C684" s="19"/>
      <c r="D684" s="19"/>
      <c r="E684" s="19"/>
      <c r="F684" s="19"/>
    </row>
    <row r="685" spans="1:6" ht="15.75" customHeight="1" x14ac:dyDescent="0.25">
      <c r="A685" s="19"/>
      <c r="B685" s="19"/>
      <c r="C685" s="19"/>
      <c r="D685" s="19"/>
      <c r="E685" s="19"/>
      <c r="F685" s="19"/>
    </row>
    <row r="686" spans="1:6" ht="15.75" customHeight="1" x14ac:dyDescent="0.25">
      <c r="A686" s="19"/>
      <c r="B686" s="19"/>
      <c r="C686" s="19"/>
      <c r="D686" s="19"/>
      <c r="E686" s="19"/>
      <c r="F686" s="19"/>
    </row>
    <row r="687" spans="1:6" ht="15.75" customHeight="1" x14ac:dyDescent="0.25">
      <c r="A687" s="19"/>
      <c r="B687" s="19"/>
      <c r="C687" s="19"/>
      <c r="D687" s="19"/>
      <c r="E687" s="19"/>
      <c r="F687" s="19"/>
    </row>
    <row r="688" spans="1:6" ht="15.75" customHeight="1" x14ac:dyDescent="0.25">
      <c r="A688" s="19"/>
      <c r="B688" s="19"/>
      <c r="C688" s="19"/>
      <c r="D688" s="19"/>
      <c r="E688" s="19"/>
      <c r="F688" s="19"/>
    </row>
    <row r="689" spans="1:6" ht="15.75" customHeight="1" x14ac:dyDescent="0.25">
      <c r="A689" s="19"/>
      <c r="B689" s="19"/>
      <c r="C689" s="19"/>
      <c r="D689" s="19"/>
      <c r="E689" s="19"/>
      <c r="F689" s="19"/>
    </row>
    <row r="690" spans="1:6" ht="15.75" customHeight="1" x14ac:dyDescent="0.25">
      <c r="A690" s="19"/>
      <c r="B690" s="19"/>
      <c r="C690" s="19"/>
      <c r="D690" s="19"/>
      <c r="E690" s="19"/>
      <c r="F690" s="19"/>
    </row>
    <row r="691" spans="1:6" ht="15.75" customHeight="1" x14ac:dyDescent="0.25">
      <c r="A691" s="19"/>
      <c r="B691" s="19"/>
      <c r="C691" s="19"/>
      <c r="D691" s="19"/>
      <c r="E691" s="19"/>
      <c r="F691" s="19"/>
    </row>
    <row r="692" spans="1:6" ht="15.75" customHeight="1" x14ac:dyDescent="0.25">
      <c r="A692" s="19"/>
      <c r="B692" s="19"/>
      <c r="C692" s="19"/>
      <c r="D692" s="19"/>
      <c r="E692" s="19"/>
      <c r="F692" s="19"/>
    </row>
    <row r="693" spans="1:6" ht="15.75" customHeight="1" x14ac:dyDescent="0.25">
      <c r="A693" s="19"/>
      <c r="B693" s="19"/>
      <c r="C693" s="19"/>
      <c r="D693" s="19"/>
      <c r="E693" s="19"/>
      <c r="F693" s="19"/>
    </row>
    <row r="694" spans="1:6" ht="15.75" customHeight="1" x14ac:dyDescent="0.25">
      <c r="A694" s="19"/>
      <c r="B694" s="19"/>
      <c r="C694" s="19"/>
      <c r="D694" s="19"/>
      <c r="E694" s="19"/>
      <c r="F694" s="19"/>
    </row>
    <row r="695" spans="1:6" ht="15.75" customHeight="1" x14ac:dyDescent="0.25">
      <c r="A695" s="19"/>
      <c r="B695" s="19"/>
      <c r="C695" s="19"/>
      <c r="D695" s="19"/>
      <c r="E695" s="19"/>
      <c r="F695" s="19"/>
    </row>
    <row r="696" spans="1:6" ht="15.75" customHeight="1" x14ac:dyDescent="0.25">
      <c r="A696" s="19"/>
      <c r="B696" s="19"/>
      <c r="C696" s="19"/>
      <c r="D696" s="19"/>
      <c r="E696" s="19"/>
      <c r="F696" s="19"/>
    </row>
    <row r="697" spans="1:6" ht="15.75" customHeight="1" x14ac:dyDescent="0.25">
      <c r="A697" s="19"/>
      <c r="B697" s="19"/>
      <c r="C697" s="19"/>
      <c r="D697" s="19"/>
      <c r="E697" s="19"/>
      <c r="F697" s="19"/>
    </row>
    <row r="698" spans="1:6" ht="15.75" customHeight="1" x14ac:dyDescent="0.25">
      <c r="A698" s="19"/>
      <c r="B698" s="19"/>
      <c r="C698" s="19"/>
      <c r="D698" s="19"/>
      <c r="E698" s="19"/>
      <c r="F698" s="19"/>
    </row>
    <row r="699" spans="1:6" ht="15.75" customHeight="1" x14ac:dyDescent="0.25">
      <c r="A699" s="19"/>
      <c r="B699" s="19"/>
      <c r="C699" s="19"/>
      <c r="D699" s="19"/>
      <c r="E699" s="19"/>
      <c r="F699" s="19"/>
    </row>
    <row r="700" spans="1:6" ht="15.75" customHeight="1" x14ac:dyDescent="0.25">
      <c r="A700" s="19"/>
      <c r="B700" s="19"/>
      <c r="C700" s="19"/>
      <c r="D700" s="19"/>
      <c r="E700" s="19"/>
      <c r="F700" s="19"/>
    </row>
    <row r="701" spans="1:6" ht="15.75" customHeight="1" x14ac:dyDescent="0.25">
      <c r="A701" s="19"/>
      <c r="B701" s="19"/>
      <c r="C701" s="19"/>
      <c r="D701" s="19"/>
      <c r="E701" s="19"/>
      <c r="F701" s="19"/>
    </row>
    <row r="702" spans="1:6" ht="15.75" customHeight="1" x14ac:dyDescent="0.25">
      <c r="A702" s="19"/>
      <c r="B702" s="19"/>
      <c r="C702" s="19"/>
      <c r="D702" s="19"/>
      <c r="E702" s="19"/>
      <c r="F702" s="19"/>
    </row>
    <row r="703" spans="1:6" ht="15.75" customHeight="1" x14ac:dyDescent="0.25">
      <c r="A703" s="19"/>
      <c r="B703" s="19"/>
      <c r="C703" s="19"/>
      <c r="D703" s="19"/>
      <c r="E703" s="19"/>
      <c r="F703" s="19"/>
    </row>
    <row r="704" spans="1:6" ht="15.75" customHeight="1" x14ac:dyDescent="0.25">
      <c r="A704" s="19"/>
      <c r="B704" s="19"/>
      <c r="C704" s="19"/>
      <c r="D704" s="19"/>
      <c r="E704" s="19"/>
      <c r="F704" s="19"/>
    </row>
    <row r="705" spans="1:6" ht="15.75" customHeight="1" x14ac:dyDescent="0.25">
      <c r="A705" s="19"/>
      <c r="B705" s="19"/>
      <c r="C705" s="19"/>
      <c r="D705" s="19"/>
      <c r="E705" s="19"/>
      <c r="F705" s="19"/>
    </row>
    <row r="706" spans="1:6" ht="15.75" customHeight="1" x14ac:dyDescent="0.25">
      <c r="A706" s="19"/>
      <c r="B706" s="19"/>
      <c r="C706" s="19"/>
      <c r="D706" s="19"/>
      <c r="E706" s="19"/>
      <c r="F706" s="19"/>
    </row>
    <row r="707" spans="1:6" ht="15.75" customHeight="1" x14ac:dyDescent="0.25">
      <c r="A707" s="19"/>
      <c r="B707" s="19"/>
      <c r="C707" s="19"/>
      <c r="D707" s="19"/>
      <c r="E707" s="19"/>
      <c r="F707" s="19"/>
    </row>
    <row r="708" spans="1:6" ht="15.75" customHeight="1" x14ac:dyDescent="0.25">
      <c r="A708" s="19"/>
      <c r="B708" s="19"/>
      <c r="C708" s="19"/>
      <c r="D708" s="19"/>
      <c r="E708" s="19"/>
      <c r="F708" s="19"/>
    </row>
    <row r="709" spans="1:6" ht="15.75" customHeight="1" x14ac:dyDescent="0.25">
      <c r="A709" s="19"/>
      <c r="B709" s="19"/>
      <c r="C709" s="19"/>
      <c r="D709" s="19"/>
      <c r="E709" s="19"/>
      <c r="F709" s="19"/>
    </row>
    <row r="710" spans="1:6" ht="15.75" customHeight="1" x14ac:dyDescent="0.25">
      <c r="A710" s="19"/>
      <c r="B710" s="19"/>
      <c r="C710" s="19"/>
      <c r="D710" s="19"/>
      <c r="E710" s="19"/>
      <c r="F710" s="19"/>
    </row>
    <row r="711" spans="1:6" ht="15.75" customHeight="1" x14ac:dyDescent="0.25">
      <c r="A711" s="19"/>
      <c r="B711" s="19"/>
      <c r="C711" s="19"/>
      <c r="D711" s="19"/>
      <c r="E711" s="19"/>
      <c r="F711" s="19"/>
    </row>
    <row r="712" spans="1:6" ht="15.75" customHeight="1" x14ac:dyDescent="0.25">
      <c r="A712" s="19"/>
      <c r="B712" s="19"/>
      <c r="C712" s="19"/>
      <c r="D712" s="19"/>
      <c r="E712" s="19"/>
      <c r="F712" s="19"/>
    </row>
    <row r="713" spans="1:6" ht="15.75" customHeight="1" x14ac:dyDescent="0.25">
      <c r="A713" s="19"/>
      <c r="B713" s="19"/>
      <c r="C713" s="19"/>
      <c r="D713" s="19"/>
      <c r="E713" s="19"/>
      <c r="F713" s="19"/>
    </row>
    <row r="714" spans="1:6" ht="15.75" customHeight="1" x14ac:dyDescent="0.25">
      <c r="A714" s="19"/>
      <c r="B714" s="19"/>
      <c r="C714" s="19"/>
      <c r="D714" s="19"/>
      <c r="E714" s="19"/>
      <c r="F714" s="19"/>
    </row>
    <row r="715" spans="1:6" ht="15.75" customHeight="1" x14ac:dyDescent="0.25">
      <c r="A715" s="19"/>
      <c r="B715" s="19"/>
      <c r="C715" s="19"/>
      <c r="D715" s="19"/>
      <c r="E715" s="19"/>
      <c r="F715" s="19"/>
    </row>
    <row r="716" spans="1:6" ht="15.75" customHeight="1" x14ac:dyDescent="0.25">
      <c r="A716" s="19"/>
      <c r="B716" s="19"/>
      <c r="C716" s="19"/>
      <c r="D716" s="19"/>
      <c r="E716" s="19"/>
      <c r="F716" s="19"/>
    </row>
    <row r="717" spans="1:6" ht="15.75" customHeight="1" x14ac:dyDescent="0.25">
      <c r="A717" s="19"/>
      <c r="B717" s="19"/>
      <c r="C717" s="19"/>
      <c r="D717" s="19"/>
      <c r="E717" s="19"/>
      <c r="F717" s="19"/>
    </row>
    <row r="718" spans="1:6" ht="15.75" customHeight="1" x14ac:dyDescent="0.25">
      <c r="A718" s="19"/>
      <c r="B718" s="19"/>
      <c r="C718" s="19"/>
      <c r="D718" s="19"/>
      <c r="E718" s="19"/>
      <c r="F718" s="19"/>
    </row>
    <row r="719" spans="1:6" ht="15.75" customHeight="1" x14ac:dyDescent="0.25">
      <c r="A719" s="19"/>
      <c r="B719" s="19"/>
      <c r="C719" s="19"/>
      <c r="D719" s="19"/>
      <c r="E719" s="19"/>
      <c r="F719" s="19"/>
    </row>
    <row r="720" spans="1:6" ht="15.75" customHeight="1" x14ac:dyDescent="0.25">
      <c r="A720" s="19"/>
      <c r="B720" s="19"/>
      <c r="C720" s="19"/>
      <c r="D720" s="19"/>
      <c r="E720" s="19"/>
      <c r="F720" s="19"/>
    </row>
    <row r="721" spans="1:6" ht="15.75" customHeight="1" x14ac:dyDescent="0.25">
      <c r="A721" s="19"/>
      <c r="B721" s="19"/>
      <c r="C721" s="19"/>
      <c r="D721" s="19"/>
      <c r="E721" s="19"/>
      <c r="F721" s="19"/>
    </row>
    <row r="722" spans="1:6" ht="15.75" customHeight="1" x14ac:dyDescent="0.25">
      <c r="A722" s="19"/>
      <c r="B722" s="19"/>
      <c r="C722" s="19"/>
      <c r="D722" s="19"/>
      <c r="E722" s="19"/>
      <c r="F722" s="19"/>
    </row>
    <row r="723" spans="1:6" ht="15.75" customHeight="1" x14ac:dyDescent="0.25">
      <c r="A723" s="19"/>
      <c r="B723" s="19"/>
      <c r="C723" s="19"/>
      <c r="D723" s="19"/>
      <c r="E723" s="19"/>
      <c r="F723" s="19"/>
    </row>
    <row r="724" spans="1:6" ht="15.75" customHeight="1" x14ac:dyDescent="0.25">
      <c r="A724" s="19"/>
      <c r="B724" s="19"/>
      <c r="C724" s="19"/>
      <c r="D724" s="19"/>
      <c r="E724" s="19"/>
      <c r="F724" s="19"/>
    </row>
    <row r="725" spans="1:6" ht="15.75" customHeight="1" x14ac:dyDescent="0.25">
      <c r="A725" s="19"/>
      <c r="B725" s="19"/>
      <c r="C725" s="19"/>
      <c r="D725" s="19"/>
      <c r="E725" s="19"/>
      <c r="F725" s="19"/>
    </row>
    <row r="726" spans="1:6" ht="15.75" customHeight="1" x14ac:dyDescent="0.25">
      <c r="A726" s="19"/>
      <c r="B726" s="19"/>
      <c r="C726" s="19"/>
      <c r="D726" s="19"/>
      <c r="E726" s="19"/>
      <c r="F726" s="19"/>
    </row>
    <row r="727" spans="1:6" ht="15.75" customHeight="1" x14ac:dyDescent="0.25">
      <c r="A727" s="19"/>
      <c r="B727" s="19"/>
      <c r="C727" s="19"/>
      <c r="D727" s="19"/>
      <c r="E727" s="19"/>
      <c r="F727" s="19"/>
    </row>
    <row r="728" spans="1:6" ht="15.75" customHeight="1" x14ac:dyDescent="0.25">
      <c r="A728" s="19"/>
      <c r="B728" s="19"/>
      <c r="C728" s="19"/>
      <c r="D728" s="19"/>
      <c r="E728" s="19"/>
      <c r="F728" s="19"/>
    </row>
    <row r="729" spans="1:6" ht="15.75" customHeight="1" x14ac:dyDescent="0.25">
      <c r="A729" s="19"/>
      <c r="B729" s="19"/>
      <c r="C729" s="19"/>
      <c r="D729" s="19"/>
      <c r="E729" s="19"/>
      <c r="F729" s="19"/>
    </row>
    <row r="730" spans="1:6" ht="15.75" customHeight="1" x14ac:dyDescent="0.25">
      <c r="A730" s="19"/>
      <c r="B730" s="19"/>
      <c r="C730" s="19"/>
      <c r="D730" s="19"/>
      <c r="E730" s="19"/>
      <c r="F730" s="19"/>
    </row>
    <row r="731" spans="1:6" ht="15.75" customHeight="1" x14ac:dyDescent="0.25">
      <c r="A731" s="19"/>
      <c r="B731" s="19"/>
      <c r="C731" s="19"/>
      <c r="D731" s="19"/>
      <c r="E731" s="19"/>
      <c r="F731" s="19"/>
    </row>
    <row r="732" spans="1:6" ht="15.75" customHeight="1" x14ac:dyDescent="0.25">
      <c r="A732" s="19"/>
      <c r="B732" s="19"/>
      <c r="C732" s="19"/>
      <c r="D732" s="19"/>
      <c r="E732" s="19"/>
      <c r="F732" s="19"/>
    </row>
    <row r="733" spans="1:6" ht="15.75" customHeight="1" x14ac:dyDescent="0.25">
      <c r="A733" s="19"/>
      <c r="B733" s="19"/>
      <c r="C733" s="19"/>
      <c r="D733" s="19"/>
      <c r="E733" s="19"/>
      <c r="F733" s="19"/>
    </row>
    <row r="734" spans="1:6" ht="15.75" customHeight="1" x14ac:dyDescent="0.25">
      <c r="A734" s="19"/>
      <c r="B734" s="19"/>
      <c r="C734" s="19"/>
      <c r="D734" s="19"/>
      <c r="E734" s="19"/>
      <c r="F734" s="19"/>
    </row>
    <row r="735" spans="1:6" ht="15.75" customHeight="1" x14ac:dyDescent="0.25">
      <c r="A735" s="19"/>
      <c r="B735" s="19"/>
      <c r="C735" s="19"/>
      <c r="D735" s="19"/>
      <c r="E735" s="19"/>
      <c r="F735" s="19"/>
    </row>
    <row r="736" spans="1:6" ht="15.75" customHeight="1" x14ac:dyDescent="0.25">
      <c r="A736" s="19"/>
      <c r="B736" s="19"/>
      <c r="C736" s="19"/>
      <c r="D736" s="19"/>
      <c r="E736" s="19"/>
      <c r="F736" s="19"/>
    </row>
    <row r="737" spans="1:6" ht="15.75" customHeight="1" x14ac:dyDescent="0.25">
      <c r="A737" s="19"/>
      <c r="B737" s="19"/>
      <c r="C737" s="19"/>
      <c r="D737" s="19"/>
      <c r="E737" s="19"/>
      <c r="F737" s="19"/>
    </row>
    <row r="738" spans="1:6" ht="15.75" customHeight="1" x14ac:dyDescent="0.25">
      <c r="A738" s="19"/>
      <c r="B738" s="19"/>
      <c r="C738" s="19"/>
      <c r="D738" s="19"/>
      <c r="E738" s="19"/>
      <c r="F738" s="19"/>
    </row>
    <row r="739" spans="1:6" ht="15.75" customHeight="1" x14ac:dyDescent="0.25">
      <c r="A739" s="19"/>
      <c r="B739" s="19"/>
      <c r="C739" s="19"/>
      <c r="D739" s="19"/>
      <c r="E739" s="19"/>
      <c r="F739" s="19"/>
    </row>
    <row r="740" spans="1:6" ht="15.75" customHeight="1" x14ac:dyDescent="0.25">
      <c r="A740" s="19"/>
      <c r="B740" s="19"/>
      <c r="C740" s="19"/>
      <c r="D740" s="19"/>
      <c r="E740" s="19"/>
      <c r="F740" s="19"/>
    </row>
    <row r="741" spans="1:6" ht="15.75" customHeight="1" x14ac:dyDescent="0.25">
      <c r="A741" s="19"/>
      <c r="B741" s="19"/>
      <c r="C741" s="19"/>
      <c r="D741" s="19"/>
      <c r="E741" s="19"/>
      <c r="F741" s="19"/>
    </row>
    <row r="742" spans="1:6" ht="15.75" customHeight="1" x14ac:dyDescent="0.25">
      <c r="A742" s="19"/>
      <c r="B742" s="19"/>
      <c r="C742" s="19"/>
      <c r="D742" s="19"/>
      <c r="E742" s="19"/>
      <c r="F742" s="19"/>
    </row>
    <row r="743" spans="1:6" ht="15.75" customHeight="1" x14ac:dyDescent="0.25">
      <c r="A743" s="19"/>
      <c r="B743" s="19"/>
      <c r="C743" s="19"/>
      <c r="D743" s="19"/>
      <c r="E743" s="19"/>
      <c r="F743" s="19"/>
    </row>
    <row r="744" spans="1:6" ht="15.75" customHeight="1" x14ac:dyDescent="0.25">
      <c r="A744" s="19"/>
      <c r="B744" s="19"/>
      <c r="C744" s="19"/>
      <c r="D744" s="19"/>
      <c r="E744" s="19"/>
      <c r="F744" s="19"/>
    </row>
    <row r="745" spans="1:6" ht="15.75" customHeight="1" x14ac:dyDescent="0.25">
      <c r="A745" s="19"/>
      <c r="B745" s="19"/>
      <c r="C745" s="19"/>
      <c r="D745" s="19"/>
      <c r="E745" s="19"/>
      <c r="F745" s="19"/>
    </row>
    <row r="746" spans="1:6" ht="15.75" customHeight="1" x14ac:dyDescent="0.25">
      <c r="A746" s="19"/>
      <c r="B746" s="19"/>
      <c r="C746" s="19"/>
      <c r="D746" s="19"/>
      <c r="E746" s="19"/>
      <c r="F746" s="19"/>
    </row>
    <row r="747" spans="1:6" ht="15.75" customHeight="1" x14ac:dyDescent="0.25">
      <c r="A747" s="19"/>
      <c r="B747" s="19"/>
      <c r="C747" s="19"/>
      <c r="D747" s="19"/>
      <c r="E747" s="19"/>
      <c r="F747" s="19"/>
    </row>
    <row r="748" spans="1:6" ht="15.75" customHeight="1" x14ac:dyDescent="0.25">
      <c r="A748" s="19"/>
      <c r="B748" s="19"/>
      <c r="C748" s="19"/>
      <c r="D748" s="19"/>
      <c r="E748" s="19"/>
      <c r="F748" s="19"/>
    </row>
    <row r="749" spans="1:6" ht="15.75" customHeight="1" x14ac:dyDescent="0.25">
      <c r="A749" s="19"/>
      <c r="B749" s="19"/>
      <c r="C749" s="19"/>
      <c r="D749" s="19"/>
      <c r="E749" s="19"/>
      <c r="F749" s="19"/>
    </row>
    <row r="750" spans="1:6" ht="15.75" customHeight="1" x14ac:dyDescent="0.25">
      <c r="A750" s="19"/>
      <c r="B750" s="19"/>
      <c r="C750" s="19"/>
      <c r="D750" s="19"/>
      <c r="E750" s="19"/>
      <c r="F750" s="19"/>
    </row>
    <row r="751" spans="1:6" ht="15.75" customHeight="1" x14ac:dyDescent="0.25">
      <c r="A751" s="19"/>
      <c r="B751" s="19"/>
      <c r="C751" s="19"/>
      <c r="D751" s="19"/>
      <c r="E751" s="19"/>
      <c r="F751" s="19"/>
    </row>
    <row r="752" spans="1:6" ht="15.75" customHeight="1" x14ac:dyDescent="0.25">
      <c r="A752" s="19"/>
      <c r="B752" s="19"/>
      <c r="C752" s="19"/>
      <c r="D752" s="19"/>
      <c r="E752" s="19"/>
      <c r="F752" s="19"/>
    </row>
    <row r="753" spans="1:6" ht="15.75" customHeight="1" x14ac:dyDescent="0.25">
      <c r="A753" s="19"/>
      <c r="B753" s="19"/>
      <c r="C753" s="19"/>
      <c r="D753" s="19"/>
      <c r="E753" s="19"/>
      <c r="F753" s="19"/>
    </row>
    <row r="754" spans="1:6" ht="15.75" customHeight="1" x14ac:dyDescent="0.25">
      <c r="A754" s="19"/>
      <c r="B754" s="19"/>
      <c r="C754" s="19"/>
      <c r="D754" s="19"/>
      <c r="E754" s="19"/>
      <c r="F754" s="19"/>
    </row>
    <row r="755" spans="1:6" ht="15.75" customHeight="1" x14ac:dyDescent="0.25">
      <c r="A755" s="19"/>
      <c r="B755" s="19"/>
      <c r="C755" s="19"/>
      <c r="D755" s="19"/>
      <c r="E755" s="19"/>
      <c r="F755" s="19"/>
    </row>
    <row r="756" spans="1:6" ht="15.75" customHeight="1" x14ac:dyDescent="0.25">
      <c r="A756" s="19"/>
      <c r="B756" s="19"/>
      <c r="C756" s="19"/>
      <c r="D756" s="19"/>
      <c r="E756" s="19"/>
      <c r="F756" s="19"/>
    </row>
    <row r="757" spans="1:6" ht="15.75" customHeight="1" x14ac:dyDescent="0.25">
      <c r="A757" s="19"/>
      <c r="B757" s="19"/>
      <c r="C757" s="19"/>
      <c r="D757" s="19"/>
      <c r="E757" s="19"/>
      <c r="F757" s="19"/>
    </row>
    <row r="758" spans="1:6" ht="15.75" customHeight="1" x14ac:dyDescent="0.25">
      <c r="A758" s="19"/>
      <c r="B758" s="19"/>
      <c r="C758" s="19"/>
      <c r="D758" s="19"/>
      <c r="E758" s="19"/>
      <c r="F758" s="19"/>
    </row>
    <row r="759" spans="1:6" ht="15.75" customHeight="1" x14ac:dyDescent="0.25">
      <c r="A759" s="19"/>
      <c r="B759" s="19"/>
      <c r="C759" s="19"/>
      <c r="D759" s="19"/>
      <c r="E759" s="19"/>
      <c r="F759" s="19"/>
    </row>
    <row r="760" spans="1:6" ht="15.75" customHeight="1" x14ac:dyDescent="0.25">
      <c r="A760" s="19"/>
      <c r="B760" s="19"/>
      <c r="C760" s="19"/>
      <c r="D760" s="19"/>
      <c r="E760" s="19"/>
      <c r="F760" s="19"/>
    </row>
    <row r="761" spans="1:6" ht="15.75" customHeight="1" x14ac:dyDescent="0.25">
      <c r="A761" s="19"/>
      <c r="B761" s="19"/>
      <c r="C761" s="19"/>
      <c r="D761" s="19"/>
      <c r="E761" s="19"/>
      <c r="F761" s="19"/>
    </row>
    <row r="762" spans="1:6" ht="15.75" customHeight="1" x14ac:dyDescent="0.25">
      <c r="A762" s="19"/>
      <c r="B762" s="19"/>
      <c r="C762" s="19"/>
      <c r="D762" s="19"/>
      <c r="E762" s="19"/>
      <c r="F762" s="19"/>
    </row>
    <row r="763" spans="1:6" ht="15.75" customHeight="1" x14ac:dyDescent="0.25">
      <c r="A763" s="19"/>
      <c r="B763" s="19"/>
      <c r="C763" s="19"/>
      <c r="D763" s="19"/>
      <c r="E763" s="19"/>
      <c r="F763" s="19"/>
    </row>
    <row r="764" spans="1:6" ht="15.75" customHeight="1" x14ac:dyDescent="0.25">
      <c r="A764" s="19"/>
      <c r="B764" s="19"/>
      <c r="C764" s="19"/>
      <c r="D764" s="19"/>
      <c r="E764" s="19"/>
      <c r="F764" s="19"/>
    </row>
    <row r="765" spans="1:6" ht="15.75" customHeight="1" x14ac:dyDescent="0.25">
      <c r="A765" s="19"/>
      <c r="B765" s="19"/>
      <c r="C765" s="19"/>
      <c r="D765" s="19"/>
      <c r="E765" s="19"/>
      <c r="F765" s="19"/>
    </row>
    <row r="766" spans="1:6" ht="15.75" customHeight="1" x14ac:dyDescent="0.25">
      <c r="A766" s="19"/>
      <c r="B766" s="19"/>
      <c r="C766" s="19"/>
      <c r="D766" s="19"/>
      <c r="E766" s="19"/>
      <c r="F766" s="19"/>
    </row>
    <row r="767" spans="1:6" ht="15.75" customHeight="1" x14ac:dyDescent="0.25">
      <c r="A767" s="19"/>
      <c r="B767" s="19"/>
      <c r="C767" s="19"/>
      <c r="D767" s="19"/>
      <c r="E767" s="19"/>
      <c r="F767" s="19"/>
    </row>
    <row r="768" spans="1:6" ht="15.75" customHeight="1" x14ac:dyDescent="0.25">
      <c r="A768" s="19"/>
      <c r="B768" s="19"/>
      <c r="C768" s="19"/>
      <c r="D768" s="19"/>
      <c r="E768" s="19"/>
      <c r="F768" s="19"/>
    </row>
    <row r="769" spans="1:6" ht="15.75" customHeight="1" x14ac:dyDescent="0.25">
      <c r="A769" s="19"/>
      <c r="B769" s="19"/>
      <c r="C769" s="19"/>
      <c r="D769" s="19"/>
      <c r="E769" s="19"/>
      <c r="F769" s="19"/>
    </row>
    <row r="770" spans="1:6" ht="15.75" customHeight="1" x14ac:dyDescent="0.25">
      <c r="A770" s="19"/>
      <c r="B770" s="19"/>
      <c r="C770" s="19"/>
      <c r="D770" s="19"/>
      <c r="E770" s="19"/>
      <c r="F770" s="19"/>
    </row>
    <row r="771" spans="1:6" ht="15.75" customHeight="1" x14ac:dyDescent="0.25">
      <c r="A771" s="19"/>
      <c r="B771" s="19"/>
      <c r="C771" s="19"/>
      <c r="D771" s="19"/>
      <c r="E771" s="19"/>
      <c r="F771" s="19"/>
    </row>
    <row r="772" spans="1:6" ht="15.75" customHeight="1" x14ac:dyDescent="0.25">
      <c r="A772" s="19"/>
      <c r="B772" s="19"/>
      <c r="C772" s="19"/>
      <c r="D772" s="19"/>
      <c r="E772" s="19"/>
      <c r="F772" s="19"/>
    </row>
    <row r="773" spans="1:6" ht="15.75" customHeight="1" x14ac:dyDescent="0.25">
      <c r="A773" s="19"/>
      <c r="B773" s="19"/>
      <c r="C773" s="19"/>
      <c r="D773" s="19"/>
      <c r="E773" s="19"/>
      <c r="F773" s="19"/>
    </row>
    <row r="774" spans="1:6" ht="15.75" customHeight="1" x14ac:dyDescent="0.25">
      <c r="A774" s="19"/>
      <c r="B774" s="19"/>
      <c r="C774" s="19"/>
      <c r="D774" s="19"/>
      <c r="E774" s="19"/>
      <c r="F774" s="19"/>
    </row>
    <row r="775" spans="1:6" ht="15.75" customHeight="1" x14ac:dyDescent="0.25">
      <c r="A775" s="19"/>
      <c r="B775" s="19"/>
      <c r="C775" s="19"/>
      <c r="D775" s="19"/>
      <c r="E775" s="19"/>
      <c r="F775" s="19"/>
    </row>
    <row r="776" spans="1:6" ht="15.75" customHeight="1" x14ac:dyDescent="0.25">
      <c r="A776" s="19"/>
      <c r="B776" s="19"/>
      <c r="C776" s="19"/>
      <c r="D776" s="19"/>
      <c r="E776" s="19"/>
      <c r="F776" s="19"/>
    </row>
    <row r="777" spans="1:6" ht="15.75" customHeight="1" x14ac:dyDescent="0.25">
      <c r="A777" s="19"/>
      <c r="B777" s="19"/>
      <c r="C777" s="19"/>
      <c r="D777" s="19"/>
      <c r="E777" s="19"/>
      <c r="F777" s="19"/>
    </row>
    <row r="778" spans="1:6" ht="15.75" customHeight="1" x14ac:dyDescent="0.25">
      <c r="A778" s="19"/>
      <c r="B778" s="19"/>
      <c r="C778" s="19"/>
      <c r="D778" s="19"/>
      <c r="E778" s="19"/>
      <c r="F778" s="19"/>
    </row>
    <row r="779" spans="1:6" ht="15.75" customHeight="1" x14ac:dyDescent="0.25">
      <c r="A779" s="19"/>
      <c r="B779" s="19"/>
      <c r="C779" s="19"/>
      <c r="D779" s="19"/>
      <c r="E779" s="19"/>
      <c r="F779" s="19"/>
    </row>
    <row r="780" spans="1:6" ht="15.75" customHeight="1" x14ac:dyDescent="0.25">
      <c r="A780" s="19"/>
      <c r="B780" s="19"/>
      <c r="C780" s="19"/>
      <c r="D780" s="19"/>
      <c r="E780" s="19"/>
      <c r="F780" s="19"/>
    </row>
    <row r="781" spans="1:6" ht="15.75" customHeight="1" x14ac:dyDescent="0.25">
      <c r="A781" s="19"/>
      <c r="B781" s="19"/>
      <c r="C781" s="19"/>
      <c r="D781" s="19"/>
      <c r="E781" s="19"/>
      <c r="F781" s="19"/>
    </row>
    <row r="782" spans="1:6" ht="15.75" customHeight="1" x14ac:dyDescent="0.25">
      <c r="A782" s="19"/>
      <c r="B782" s="19"/>
      <c r="C782" s="19"/>
      <c r="D782" s="19"/>
      <c r="E782" s="19"/>
      <c r="F782" s="19"/>
    </row>
    <row r="783" spans="1:6" ht="15.75" customHeight="1" x14ac:dyDescent="0.25">
      <c r="A783" s="19"/>
      <c r="B783" s="19"/>
      <c r="C783" s="19"/>
      <c r="D783" s="19"/>
      <c r="E783" s="19"/>
      <c r="F783" s="19"/>
    </row>
    <row r="784" spans="1:6" ht="15.75" customHeight="1" x14ac:dyDescent="0.25">
      <c r="A784" s="19"/>
      <c r="B784" s="19"/>
      <c r="C784" s="19"/>
      <c r="D784" s="19"/>
      <c r="E784" s="19"/>
      <c r="F784" s="19"/>
    </row>
    <row r="785" spans="1:6" ht="15.75" customHeight="1" x14ac:dyDescent="0.25">
      <c r="A785" s="19"/>
      <c r="B785" s="19"/>
      <c r="C785" s="19"/>
      <c r="D785" s="19"/>
      <c r="E785" s="19"/>
      <c r="F785" s="19"/>
    </row>
    <row r="786" spans="1:6" ht="15.75" customHeight="1" x14ac:dyDescent="0.25">
      <c r="A786" s="19"/>
      <c r="B786" s="19"/>
      <c r="C786" s="19"/>
      <c r="D786" s="19"/>
      <c r="E786" s="19"/>
      <c r="F786" s="19"/>
    </row>
    <row r="787" spans="1:6" ht="15.75" customHeight="1" x14ac:dyDescent="0.25">
      <c r="A787" s="19"/>
      <c r="B787" s="19"/>
      <c r="C787" s="19"/>
      <c r="D787" s="19"/>
      <c r="E787" s="19"/>
      <c r="F787" s="19"/>
    </row>
    <row r="788" spans="1:6" ht="15.75" customHeight="1" x14ac:dyDescent="0.25">
      <c r="A788" s="19"/>
      <c r="B788" s="19"/>
      <c r="C788" s="19"/>
      <c r="D788" s="19"/>
      <c r="E788" s="19"/>
      <c r="F788" s="19"/>
    </row>
    <row r="789" spans="1:6" ht="15.75" customHeight="1" x14ac:dyDescent="0.25">
      <c r="A789" s="19"/>
      <c r="B789" s="19"/>
      <c r="C789" s="19"/>
      <c r="D789" s="19"/>
      <c r="E789" s="19"/>
      <c r="F789" s="19"/>
    </row>
    <row r="790" spans="1:6" ht="15.75" customHeight="1" x14ac:dyDescent="0.25">
      <c r="A790" s="19"/>
      <c r="B790" s="19"/>
      <c r="C790" s="19"/>
      <c r="D790" s="19"/>
      <c r="E790" s="19"/>
      <c r="F790" s="19"/>
    </row>
    <row r="791" spans="1:6" ht="15.75" customHeight="1" x14ac:dyDescent="0.25">
      <c r="A791" s="19"/>
      <c r="B791" s="19"/>
      <c r="C791" s="19"/>
      <c r="D791" s="19"/>
      <c r="E791" s="19"/>
      <c r="F791" s="19"/>
    </row>
    <row r="792" spans="1:6" ht="15.75" customHeight="1" x14ac:dyDescent="0.25">
      <c r="A792" s="19"/>
      <c r="B792" s="19"/>
      <c r="C792" s="19"/>
      <c r="D792" s="19"/>
      <c r="E792" s="19"/>
      <c r="F792" s="19"/>
    </row>
    <row r="793" spans="1:6" ht="15.75" customHeight="1" x14ac:dyDescent="0.25">
      <c r="A793" s="19"/>
      <c r="B793" s="19"/>
      <c r="C793" s="19"/>
      <c r="D793" s="19"/>
      <c r="E793" s="19"/>
      <c r="F793" s="19"/>
    </row>
    <row r="794" spans="1:6" ht="15.75" customHeight="1" x14ac:dyDescent="0.25">
      <c r="A794" s="19"/>
      <c r="B794" s="19"/>
      <c r="C794" s="19"/>
      <c r="D794" s="19"/>
      <c r="E794" s="19"/>
      <c r="F794" s="19"/>
    </row>
    <row r="795" spans="1:6" ht="15.75" customHeight="1" x14ac:dyDescent="0.25">
      <c r="A795" s="19"/>
      <c r="B795" s="19"/>
      <c r="C795" s="19"/>
      <c r="D795" s="19"/>
      <c r="E795" s="19"/>
      <c r="F795" s="19"/>
    </row>
    <row r="796" spans="1:6" ht="15.75" customHeight="1" x14ac:dyDescent="0.25">
      <c r="A796" s="19"/>
      <c r="B796" s="19"/>
      <c r="C796" s="19"/>
      <c r="D796" s="19"/>
      <c r="E796" s="19"/>
      <c r="F796" s="19"/>
    </row>
    <row r="797" spans="1:6" ht="15.75" customHeight="1" x14ac:dyDescent="0.25">
      <c r="A797" s="19"/>
      <c r="B797" s="19"/>
      <c r="C797" s="19"/>
      <c r="D797" s="19"/>
      <c r="E797" s="19"/>
      <c r="F797" s="19"/>
    </row>
    <row r="798" spans="1:6" ht="15.75" customHeight="1" x14ac:dyDescent="0.25">
      <c r="A798" s="19"/>
      <c r="B798" s="19"/>
      <c r="C798" s="19"/>
      <c r="D798" s="19"/>
      <c r="E798" s="19"/>
      <c r="F798" s="19"/>
    </row>
    <row r="799" spans="1:6" ht="15.75" customHeight="1" x14ac:dyDescent="0.25">
      <c r="A799" s="19"/>
      <c r="B799" s="19"/>
      <c r="C799" s="19"/>
      <c r="D799" s="19"/>
      <c r="E799" s="19"/>
      <c r="F799" s="19"/>
    </row>
    <row r="800" spans="1:6" ht="15.75" customHeight="1" x14ac:dyDescent="0.25">
      <c r="A800" s="19"/>
      <c r="B800" s="19"/>
      <c r="C800" s="19"/>
      <c r="D800" s="19"/>
      <c r="E800" s="19"/>
      <c r="F800" s="19"/>
    </row>
    <row r="801" spans="1:6" ht="15.75" customHeight="1" x14ac:dyDescent="0.25">
      <c r="A801" s="19"/>
      <c r="B801" s="19"/>
      <c r="C801" s="19"/>
      <c r="D801" s="19"/>
      <c r="E801" s="19"/>
      <c r="F801" s="19"/>
    </row>
    <row r="802" spans="1:6" ht="15.75" customHeight="1" x14ac:dyDescent="0.25">
      <c r="A802" s="19"/>
      <c r="B802" s="19"/>
      <c r="C802" s="19"/>
      <c r="D802" s="19"/>
      <c r="E802" s="19"/>
      <c r="F802" s="19"/>
    </row>
    <row r="803" spans="1:6" ht="15.75" customHeight="1" x14ac:dyDescent="0.25">
      <c r="A803" s="19"/>
      <c r="B803" s="19"/>
      <c r="C803" s="19"/>
      <c r="D803" s="19"/>
      <c r="E803" s="19"/>
      <c r="F803" s="19"/>
    </row>
    <row r="804" spans="1:6" ht="15.75" customHeight="1" x14ac:dyDescent="0.25">
      <c r="A804" s="19"/>
      <c r="B804" s="19"/>
      <c r="C804" s="19"/>
      <c r="D804" s="19"/>
      <c r="E804" s="19"/>
      <c r="F804" s="19"/>
    </row>
    <row r="805" spans="1:6" ht="15.75" customHeight="1" x14ac:dyDescent="0.25">
      <c r="A805" s="19"/>
      <c r="B805" s="19"/>
      <c r="C805" s="19"/>
      <c r="D805" s="19"/>
      <c r="E805" s="19"/>
      <c r="F805" s="19"/>
    </row>
    <row r="806" spans="1:6" ht="15.75" customHeight="1" x14ac:dyDescent="0.25">
      <c r="A806" s="19"/>
      <c r="B806" s="19"/>
      <c r="C806" s="19"/>
      <c r="D806" s="19"/>
      <c r="E806" s="19"/>
      <c r="F806" s="19"/>
    </row>
    <row r="807" spans="1:6" ht="15.75" customHeight="1" x14ac:dyDescent="0.25">
      <c r="A807" s="19"/>
      <c r="B807" s="19"/>
      <c r="C807" s="19"/>
      <c r="D807" s="19"/>
      <c r="E807" s="19"/>
      <c r="F807" s="19"/>
    </row>
    <row r="808" spans="1:6" ht="15.75" customHeight="1" x14ac:dyDescent="0.25">
      <c r="A808" s="19"/>
      <c r="B808" s="19"/>
      <c r="C808" s="19"/>
      <c r="D808" s="19"/>
      <c r="E808" s="19"/>
      <c r="F808" s="19"/>
    </row>
    <row r="809" spans="1:6" ht="15.75" customHeight="1" x14ac:dyDescent="0.25">
      <c r="A809" s="19"/>
      <c r="B809" s="19"/>
      <c r="C809" s="19"/>
      <c r="D809" s="19"/>
      <c r="E809" s="19"/>
      <c r="F809" s="19"/>
    </row>
    <row r="810" spans="1:6" ht="15.75" customHeight="1" x14ac:dyDescent="0.25">
      <c r="A810" s="19"/>
      <c r="B810" s="19"/>
      <c r="C810" s="19"/>
      <c r="D810" s="19"/>
      <c r="E810" s="19"/>
      <c r="F810" s="19"/>
    </row>
    <row r="811" spans="1:6" ht="15.75" customHeight="1" x14ac:dyDescent="0.25">
      <c r="A811" s="19"/>
      <c r="B811" s="19"/>
      <c r="C811" s="19"/>
      <c r="D811" s="19"/>
      <c r="E811" s="19"/>
      <c r="F811" s="19"/>
    </row>
    <row r="812" spans="1:6" ht="15.75" customHeight="1" x14ac:dyDescent="0.25">
      <c r="A812" s="19"/>
      <c r="B812" s="19"/>
      <c r="C812" s="19"/>
      <c r="D812" s="19"/>
      <c r="E812" s="19"/>
      <c r="F812" s="19"/>
    </row>
    <row r="813" spans="1:6" ht="15.75" customHeight="1" x14ac:dyDescent="0.25">
      <c r="A813" s="19"/>
      <c r="B813" s="19"/>
      <c r="C813" s="19"/>
      <c r="D813" s="19"/>
      <c r="E813" s="19"/>
      <c r="F813" s="19"/>
    </row>
    <row r="814" spans="1:6" ht="15.75" customHeight="1" x14ac:dyDescent="0.25">
      <c r="A814" s="19"/>
      <c r="B814" s="19"/>
      <c r="C814" s="19"/>
      <c r="D814" s="19"/>
      <c r="E814" s="19"/>
      <c r="F814" s="19"/>
    </row>
    <row r="815" spans="1:6" ht="15.75" customHeight="1" x14ac:dyDescent="0.25">
      <c r="A815" s="19"/>
      <c r="B815" s="19"/>
      <c r="C815" s="19"/>
      <c r="D815" s="19"/>
      <c r="E815" s="19"/>
      <c r="F815" s="19"/>
    </row>
    <row r="816" spans="1:6" ht="15.75" customHeight="1" x14ac:dyDescent="0.25">
      <c r="A816" s="19"/>
      <c r="B816" s="19"/>
      <c r="C816" s="19"/>
      <c r="D816" s="19"/>
      <c r="E816" s="19"/>
      <c r="F816" s="19"/>
    </row>
    <row r="817" spans="1:6" ht="15.75" customHeight="1" x14ac:dyDescent="0.25">
      <c r="A817" s="19"/>
      <c r="B817" s="19"/>
      <c r="C817" s="19"/>
      <c r="D817" s="19"/>
      <c r="E817" s="19"/>
      <c r="F817" s="19"/>
    </row>
    <row r="818" spans="1:6" ht="15.75" customHeight="1" x14ac:dyDescent="0.25">
      <c r="A818" s="19"/>
      <c r="B818" s="19"/>
      <c r="C818" s="19"/>
      <c r="D818" s="19"/>
      <c r="E818" s="19"/>
      <c r="F818" s="19"/>
    </row>
    <row r="819" spans="1:6" ht="15.75" customHeight="1" x14ac:dyDescent="0.25">
      <c r="A819" s="19"/>
      <c r="B819" s="19"/>
      <c r="C819" s="19"/>
      <c r="D819" s="19"/>
      <c r="E819" s="19"/>
      <c r="F819" s="19"/>
    </row>
    <row r="820" spans="1:6" ht="15.75" customHeight="1" x14ac:dyDescent="0.25">
      <c r="A820" s="19"/>
      <c r="B820" s="19"/>
      <c r="C820" s="19"/>
      <c r="D820" s="19"/>
      <c r="E820" s="19"/>
      <c r="F820" s="19"/>
    </row>
    <row r="821" spans="1:6" ht="15.75" customHeight="1" x14ac:dyDescent="0.25">
      <c r="A821" s="19"/>
      <c r="B821" s="19"/>
      <c r="C821" s="19"/>
      <c r="D821" s="19"/>
      <c r="E821" s="19"/>
      <c r="F821" s="19"/>
    </row>
    <row r="822" spans="1:6" ht="15.75" customHeight="1" x14ac:dyDescent="0.25">
      <c r="A822" s="19"/>
      <c r="B822" s="19"/>
      <c r="C822" s="19"/>
      <c r="D822" s="19"/>
      <c r="E822" s="19"/>
      <c r="F822" s="19"/>
    </row>
    <row r="823" spans="1:6" ht="15.75" customHeight="1" x14ac:dyDescent="0.25">
      <c r="A823" s="19"/>
      <c r="B823" s="19"/>
      <c r="C823" s="19"/>
      <c r="D823" s="19"/>
      <c r="E823" s="19"/>
      <c r="F823" s="19"/>
    </row>
    <row r="824" spans="1:6" ht="15.75" customHeight="1" x14ac:dyDescent="0.25">
      <c r="A824" s="19"/>
      <c r="B824" s="19"/>
      <c r="C824" s="19"/>
      <c r="D824" s="19"/>
      <c r="E824" s="19"/>
      <c r="F824" s="19"/>
    </row>
    <row r="825" spans="1:6" ht="15.75" customHeight="1" x14ac:dyDescent="0.25">
      <c r="A825" s="19"/>
      <c r="B825" s="19"/>
      <c r="C825" s="19"/>
      <c r="D825" s="19"/>
      <c r="E825" s="19"/>
      <c r="F825" s="19"/>
    </row>
    <row r="826" spans="1:6" ht="15.75" customHeight="1" x14ac:dyDescent="0.25">
      <c r="A826" s="19"/>
      <c r="B826" s="19"/>
      <c r="C826" s="19"/>
      <c r="D826" s="19"/>
      <c r="E826" s="19"/>
      <c r="F826" s="19"/>
    </row>
    <row r="827" spans="1:6" ht="15.75" customHeight="1" x14ac:dyDescent="0.25">
      <c r="A827" s="19"/>
      <c r="B827" s="19"/>
      <c r="C827" s="19"/>
      <c r="D827" s="19"/>
      <c r="E827" s="19"/>
      <c r="F827" s="19"/>
    </row>
    <row r="828" spans="1:6" ht="15.75" customHeight="1" x14ac:dyDescent="0.25">
      <c r="A828" s="19"/>
      <c r="B828" s="19"/>
      <c r="C828" s="19"/>
      <c r="D828" s="19"/>
      <c r="E828" s="19"/>
      <c r="F828" s="19"/>
    </row>
    <row r="829" spans="1:6" ht="15.75" customHeight="1" x14ac:dyDescent="0.25">
      <c r="A829" s="19"/>
      <c r="B829" s="19"/>
      <c r="C829" s="19"/>
      <c r="D829" s="19"/>
      <c r="E829" s="19"/>
      <c r="F829" s="19"/>
    </row>
    <row r="830" spans="1:6" ht="15.75" customHeight="1" x14ac:dyDescent="0.25">
      <c r="A830" s="19"/>
      <c r="B830" s="19"/>
      <c r="C830" s="19"/>
      <c r="D830" s="19"/>
      <c r="E830" s="19"/>
      <c r="F830" s="19"/>
    </row>
    <row r="831" spans="1:6" ht="15.75" customHeight="1" x14ac:dyDescent="0.25">
      <c r="A831" s="19"/>
      <c r="B831" s="19"/>
      <c r="C831" s="19"/>
      <c r="D831" s="19"/>
      <c r="E831" s="19"/>
      <c r="F831" s="19"/>
    </row>
    <row r="832" spans="1:6" ht="15.75" customHeight="1" x14ac:dyDescent="0.25">
      <c r="A832" s="19"/>
      <c r="B832" s="19"/>
      <c r="C832" s="19"/>
      <c r="D832" s="19"/>
      <c r="E832" s="19"/>
      <c r="F832" s="19"/>
    </row>
    <row r="833" spans="1:6" ht="15.75" customHeight="1" x14ac:dyDescent="0.25">
      <c r="A833" s="19"/>
      <c r="B833" s="19"/>
      <c r="C833" s="19"/>
      <c r="D833" s="19"/>
      <c r="E833" s="19"/>
      <c r="F833" s="19"/>
    </row>
    <row r="834" spans="1:6" ht="15.75" customHeight="1" x14ac:dyDescent="0.25">
      <c r="A834" s="19"/>
      <c r="B834" s="19"/>
      <c r="C834" s="19"/>
      <c r="D834" s="19"/>
      <c r="E834" s="19"/>
      <c r="F834" s="19"/>
    </row>
    <row r="835" spans="1:6" ht="15.75" customHeight="1" x14ac:dyDescent="0.25">
      <c r="A835" s="19"/>
      <c r="B835" s="19"/>
      <c r="C835" s="19"/>
      <c r="D835" s="19"/>
      <c r="E835" s="19"/>
      <c r="F835" s="19"/>
    </row>
    <row r="836" spans="1:6" ht="15.75" customHeight="1" x14ac:dyDescent="0.25">
      <c r="A836" s="19"/>
      <c r="B836" s="19"/>
      <c r="C836" s="19"/>
      <c r="D836" s="19"/>
      <c r="E836" s="19"/>
      <c r="F836" s="19"/>
    </row>
    <row r="837" spans="1:6" ht="15.75" customHeight="1" x14ac:dyDescent="0.25">
      <c r="A837" s="19"/>
      <c r="B837" s="19"/>
      <c r="C837" s="19"/>
      <c r="D837" s="19"/>
      <c r="E837" s="19"/>
      <c r="F837" s="19"/>
    </row>
    <row r="838" spans="1:6" ht="15.75" customHeight="1" x14ac:dyDescent="0.25">
      <c r="A838" s="19"/>
      <c r="B838" s="19"/>
      <c r="C838" s="19"/>
      <c r="D838" s="19"/>
      <c r="E838" s="19"/>
      <c r="F838" s="19"/>
    </row>
    <row r="839" spans="1:6" ht="15.75" customHeight="1" x14ac:dyDescent="0.25">
      <c r="A839" s="19"/>
      <c r="B839" s="19"/>
      <c r="C839" s="19"/>
      <c r="D839" s="19"/>
      <c r="E839" s="19"/>
      <c r="F839" s="19"/>
    </row>
    <row r="840" spans="1:6" ht="15.75" customHeight="1" x14ac:dyDescent="0.25">
      <c r="A840" s="19"/>
      <c r="B840" s="19"/>
      <c r="C840" s="19"/>
      <c r="D840" s="19"/>
      <c r="E840" s="19"/>
      <c r="F840" s="19"/>
    </row>
    <row r="841" spans="1:6" ht="15.75" customHeight="1" x14ac:dyDescent="0.25">
      <c r="A841" s="19"/>
      <c r="B841" s="19"/>
      <c r="C841" s="19"/>
      <c r="D841" s="19"/>
      <c r="E841" s="19"/>
      <c r="F841" s="19"/>
    </row>
    <row r="842" spans="1:6" ht="15.75" customHeight="1" x14ac:dyDescent="0.25">
      <c r="A842" s="19"/>
      <c r="B842" s="19"/>
      <c r="C842" s="19"/>
      <c r="D842" s="19"/>
      <c r="E842" s="19"/>
      <c r="F842" s="19"/>
    </row>
    <row r="843" spans="1:6" ht="15.75" customHeight="1" x14ac:dyDescent="0.25">
      <c r="A843" s="19"/>
      <c r="B843" s="19"/>
      <c r="C843" s="19"/>
      <c r="D843" s="19"/>
      <c r="E843" s="19"/>
      <c r="F843" s="19"/>
    </row>
    <row r="844" spans="1:6" ht="15.75" customHeight="1" x14ac:dyDescent="0.25">
      <c r="A844" s="19"/>
      <c r="B844" s="19"/>
      <c r="C844" s="19"/>
      <c r="D844" s="19"/>
      <c r="E844" s="19"/>
      <c r="F844" s="19"/>
    </row>
    <row r="845" spans="1:6" ht="15.75" customHeight="1" x14ac:dyDescent="0.25">
      <c r="A845" s="19"/>
      <c r="B845" s="19"/>
      <c r="C845" s="19"/>
      <c r="D845" s="19"/>
      <c r="E845" s="19"/>
      <c r="F845" s="19"/>
    </row>
    <row r="846" spans="1:6" ht="15.75" customHeight="1" x14ac:dyDescent="0.25">
      <c r="A846" s="19"/>
      <c r="B846" s="19"/>
      <c r="C846" s="19"/>
      <c r="D846" s="19"/>
      <c r="E846" s="19"/>
      <c r="F846" s="19"/>
    </row>
    <row r="847" spans="1:6" ht="15.75" customHeight="1" x14ac:dyDescent="0.25">
      <c r="A847" s="19"/>
      <c r="B847" s="19"/>
      <c r="C847" s="19"/>
      <c r="D847" s="19"/>
      <c r="E847" s="19"/>
      <c r="F847" s="19"/>
    </row>
    <row r="848" spans="1:6" ht="15.75" customHeight="1" x14ac:dyDescent="0.25">
      <c r="A848" s="19"/>
      <c r="B848" s="19"/>
      <c r="C848" s="19"/>
      <c r="D848" s="19"/>
      <c r="E848" s="19"/>
      <c r="F848" s="19"/>
    </row>
    <row r="849" spans="1:6" ht="15.75" customHeight="1" x14ac:dyDescent="0.25">
      <c r="A849" s="19"/>
      <c r="B849" s="19"/>
      <c r="C849" s="19"/>
      <c r="D849" s="19"/>
      <c r="E849" s="19"/>
      <c r="F849" s="19"/>
    </row>
    <row r="850" spans="1:6" ht="15.75" customHeight="1" x14ac:dyDescent="0.25">
      <c r="A850" s="19"/>
      <c r="B850" s="19"/>
      <c r="C850" s="19"/>
      <c r="D850" s="19"/>
      <c r="E850" s="19"/>
      <c r="F850" s="19"/>
    </row>
    <row r="851" spans="1:6" ht="15.75" customHeight="1" x14ac:dyDescent="0.25">
      <c r="A851" s="19"/>
      <c r="B851" s="19"/>
      <c r="C851" s="19"/>
      <c r="D851" s="19"/>
      <c r="E851" s="19"/>
      <c r="F851" s="19"/>
    </row>
    <row r="852" spans="1:6" ht="15.75" customHeight="1" x14ac:dyDescent="0.25">
      <c r="A852" s="19"/>
      <c r="B852" s="19"/>
      <c r="C852" s="19"/>
      <c r="D852" s="19"/>
      <c r="E852" s="19"/>
      <c r="F852" s="19"/>
    </row>
    <row r="853" spans="1:6" ht="15.75" customHeight="1" x14ac:dyDescent="0.25">
      <c r="A853" s="19"/>
      <c r="B853" s="19"/>
      <c r="C853" s="19"/>
      <c r="D853" s="19"/>
      <c r="E853" s="19"/>
      <c r="F853" s="19"/>
    </row>
    <row r="854" spans="1:6" ht="15.75" customHeight="1" x14ac:dyDescent="0.25">
      <c r="A854" s="19"/>
      <c r="B854" s="19"/>
      <c r="C854" s="19"/>
      <c r="D854" s="19"/>
      <c r="E854" s="19"/>
      <c r="F854" s="19"/>
    </row>
    <row r="855" spans="1:6" ht="15.75" customHeight="1" x14ac:dyDescent="0.25">
      <c r="A855" s="19"/>
      <c r="B855" s="19"/>
      <c r="C855" s="19"/>
      <c r="D855" s="19"/>
      <c r="E855" s="19"/>
      <c r="F855" s="19"/>
    </row>
    <row r="856" spans="1:6" ht="15.75" customHeight="1" x14ac:dyDescent="0.25">
      <c r="A856" s="19"/>
      <c r="B856" s="19"/>
      <c r="C856" s="19"/>
      <c r="D856" s="19"/>
      <c r="E856" s="19"/>
      <c r="F856" s="19"/>
    </row>
    <row r="857" spans="1:6" ht="15.75" customHeight="1" x14ac:dyDescent="0.25">
      <c r="A857" s="19"/>
      <c r="B857" s="19"/>
      <c r="C857" s="19"/>
      <c r="D857" s="19"/>
      <c r="E857" s="19"/>
      <c r="F857" s="19"/>
    </row>
    <row r="858" spans="1:6" ht="15.75" customHeight="1" x14ac:dyDescent="0.25">
      <c r="A858" s="19"/>
      <c r="B858" s="19"/>
      <c r="C858" s="19"/>
      <c r="D858" s="19"/>
      <c r="E858" s="19"/>
      <c r="F858" s="19"/>
    </row>
    <row r="859" spans="1:6" ht="15.75" customHeight="1" x14ac:dyDescent="0.25">
      <c r="A859" s="19"/>
      <c r="B859" s="19"/>
      <c r="C859" s="19"/>
      <c r="D859" s="19"/>
      <c r="E859" s="19"/>
      <c r="F859" s="19"/>
    </row>
    <row r="860" spans="1:6" ht="15.75" customHeight="1" x14ac:dyDescent="0.25">
      <c r="A860" s="19"/>
      <c r="B860" s="19"/>
      <c r="C860" s="19"/>
      <c r="D860" s="19"/>
      <c r="E860" s="19"/>
      <c r="F860" s="19"/>
    </row>
    <row r="861" spans="1:6" ht="15.75" customHeight="1" x14ac:dyDescent="0.25">
      <c r="A861" s="19"/>
      <c r="B861" s="19"/>
      <c r="C861" s="19"/>
      <c r="D861" s="19"/>
      <c r="E861" s="19"/>
      <c r="F861" s="19"/>
    </row>
    <row r="862" spans="1:6" ht="15.75" customHeight="1" x14ac:dyDescent="0.25">
      <c r="A862" s="19"/>
      <c r="B862" s="19"/>
      <c r="C862" s="19"/>
      <c r="D862" s="19"/>
      <c r="E862" s="19"/>
      <c r="F862" s="19"/>
    </row>
    <row r="863" spans="1:6" ht="15.75" customHeight="1" x14ac:dyDescent="0.25">
      <c r="A863" s="19"/>
      <c r="B863" s="19"/>
      <c r="C863" s="19"/>
      <c r="D863" s="19"/>
      <c r="E863" s="19"/>
      <c r="F863" s="19"/>
    </row>
    <row r="864" spans="1:6" ht="15.75" customHeight="1" x14ac:dyDescent="0.25">
      <c r="A864" s="19"/>
      <c r="B864" s="19"/>
      <c r="C864" s="19"/>
      <c r="D864" s="19"/>
      <c r="E864" s="19"/>
      <c r="F864" s="19"/>
    </row>
    <row r="865" spans="1:6" ht="15.75" customHeight="1" x14ac:dyDescent="0.25">
      <c r="A865" s="19"/>
      <c r="B865" s="19"/>
      <c r="C865" s="19"/>
      <c r="D865" s="19"/>
      <c r="E865" s="19"/>
      <c r="F865" s="19"/>
    </row>
    <row r="866" spans="1:6" ht="15.75" customHeight="1" x14ac:dyDescent="0.25">
      <c r="A866" s="19"/>
      <c r="B866" s="19"/>
      <c r="C866" s="19"/>
      <c r="D866" s="19"/>
      <c r="E866" s="19"/>
      <c r="F866" s="19"/>
    </row>
    <row r="867" spans="1:6" ht="15.75" customHeight="1" x14ac:dyDescent="0.25">
      <c r="A867" s="19"/>
      <c r="B867" s="19"/>
      <c r="C867" s="19"/>
      <c r="D867" s="19"/>
      <c r="E867" s="19"/>
      <c r="F867" s="19"/>
    </row>
    <row r="868" spans="1:6" ht="15.75" customHeight="1" x14ac:dyDescent="0.25">
      <c r="A868" s="19"/>
      <c r="B868" s="19"/>
      <c r="C868" s="19"/>
      <c r="D868" s="19"/>
      <c r="E868" s="19"/>
      <c r="F868" s="19"/>
    </row>
    <row r="869" spans="1:6" ht="15.75" customHeight="1" x14ac:dyDescent="0.25">
      <c r="A869" s="19"/>
      <c r="B869" s="19"/>
      <c r="C869" s="19"/>
      <c r="D869" s="19"/>
      <c r="E869" s="19"/>
      <c r="F869" s="19"/>
    </row>
    <row r="870" spans="1:6" ht="15.75" customHeight="1" x14ac:dyDescent="0.25">
      <c r="A870" s="19"/>
      <c r="B870" s="19"/>
      <c r="C870" s="19"/>
      <c r="D870" s="19"/>
      <c r="E870" s="19"/>
      <c r="F870" s="19"/>
    </row>
    <row r="871" spans="1:6" ht="15.75" customHeight="1" x14ac:dyDescent="0.25">
      <c r="A871" s="19"/>
      <c r="B871" s="19"/>
      <c r="C871" s="19"/>
      <c r="D871" s="19"/>
      <c r="E871" s="19"/>
      <c r="F871" s="19"/>
    </row>
    <row r="872" spans="1:6" ht="15.75" customHeight="1" x14ac:dyDescent="0.25">
      <c r="A872" s="19"/>
      <c r="B872" s="19"/>
      <c r="C872" s="19"/>
      <c r="D872" s="19"/>
      <c r="E872" s="19"/>
      <c r="F872" s="19"/>
    </row>
    <row r="873" spans="1:6" ht="15.75" customHeight="1" x14ac:dyDescent="0.25">
      <c r="A873" s="19"/>
      <c r="B873" s="19"/>
      <c r="C873" s="19"/>
      <c r="D873" s="19"/>
      <c r="E873" s="19"/>
      <c r="F873" s="19"/>
    </row>
    <row r="874" spans="1:6" ht="15.75" customHeight="1" x14ac:dyDescent="0.25">
      <c r="A874" s="19"/>
      <c r="B874" s="19"/>
      <c r="C874" s="19"/>
      <c r="D874" s="19"/>
      <c r="E874" s="19"/>
      <c r="F874" s="19"/>
    </row>
    <row r="875" spans="1:6" ht="15.75" customHeight="1" x14ac:dyDescent="0.25">
      <c r="A875" s="19"/>
      <c r="B875" s="19"/>
      <c r="C875" s="19"/>
      <c r="D875" s="19"/>
      <c r="E875" s="19"/>
      <c r="F875" s="19"/>
    </row>
    <row r="876" spans="1:6" ht="15.75" customHeight="1" x14ac:dyDescent="0.25">
      <c r="A876" s="19"/>
      <c r="B876" s="19"/>
      <c r="C876" s="19"/>
      <c r="D876" s="19"/>
      <c r="E876" s="19"/>
      <c r="F876" s="19"/>
    </row>
    <row r="877" spans="1:6" ht="15.75" customHeight="1" x14ac:dyDescent="0.25">
      <c r="A877" s="19"/>
      <c r="B877" s="19"/>
      <c r="C877" s="19"/>
      <c r="D877" s="19"/>
      <c r="E877" s="19"/>
      <c r="F877" s="19"/>
    </row>
    <row r="878" spans="1:6" ht="15.75" customHeight="1" x14ac:dyDescent="0.25">
      <c r="A878" s="19"/>
      <c r="B878" s="19"/>
      <c r="C878" s="19"/>
      <c r="D878" s="19"/>
      <c r="E878" s="19"/>
      <c r="F878" s="19"/>
    </row>
    <row r="879" spans="1:6" ht="15.75" customHeight="1" x14ac:dyDescent="0.25">
      <c r="A879" s="19"/>
      <c r="B879" s="19"/>
      <c r="C879" s="19"/>
      <c r="D879" s="19"/>
      <c r="E879" s="19"/>
      <c r="F879" s="19"/>
    </row>
    <row r="880" spans="1:6" ht="15.75" customHeight="1" x14ac:dyDescent="0.25">
      <c r="A880" s="19"/>
      <c r="B880" s="19"/>
      <c r="C880" s="19"/>
      <c r="D880" s="19"/>
      <c r="E880" s="19"/>
      <c r="F880" s="19"/>
    </row>
    <row r="881" spans="1:6" ht="15.75" customHeight="1" x14ac:dyDescent="0.25">
      <c r="A881" s="19"/>
      <c r="B881" s="19"/>
      <c r="C881" s="19"/>
      <c r="D881" s="19"/>
      <c r="E881" s="19"/>
      <c r="F881" s="19"/>
    </row>
    <row r="882" spans="1:6" ht="15.75" customHeight="1" x14ac:dyDescent="0.25">
      <c r="A882" s="19"/>
      <c r="B882" s="19"/>
      <c r="C882" s="19"/>
      <c r="D882" s="19"/>
      <c r="E882" s="19"/>
      <c r="F882" s="19"/>
    </row>
    <row r="883" spans="1:6" ht="15.75" customHeight="1" x14ac:dyDescent="0.25">
      <c r="A883" s="19"/>
      <c r="B883" s="19"/>
      <c r="C883" s="19"/>
      <c r="D883" s="19"/>
      <c r="E883" s="19"/>
      <c r="F883" s="19"/>
    </row>
    <row r="884" spans="1:6" ht="15.75" customHeight="1" x14ac:dyDescent="0.25">
      <c r="A884" s="19"/>
      <c r="B884" s="19"/>
      <c r="C884" s="19"/>
      <c r="D884" s="19"/>
      <c r="E884" s="19"/>
      <c r="F884" s="19"/>
    </row>
    <row r="885" spans="1:6" ht="15.75" customHeight="1" x14ac:dyDescent="0.25">
      <c r="A885" s="19"/>
      <c r="B885" s="19"/>
      <c r="C885" s="19"/>
      <c r="D885" s="19"/>
      <c r="E885" s="19"/>
      <c r="F885" s="19"/>
    </row>
    <row r="886" spans="1:6" ht="15.75" customHeight="1" x14ac:dyDescent="0.25">
      <c r="A886" s="19"/>
      <c r="B886" s="19"/>
      <c r="C886" s="19"/>
      <c r="D886" s="19"/>
      <c r="E886" s="19"/>
      <c r="F886" s="19"/>
    </row>
    <row r="887" spans="1:6" ht="15.75" customHeight="1" x14ac:dyDescent="0.25">
      <c r="A887" s="19"/>
      <c r="B887" s="19"/>
      <c r="C887" s="19"/>
      <c r="D887" s="19"/>
      <c r="E887" s="19"/>
      <c r="F887" s="19"/>
    </row>
    <row r="888" spans="1:6" ht="15.75" customHeight="1" x14ac:dyDescent="0.25">
      <c r="A888" s="19"/>
      <c r="B888" s="19"/>
      <c r="C888" s="19"/>
      <c r="D888" s="19"/>
      <c r="E888" s="19"/>
      <c r="F888" s="19"/>
    </row>
    <row r="889" spans="1:6" ht="15.75" customHeight="1" x14ac:dyDescent="0.25">
      <c r="A889" s="19"/>
      <c r="B889" s="19"/>
      <c r="C889" s="19"/>
      <c r="D889" s="19"/>
      <c r="E889" s="19"/>
      <c r="F889" s="19"/>
    </row>
    <row r="890" spans="1:6" ht="15.75" customHeight="1" x14ac:dyDescent="0.25">
      <c r="A890" s="19"/>
      <c r="B890" s="19"/>
      <c r="C890" s="19"/>
      <c r="D890" s="19"/>
      <c r="E890" s="19"/>
      <c r="F890" s="19"/>
    </row>
    <row r="891" spans="1:6" ht="15.75" customHeight="1" x14ac:dyDescent="0.25">
      <c r="A891" s="19"/>
      <c r="B891" s="19"/>
      <c r="C891" s="19"/>
      <c r="D891" s="19"/>
      <c r="E891" s="19"/>
      <c r="F891" s="19"/>
    </row>
    <row r="892" spans="1:6" ht="15.75" customHeight="1" x14ac:dyDescent="0.25">
      <c r="A892" s="19"/>
      <c r="B892" s="19"/>
      <c r="C892" s="19"/>
      <c r="D892" s="19"/>
      <c r="E892" s="19"/>
      <c r="F892" s="19"/>
    </row>
    <row r="893" spans="1:6" ht="15.75" customHeight="1" x14ac:dyDescent="0.25">
      <c r="A893" s="19"/>
      <c r="B893" s="19"/>
      <c r="C893" s="19"/>
      <c r="D893" s="19"/>
      <c r="E893" s="19"/>
      <c r="F893" s="19"/>
    </row>
    <row r="894" spans="1:6" ht="15.75" customHeight="1" x14ac:dyDescent="0.25">
      <c r="A894" s="19"/>
      <c r="B894" s="19"/>
      <c r="C894" s="19"/>
      <c r="D894" s="19"/>
      <c r="E894" s="19"/>
      <c r="F894" s="19"/>
    </row>
    <row r="895" spans="1:6" ht="15.75" customHeight="1" x14ac:dyDescent="0.25">
      <c r="A895" s="19"/>
      <c r="B895" s="19"/>
      <c r="C895" s="19"/>
      <c r="D895" s="19"/>
      <c r="E895" s="19"/>
      <c r="F895" s="19"/>
    </row>
    <row r="896" spans="1:6" ht="15.75" customHeight="1" x14ac:dyDescent="0.25">
      <c r="A896" s="19"/>
      <c r="B896" s="19"/>
      <c r="C896" s="19"/>
      <c r="D896" s="19"/>
      <c r="E896" s="19"/>
      <c r="F896" s="19"/>
    </row>
    <row r="897" spans="1:6" ht="15.75" customHeight="1" x14ac:dyDescent="0.25">
      <c r="A897" s="19"/>
      <c r="B897" s="19"/>
      <c r="C897" s="19"/>
      <c r="D897" s="19"/>
      <c r="E897" s="19"/>
      <c r="F897" s="19"/>
    </row>
    <row r="898" spans="1:6" ht="15.75" customHeight="1" x14ac:dyDescent="0.25">
      <c r="A898" s="19"/>
      <c r="B898" s="19"/>
      <c r="C898" s="19"/>
      <c r="D898" s="19"/>
      <c r="E898" s="19"/>
      <c r="F898" s="19"/>
    </row>
    <row r="899" spans="1:6" ht="15.75" customHeight="1" x14ac:dyDescent="0.25">
      <c r="A899" s="19"/>
      <c r="B899" s="19"/>
      <c r="C899" s="19"/>
      <c r="D899" s="19"/>
      <c r="E899" s="19"/>
      <c r="F899" s="19"/>
    </row>
    <row r="900" spans="1:6" ht="15.75" customHeight="1" x14ac:dyDescent="0.25">
      <c r="A900" s="19"/>
      <c r="B900" s="19"/>
      <c r="C900" s="19"/>
      <c r="D900" s="19"/>
      <c r="E900" s="19"/>
      <c r="F900" s="19"/>
    </row>
    <row r="901" spans="1:6" ht="15.75" customHeight="1" x14ac:dyDescent="0.25">
      <c r="A901" s="19"/>
      <c r="B901" s="19"/>
      <c r="C901" s="19"/>
      <c r="D901" s="19"/>
      <c r="E901" s="19"/>
      <c r="F901" s="19"/>
    </row>
    <row r="902" spans="1:6" ht="15.75" customHeight="1" x14ac:dyDescent="0.25">
      <c r="A902" s="19"/>
      <c r="B902" s="19"/>
      <c r="C902" s="19"/>
      <c r="D902" s="19"/>
      <c r="E902" s="19"/>
      <c r="F902" s="19"/>
    </row>
    <row r="903" spans="1:6" ht="15.75" customHeight="1" x14ac:dyDescent="0.25">
      <c r="A903" s="19"/>
      <c r="B903" s="19"/>
      <c r="C903" s="19"/>
      <c r="D903" s="19"/>
      <c r="E903" s="19"/>
      <c r="F903" s="19"/>
    </row>
    <row r="904" spans="1:6" ht="15.75" customHeight="1" x14ac:dyDescent="0.25">
      <c r="A904" s="19"/>
      <c r="B904" s="19"/>
      <c r="C904" s="19"/>
      <c r="D904" s="19"/>
      <c r="E904" s="19"/>
      <c r="F904" s="19"/>
    </row>
    <row r="905" spans="1:6" ht="15.75" customHeight="1" x14ac:dyDescent="0.25">
      <c r="A905" s="19"/>
      <c r="B905" s="19"/>
      <c r="C905" s="19"/>
      <c r="D905" s="19"/>
      <c r="E905" s="19"/>
      <c r="F905" s="19"/>
    </row>
    <row r="906" spans="1:6" ht="15.75" customHeight="1" x14ac:dyDescent="0.25">
      <c r="A906" s="19"/>
      <c r="B906" s="19"/>
      <c r="C906" s="19"/>
      <c r="D906" s="19"/>
      <c r="E906" s="19"/>
      <c r="F906" s="19"/>
    </row>
    <row r="907" spans="1:6" ht="15.75" customHeight="1" x14ac:dyDescent="0.25">
      <c r="A907" s="19"/>
      <c r="B907" s="19"/>
      <c r="C907" s="19"/>
      <c r="D907" s="19"/>
      <c r="E907" s="19"/>
      <c r="F907" s="19"/>
    </row>
    <row r="908" spans="1:6" ht="15.75" customHeight="1" x14ac:dyDescent="0.25">
      <c r="A908" s="19"/>
      <c r="B908" s="19"/>
      <c r="C908" s="19"/>
      <c r="D908" s="19"/>
      <c r="E908" s="19"/>
      <c r="F908" s="19"/>
    </row>
    <row r="909" spans="1:6" ht="15.75" customHeight="1" x14ac:dyDescent="0.25">
      <c r="A909" s="19"/>
      <c r="B909" s="19"/>
      <c r="C909" s="19"/>
      <c r="D909" s="19"/>
      <c r="E909" s="19"/>
      <c r="F909" s="19"/>
    </row>
    <row r="910" spans="1:6" ht="15.75" customHeight="1" x14ac:dyDescent="0.25">
      <c r="A910" s="19"/>
      <c r="B910" s="19"/>
      <c r="C910" s="19"/>
      <c r="D910" s="19"/>
      <c r="E910" s="19"/>
      <c r="F910" s="19"/>
    </row>
    <row r="911" spans="1:6" ht="15.75" customHeight="1" x14ac:dyDescent="0.25">
      <c r="A911" s="19"/>
      <c r="B911" s="19"/>
      <c r="C911" s="19"/>
      <c r="D911" s="19"/>
      <c r="E911" s="19"/>
      <c r="F911" s="19"/>
    </row>
    <row r="912" spans="1:6" ht="15.75" customHeight="1" x14ac:dyDescent="0.25">
      <c r="A912" s="19"/>
      <c r="B912" s="19"/>
      <c r="C912" s="19"/>
      <c r="D912" s="19"/>
      <c r="E912" s="19"/>
      <c r="F912" s="19"/>
    </row>
    <row r="913" spans="1:6" ht="15.75" customHeight="1" x14ac:dyDescent="0.25">
      <c r="A913" s="19"/>
      <c r="B913" s="19"/>
      <c r="C913" s="19"/>
      <c r="D913" s="19"/>
      <c r="E913" s="19"/>
      <c r="F913" s="19"/>
    </row>
    <row r="914" spans="1:6" ht="15.75" customHeight="1" x14ac:dyDescent="0.25">
      <c r="A914" s="19"/>
      <c r="B914" s="19"/>
      <c r="C914" s="19"/>
      <c r="D914" s="19"/>
      <c r="E914" s="19"/>
      <c r="F914" s="19"/>
    </row>
    <row r="915" spans="1:6" ht="15.75" customHeight="1" x14ac:dyDescent="0.25">
      <c r="A915" s="19"/>
      <c r="B915" s="19"/>
      <c r="C915" s="19"/>
      <c r="D915" s="19"/>
      <c r="E915" s="19"/>
      <c r="F915" s="19"/>
    </row>
    <row r="916" spans="1:6" ht="15.75" customHeight="1" x14ac:dyDescent="0.25">
      <c r="A916" s="19"/>
      <c r="B916" s="19"/>
      <c r="C916" s="19"/>
      <c r="D916" s="19"/>
      <c r="E916" s="19"/>
      <c r="F916" s="19"/>
    </row>
    <row r="917" spans="1:6" ht="15.75" customHeight="1" x14ac:dyDescent="0.25">
      <c r="A917" s="19"/>
      <c r="B917" s="19"/>
      <c r="C917" s="19"/>
      <c r="D917" s="19"/>
      <c r="E917" s="19"/>
      <c r="F917" s="19"/>
    </row>
    <row r="918" spans="1:6" ht="15.75" customHeight="1" x14ac:dyDescent="0.25">
      <c r="A918" s="19"/>
      <c r="B918" s="19"/>
      <c r="C918" s="19"/>
      <c r="D918" s="19"/>
      <c r="E918" s="19"/>
      <c r="F918" s="19"/>
    </row>
    <row r="919" spans="1:6" ht="15.75" customHeight="1" x14ac:dyDescent="0.25">
      <c r="A919" s="19"/>
      <c r="B919" s="19"/>
      <c r="C919" s="19"/>
      <c r="D919" s="19"/>
      <c r="E919" s="19"/>
      <c r="F919" s="19"/>
    </row>
    <row r="920" spans="1:6" ht="15.75" customHeight="1" x14ac:dyDescent="0.25">
      <c r="A920" s="19"/>
      <c r="B920" s="19"/>
      <c r="C920" s="19"/>
      <c r="D920" s="19"/>
      <c r="E920" s="19"/>
      <c r="F920" s="19"/>
    </row>
    <row r="921" spans="1:6" ht="15.75" customHeight="1" x14ac:dyDescent="0.25">
      <c r="A921" s="19"/>
      <c r="B921" s="19"/>
      <c r="C921" s="19"/>
      <c r="D921" s="19"/>
      <c r="E921" s="19"/>
      <c r="F921" s="19"/>
    </row>
    <row r="922" spans="1:6" ht="15.75" customHeight="1" x14ac:dyDescent="0.25">
      <c r="A922" s="19"/>
      <c r="B922" s="19"/>
      <c r="C922" s="19"/>
      <c r="D922" s="19"/>
      <c r="E922" s="19"/>
      <c r="F922" s="19"/>
    </row>
    <row r="923" spans="1:6" ht="15.75" customHeight="1" x14ac:dyDescent="0.25">
      <c r="A923" s="19"/>
      <c r="B923" s="19"/>
      <c r="C923" s="19"/>
      <c r="D923" s="19"/>
      <c r="E923" s="19"/>
      <c r="F923" s="19"/>
    </row>
    <row r="924" spans="1:6" ht="15.75" customHeight="1" x14ac:dyDescent="0.25">
      <c r="A924" s="19"/>
      <c r="B924" s="19"/>
      <c r="C924" s="19"/>
      <c r="D924" s="19"/>
      <c r="E924" s="19"/>
      <c r="F924" s="19"/>
    </row>
    <row r="925" spans="1:6" ht="15.75" customHeight="1" x14ac:dyDescent="0.25">
      <c r="A925" s="19"/>
      <c r="B925" s="19"/>
      <c r="C925" s="19"/>
      <c r="D925" s="19"/>
      <c r="E925" s="19"/>
      <c r="F925" s="19"/>
    </row>
    <row r="926" spans="1:6" ht="15.75" customHeight="1" x14ac:dyDescent="0.25">
      <c r="A926" s="19"/>
      <c r="B926" s="19"/>
      <c r="C926" s="19"/>
      <c r="D926" s="19"/>
      <c r="E926" s="19"/>
      <c r="F926" s="19"/>
    </row>
    <row r="927" spans="1:6" ht="15.75" customHeight="1" x14ac:dyDescent="0.25">
      <c r="A927" s="19"/>
      <c r="B927" s="19"/>
      <c r="C927" s="19"/>
      <c r="D927" s="19"/>
      <c r="E927" s="19"/>
      <c r="F927" s="19"/>
    </row>
    <row r="928" spans="1:6" ht="15.75" customHeight="1" x14ac:dyDescent="0.25">
      <c r="A928" s="19"/>
      <c r="B928" s="19"/>
      <c r="C928" s="19"/>
      <c r="D928" s="19"/>
      <c r="E928" s="19"/>
      <c r="F928" s="19"/>
    </row>
    <row r="929" spans="1:6" ht="15.75" customHeight="1" x14ac:dyDescent="0.25">
      <c r="A929" s="19"/>
      <c r="B929" s="19"/>
      <c r="C929" s="19"/>
      <c r="D929" s="19"/>
      <c r="E929" s="19"/>
      <c r="F929" s="19"/>
    </row>
    <row r="930" spans="1:6" ht="15.75" customHeight="1" x14ac:dyDescent="0.25">
      <c r="A930" s="19"/>
      <c r="B930" s="19"/>
      <c r="C930" s="19"/>
      <c r="D930" s="19"/>
      <c r="E930" s="19"/>
      <c r="F930" s="19"/>
    </row>
    <row r="931" spans="1:6" ht="15.75" customHeight="1" x14ac:dyDescent="0.25">
      <c r="A931" s="19"/>
      <c r="B931" s="19"/>
      <c r="C931" s="19"/>
      <c r="D931" s="19"/>
      <c r="E931" s="19"/>
      <c r="F931" s="19"/>
    </row>
    <row r="932" spans="1:6" ht="15.75" customHeight="1" x14ac:dyDescent="0.25">
      <c r="A932" s="19"/>
      <c r="B932" s="19"/>
      <c r="C932" s="19"/>
      <c r="D932" s="19"/>
      <c r="E932" s="19"/>
      <c r="F932" s="19"/>
    </row>
    <row r="933" spans="1:6" ht="15.75" customHeight="1" x14ac:dyDescent="0.25">
      <c r="A933" s="19"/>
      <c r="B933" s="19"/>
      <c r="C933" s="19"/>
      <c r="D933" s="19"/>
      <c r="E933" s="19"/>
      <c r="F933" s="19"/>
    </row>
    <row r="934" spans="1:6" ht="15.75" customHeight="1" x14ac:dyDescent="0.25">
      <c r="A934" s="19"/>
      <c r="B934" s="19"/>
      <c r="C934" s="19"/>
      <c r="D934" s="19"/>
      <c r="E934" s="19"/>
      <c r="F934" s="19"/>
    </row>
    <row r="935" spans="1:6" ht="15.75" customHeight="1" x14ac:dyDescent="0.25">
      <c r="A935" s="19"/>
      <c r="B935" s="19"/>
      <c r="C935" s="19"/>
      <c r="D935" s="19"/>
      <c r="E935" s="19"/>
      <c r="F935" s="19"/>
    </row>
    <row r="936" spans="1:6" ht="15.75" customHeight="1" x14ac:dyDescent="0.25">
      <c r="A936" s="19"/>
      <c r="B936" s="19"/>
      <c r="C936" s="19"/>
      <c r="D936" s="19"/>
      <c r="E936" s="19"/>
      <c r="F936" s="19"/>
    </row>
    <row r="937" spans="1:6" ht="15.75" customHeight="1" x14ac:dyDescent="0.25">
      <c r="A937" s="19"/>
      <c r="B937" s="19"/>
      <c r="C937" s="19"/>
      <c r="D937" s="19"/>
      <c r="E937" s="19"/>
      <c r="F937" s="19"/>
    </row>
    <row r="938" spans="1:6" ht="15.75" customHeight="1" x14ac:dyDescent="0.25">
      <c r="A938" s="19"/>
      <c r="B938" s="19"/>
      <c r="C938" s="19"/>
      <c r="D938" s="19"/>
      <c r="E938" s="19"/>
      <c r="F938" s="19"/>
    </row>
    <row r="939" spans="1:6" ht="15.75" customHeight="1" x14ac:dyDescent="0.25">
      <c r="A939" s="19"/>
      <c r="B939" s="19"/>
      <c r="C939" s="19"/>
      <c r="D939" s="19"/>
      <c r="E939" s="19"/>
      <c r="F939" s="19"/>
    </row>
    <row r="940" spans="1:6" ht="15.75" customHeight="1" x14ac:dyDescent="0.25">
      <c r="A940" s="19"/>
      <c r="B940" s="19"/>
      <c r="C940" s="19"/>
      <c r="D940" s="19"/>
      <c r="E940" s="19"/>
      <c r="F940" s="19"/>
    </row>
    <row r="941" spans="1:6" ht="15.75" customHeight="1" x14ac:dyDescent="0.25">
      <c r="A941" s="19"/>
      <c r="B941" s="19"/>
      <c r="C941" s="19"/>
      <c r="D941" s="19"/>
      <c r="E941" s="19"/>
      <c r="F941" s="19"/>
    </row>
    <row r="942" spans="1:6" ht="15.75" customHeight="1" x14ac:dyDescent="0.25">
      <c r="A942" s="19"/>
      <c r="B942" s="19"/>
      <c r="C942" s="19"/>
      <c r="D942" s="19"/>
      <c r="E942" s="19"/>
      <c r="F942" s="19"/>
    </row>
    <row r="943" spans="1:6" ht="15.75" customHeight="1" x14ac:dyDescent="0.25">
      <c r="A943" s="19"/>
      <c r="B943" s="19"/>
      <c r="C943" s="19"/>
      <c r="D943" s="19"/>
      <c r="E943" s="19"/>
      <c r="F943" s="19"/>
    </row>
    <row r="944" spans="1:6" ht="15.75" customHeight="1" x14ac:dyDescent="0.25">
      <c r="A944" s="19"/>
      <c r="B944" s="19"/>
      <c r="C944" s="19"/>
      <c r="D944" s="19"/>
      <c r="E944" s="19"/>
      <c r="F944" s="19"/>
    </row>
    <row r="945" spans="1:6" ht="15.75" customHeight="1" x14ac:dyDescent="0.25">
      <c r="A945" s="19"/>
      <c r="B945" s="19"/>
      <c r="C945" s="19"/>
      <c r="D945" s="19"/>
      <c r="E945" s="19"/>
      <c r="F945" s="19"/>
    </row>
    <row r="946" spans="1:6" ht="15.75" customHeight="1" x14ac:dyDescent="0.25">
      <c r="A946" s="19"/>
      <c r="B946" s="19"/>
      <c r="C946" s="19"/>
      <c r="D946" s="19"/>
      <c r="E946" s="19"/>
      <c r="F946" s="19"/>
    </row>
    <row r="947" spans="1:6" ht="15.75" customHeight="1" x14ac:dyDescent="0.25">
      <c r="A947" s="19"/>
      <c r="B947" s="19"/>
      <c r="C947" s="19"/>
      <c r="D947" s="19"/>
      <c r="E947" s="19"/>
      <c r="F947" s="19"/>
    </row>
    <row r="948" spans="1:6" ht="15.75" customHeight="1" x14ac:dyDescent="0.25">
      <c r="A948" s="19"/>
      <c r="B948" s="19"/>
      <c r="C948" s="19"/>
      <c r="D948" s="19"/>
      <c r="E948" s="19"/>
      <c r="F948" s="19"/>
    </row>
    <row r="949" spans="1:6" ht="15.75" customHeight="1" x14ac:dyDescent="0.25">
      <c r="A949" s="19"/>
      <c r="B949" s="19"/>
      <c r="C949" s="19"/>
      <c r="D949" s="19"/>
      <c r="E949" s="19"/>
      <c r="F949" s="19"/>
    </row>
    <row r="950" spans="1:6" ht="15.75" customHeight="1" x14ac:dyDescent="0.25">
      <c r="A950" s="19"/>
      <c r="B950" s="19"/>
      <c r="C950" s="19"/>
      <c r="D950" s="19"/>
      <c r="E950" s="19"/>
      <c r="F950" s="19"/>
    </row>
    <row r="951" spans="1:6" ht="15.75" customHeight="1" x14ac:dyDescent="0.25">
      <c r="A951" s="19"/>
      <c r="B951" s="19"/>
      <c r="C951" s="19"/>
      <c r="D951" s="19"/>
      <c r="E951" s="19"/>
      <c r="F951" s="19"/>
    </row>
    <row r="952" spans="1:6" ht="15.75" customHeight="1" x14ac:dyDescent="0.25">
      <c r="A952" s="19"/>
      <c r="B952" s="19"/>
      <c r="C952" s="19"/>
      <c r="D952" s="19"/>
      <c r="E952" s="19"/>
      <c r="F952" s="19"/>
    </row>
    <row r="953" spans="1:6" ht="15.75" customHeight="1" x14ac:dyDescent="0.25">
      <c r="A953" s="19"/>
      <c r="B953" s="19"/>
      <c r="C953" s="19"/>
      <c r="D953" s="19"/>
      <c r="E953" s="19"/>
      <c r="F953" s="19"/>
    </row>
    <row r="954" spans="1:6" ht="15.75" customHeight="1" x14ac:dyDescent="0.25">
      <c r="A954" s="19"/>
      <c r="B954" s="19"/>
      <c r="C954" s="19"/>
      <c r="D954" s="19"/>
      <c r="E954" s="19"/>
      <c r="F954" s="19"/>
    </row>
    <row r="955" spans="1:6" ht="15.75" customHeight="1" x14ac:dyDescent="0.25">
      <c r="A955" s="19"/>
      <c r="B955" s="19"/>
      <c r="C955" s="19"/>
      <c r="D955" s="19"/>
      <c r="E955" s="19"/>
      <c r="F955" s="19"/>
    </row>
    <row r="956" spans="1:6" ht="15.75" customHeight="1" x14ac:dyDescent="0.25">
      <c r="A956" s="19"/>
      <c r="B956" s="19"/>
      <c r="C956" s="19"/>
      <c r="D956" s="19"/>
      <c r="E956" s="19"/>
      <c r="F956" s="19"/>
    </row>
    <row r="957" spans="1:6" ht="15.75" customHeight="1" x14ac:dyDescent="0.25">
      <c r="A957" s="19"/>
      <c r="B957" s="19"/>
      <c r="C957" s="19"/>
      <c r="D957" s="19"/>
      <c r="E957" s="19"/>
      <c r="F957" s="19"/>
    </row>
    <row r="958" spans="1:6" ht="15.75" customHeight="1" x14ac:dyDescent="0.25">
      <c r="A958" s="19"/>
      <c r="B958" s="19"/>
      <c r="C958" s="19"/>
      <c r="D958" s="19"/>
      <c r="E958" s="19"/>
      <c r="F958" s="19"/>
    </row>
    <row r="959" spans="1:6" ht="15.75" customHeight="1" x14ac:dyDescent="0.25">
      <c r="A959" s="19"/>
      <c r="B959" s="19"/>
      <c r="C959" s="19"/>
      <c r="D959" s="19"/>
      <c r="E959" s="19"/>
      <c r="F959" s="19"/>
    </row>
    <row r="960" spans="1:6" ht="15.75" customHeight="1" x14ac:dyDescent="0.25">
      <c r="A960" s="19"/>
      <c r="B960" s="19"/>
      <c r="C960" s="19"/>
      <c r="D960" s="19"/>
      <c r="E960" s="19"/>
      <c r="F960" s="19"/>
    </row>
    <row r="961" spans="1:6" ht="15.75" customHeight="1" x14ac:dyDescent="0.25">
      <c r="A961" s="19"/>
      <c r="B961" s="19"/>
      <c r="C961" s="19"/>
      <c r="D961" s="19"/>
      <c r="E961" s="19"/>
      <c r="F961" s="19"/>
    </row>
    <row r="962" spans="1:6" ht="15.75" customHeight="1" x14ac:dyDescent="0.25">
      <c r="A962" s="19"/>
      <c r="B962" s="19"/>
      <c r="C962" s="19"/>
      <c r="D962" s="19"/>
      <c r="E962" s="19"/>
      <c r="F962" s="19"/>
    </row>
    <row r="963" spans="1:6" ht="15.75" customHeight="1" x14ac:dyDescent="0.25">
      <c r="A963" s="19"/>
      <c r="B963" s="19"/>
      <c r="C963" s="19"/>
      <c r="D963" s="19"/>
      <c r="E963" s="19"/>
      <c r="F963" s="19"/>
    </row>
    <row r="964" spans="1:6" ht="15.75" customHeight="1" x14ac:dyDescent="0.25">
      <c r="A964" s="19"/>
      <c r="B964" s="19"/>
      <c r="C964" s="19"/>
      <c r="D964" s="19"/>
      <c r="E964" s="19"/>
      <c r="F964" s="19"/>
    </row>
    <row r="965" spans="1:6" ht="15.75" customHeight="1" x14ac:dyDescent="0.25">
      <c r="A965" s="19"/>
      <c r="B965" s="19"/>
      <c r="C965" s="19"/>
      <c r="D965" s="19"/>
      <c r="E965" s="19"/>
      <c r="F965" s="19"/>
    </row>
    <row r="966" spans="1:6" ht="15.75" customHeight="1" x14ac:dyDescent="0.25">
      <c r="A966" s="19"/>
      <c r="B966" s="19"/>
      <c r="C966" s="19"/>
      <c r="D966" s="19"/>
      <c r="E966" s="19"/>
      <c r="F966" s="19"/>
    </row>
    <row r="967" spans="1:6" ht="15.75" customHeight="1" x14ac:dyDescent="0.25">
      <c r="A967" s="19"/>
      <c r="B967" s="19"/>
      <c r="C967" s="19"/>
      <c r="D967" s="19"/>
      <c r="E967" s="19"/>
      <c r="F967" s="19"/>
    </row>
    <row r="968" spans="1:6" ht="15.75" customHeight="1" x14ac:dyDescent="0.25">
      <c r="A968" s="19"/>
      <c r="B968" s="19"/>
      <c r="C968" s="19"/>
      <c r="D968" s="19"/>
      <c r="E968" s="19"/>
      <c r="F968" s="19"/>
    </row>
    <row r="969" spans="1:6" ht="15.75" customHeight="1" x14ac:dyDescent="0.25">
      <c r="A969" s="19"/>
      <c r="B969" s="19"/>
      <c r="C969" s="19"/>
      <c r="D969" s="19"/>
      <c r="E969" s="19"/>
      <c r="F969" s="19"/>
    </row>
    <row r="970" spans="1:6" ht="15.75" customHeight="1" x14ac:dyDescent="0.25">
      <c r="A970" s="19"/>
      <c r="B970" s="19"/>
      <c r="C970" s="19"/>
      <c r="D970" s="19"/>
      <c r="E970" s="19"/>
      <c r="F970" s="19"/>
    </row>
    <row r="971" spans="1:6" ht="15.75" customHeight="1" x14ac:dyDescent="0.25">
      <c r="A971" s="19"/>
      <c r="B971" s="19"/>
      <c r="C971" s="19"/>
      <c r="D971" s="19"/>
      <c r="E971" s="19"/>
      <c r="F971" s="19"/>
    </row>
    <row r="972" spans="1:6" ht="15.75" customHeight="1" x14ac:dyDescent="0.25">
      <c r="A972" s="19"/>
      <c r="B972" s="19"/>
      <c r="C972" s="19"/>
      <c r="D972" s="19"/>
      <c r="E972" s="19"/>
      <c r="F972" s="19"/>
    </row>
    <row r="973" spans="1:6" ht="15.75" customHeight="1" x14ac:dyDescent="0.25">
      <c r="A973" s="19"/>
      <c r="B973" s="19"/>
      <c r="C973" s="19"/>
      <c r="D973" s="19"/>
      <c r="E973" s="19"/>
      <c r="F973" s="19"/>
    </row>
    <row r="974" spans="1:6" ht="15.75" customHeight="1" x14ac:dyDescent="0.25">
      <c r="A974" s="19"/>
      <c r="B974" s="19"/>
      <c r="C974" s="19"/>
      <c r="D974" s="19"/>
      <c r="E974" s="19"/>
      <c r="F974" s="19"/>
    </row>
    <row r="975" spans="1:6" ht="15.75" customHeight="1" x14ac:dyDescent="0.25">
      <c r="A975" s="19"/>
      <c r="B975" s="19"/>
      <c r="C975" s="19"/>
      <c r="D975" s="19"/>
      <c r="E975" s="19"/>
      <c r="F975" s="19"/>
    </row>
    <row r="976" spans="1:6" ht="15.75" customHeight="1" x14ac:dyDescent="0.25">
      <c r="A976" s="19"/>
      <c r="B976" s="19"/>
      <c r="C976" s="19"/>
      <c r="D976" s="19"/>
      <c r="E976" s="19"/>
      <c r="F976" s="19"/>
    </row>
    <row r="977" spans="1:6" ht="15.75" customHeight="1" x14ac:dyDescent="0.25">
      <c r="A977" s="19"/>
      <c r="B977" s="19"/>
      <c r="C977" s="19"/>
      <c r="D977" s="19"/>
      <c r="E977" s="19"/>
      <c r="F977" s="19"/>
    </row>
    <row r="978" spans="1:6" ht="15.75" customHeight="1" x14ac:dyDescent="0.25">
      <c r="A978" s="19"/>
      <c r="B978" s="19"/>
      <c r="C978" s="19"/>
      <c r="D978" s="19"/>
      <c r="E978" s="19"/>
      <c r="F978" s="19"/>
    </row>
    <row r="979" spans="1:6" ht="15.75" customHeight="1" x14ac:dyDescent="0.25">
      <c r="A979" s="19"/>
      <c r="B979" s="19"/>
      <c r="C979" s="19"/>
      <c r="D979" s="19"/>
      <c r="E979" s="19"/>
      <c r="F979" s="19"/>
    </row>
    <row r="980" spans="1:6" ht="15.75" customHeight="1" x14ac:dyDescent="0.25">
      <c r="A980" s="19"/>
      <c r="B980" s="19"/>
      <c r="C980" s="19"/>
      <c r="D980" s="19"/>
      <c r="E980" s="19"/>
      <c r="F980" s="19"/>
    </row>
    <row r="981" spans="1:6" ht="15.75" customHeight="1" x14ac:dyDescent="0.25">
      <c r="A981" s="19"/>
      <c r="B981" s="19"/>
      <c r="C981" s="19"/>
      <c r="D981" s="19"/>
      <c r="E981" s="19"/>
      <c r="F981" s="19"/>
    </row>
    <row r="982" spans="1:6" ht="15.75" customHeight="1" x14ac:dyDescent="0.25">
      <c r="A982" s="19"/>
      <c r="B982" s="19"/>
      <c r="C982" s="19"/>
      <c r="D982" s="19"/>
      <c r="E982" s="19"/>
      <c r="F982" s="19"/>
    </row>
    <row r="983" spans="1:6" ht="15.75" customHeight="1" x14ac:dyDescent="0.25">
      <c r="A983" s="19"/>
      <c r="B983" s="19"/>
      <c r="C983" s="19"/>
      <c r="D983" s="19"/>
      <c r="E983" s="19"/>
      <c r="F983" s="19"/>
    </row>
    <row r="984" spans="1:6" ht="15.75" customHeight="1" x14ac:dyDescent="0.25">
      <c r="A984" s="19"/>
      <c r="B984" s="19"/>
      <c r="C984" s="19"/>
      <c r="D984" s="19"/>
      <c r="E984" s="19"/>
      <c r="F984" s="19"/>
    </row>
    <row r="985" spans="1:6" ht="15.75" customHeight="1" x14ac:dyDescent="0.25">
      <c r="A985" s="19"/>
      <c r="B985" s="19"/>
      <c r="C985" s="19"/>
      <c r="D985" s="19"/>
      <c r="E985" s="19"/>
      <c r="F985" s="19"/>
    </row>
    <row r="986" spans="1:6" ht="15.75" customHeight="1" x14ac:dyDescent="0.25">
      <c r="A986" s="19"/>
      <c r="B986" s="19"/>
      <c r="C986" s="19"/>
      <c r="D986" s="19"/>
      <c r="E986" s="19"/>
      <c r="F986" s="19"/>
    </row>
    <row r="987" spans="1:6" ht="15.75" customHeight="1" x14ac:dyDescent="0.25">
      <c r="A987" s="19"/>
      <c r="B987" s="19"/>
      <c r="C987" s="19"/>
      <c r="D987" s="19"/>
      <c r="E987" s="19"/>
      <c r="F987" s="19"/>
    </row>
    <row r="988" spans="1:6" ht="15.75" customHeight="1" x14ac:dyDescent="0.25">
      <c r="A988" s="19"/>
      <c r="B988" s="19"/>
      <c r="C988" s="19"/>
      <c r="D988" s="19"/>
      <c r="E988" s="19"/>
      <c r="F988" s="19"/>
    </row>
    <row r="989" spans="1:6" ht="15.75" customHeight="1" x14ac:dyDescent="0.25">
      <c r="A989" s="19"/>
      <c r="B989" s="19"/>
      <c r="C989" s="19"/>
      <c r="D989" s="19"/>
      <c r="E989" s="19"/>
      <c r="F989" s="19"/>
    </row>
    <row r="990" spans="1:6" ht="15.75" customHeight="1" x14ac:dyDescent="0.25">
      <c r="A990" s="19"/>
      <c r="B990" s="19"/>
      <c r="C990" s="19"/>
      <c r="D990" s="19"/>
      <c r="E990" s="19"/>
      <c r="F990" s="19"/>
    </row>
    <row r="991" spans="1:6" ht="15.75" customHeight="1" x14ac:dyDescent="0.25">
      <c r="A991" s="19"/>
      <c r="B991" s="19"/>
      <c r="C991" s="19"/>
      <c r="D991" s="19"/>
      <c r="E991" s="19"/>
      <c r="F991" s="19"/>
    </row>
    <row r="992" spans="1:6" ht="15.75" customHeight="1" x14ac:dyDescent="0.25">
      <c r="A992" s="19"/>
      <c r="B992" s="19"/>
      <c r="C992" s="19"/>
      <c r="D992" s="19"/>
      <c r="E992" s="19"/>
      <c r="F992" s="19"/>
    </row>
    <row r="993" spans="1:6" ht="15.75" customHeight="1" x14ac:dyDescent="0.25">
      <c r="A993" s="19"/>
      <c r="B993" s="19"/>
      <c r="C993" s="19"/>
      <c r="D993" s="19"/>
      <c r="E993" s="19"/>
      <c r="F993" s="19"/>
    </row>
    <row r="994" spans="1:6" ht="15.75" customHeight="1" x14ac:dyDescent="0.25">
      <c r="A994" s="19"/>
      <c r="B994" s="19"/>
      <c r="C994" s="19"/>
      <c r="D994" s="19"/>
      <c r="E994" s="19"/>
      <c r="F994" s="19"/>
    </row>
    <row r="995" spans="1:6" ht="15.75" customHeight="1" x14ac:dyDescent="0.25">
      <c r="A995" s="19"/>
      <c r="B995" s="19"/>
      <c r="C995" s="19"/>
      <c r="D995" s="19"/>
      <c r="E995" s="19"/>
      <c r="F995" s="19"/>
    </row>
    <row r="996" spans="1:6" ht="15.75" customHeight="1" x14ac:dyDescent="0.25">
      <c r="A996" s="19"/>
      <c r="B996" s="19"/>
      <c r="C996" s="19"/>
      <c r="D996" s="19"/>
      <c r="E996" s="19"/>
      <c r="F996" s="19"/>
    </row>
    <row r="997" spans="1:6" ht="15.75" customHeight="1" x14ac:dyDescent="0.25">
      <c r="A997" s="19"/>
      <c r="B997" s="19"/>
      <c r="C997" s="19"/>
      <c r="D997" s="19"/>
      <c r="E997" s="19"/>
      <c r="F997" s="19"/>
    </row>
    <row r="998" spans="1:6" ht="15.75" customHeight="1" x14ac:dyDescent="0.25">
      <c r="A998" s="19"/>
      <c r="B998" s="19"/>
      <c r="C998" s="19"/>
      <c r="D998" s="19"/>
      <c r="E998" s="19"/>
      <c r="F998" s="19"/>
    </row>
    <row r="999" spans="1:6" ht="15.75" customHeight="1" x14ac:dyDescent="0.25">
      <c r="A999" s="19"/>
      <c r="B999" s="19"/>
      <c r="C999" s="19"/>
      <c r="D999" s="19"/>
      <c r="E999" s="19"/>
      <c r="F999" s="19"/>
    </row>
  </sheetData>
  <autoFilter ref="B1:O504" xr:uid="{00000000-0001-0000-1100-000000000000}">
    <sortState xmlns:xlrd2="http://schemas.microsoft.com/office/spreadsheetml/2017/richdata2" ref="B2:O514">
      <sortCondition ref="E1:E504"/>
    </sortState>
  </autoFilter>
  <phoneticPr fontId="20" type="noConversion"/>
  <conditionalFormatting sqref="F2:F514">
    <cfRule type="cellIs" dxfId="0" priority="1" operator="equal">
      <formula>"KELUAR"</formula>
    </cfRule>
  </conditionalFormatting>
  <pageMargins left="0.23622047244094491" right="0.23622047244094491" top="0.35433070866141736" bottom="0.35433070866141736" header="0.31496062992125984" footer="0.31496062992125984"/>
  <pageSetup paperSize="10000" scale="76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983"/>
  <sheetViews>
    <sheetView topLeftCell="A52" workbookViewId="0">
      <selection activeCell="C65" sqref="C65"/>
    </sheetView>
  </sheetViews>
  <sheetFormatPr defaultColWidth="14.42578125" defaultRowHeight="15" customHeight="1" x14ac:dyDescent="0.25"/>
  <cols>
    <col min="1" max="1" width="4" customWidth="1"/>
    <col min="2" max="2" width="18.7109375" customWidth="1"/>
    <col min="3" max="3" width="45.42578125" customWidth="1"/>
    <col min="4" max="4" width="21.85546875" customWidth="1"/>
    <col min="5" max="5" width="17" customWidth="1"/>
    <col min="6" max="6" width="5.7109375" customWidth="1"/>
    <col min="7" max="7" width="42.140625" customWidth="1"/>
    <col min="8" max="8" width="22.140625" customWidth="1"/>
    <col min="9" max="9" width="25.140625" customWidth="1"/>
    <col min="10" max="10" width="5.5703125" customWidth="1"/>
    <col min="11" max="11" width="5.140625" customWidth="1"/>
    <col min="12" max="13" width="17.5703125" customWidth="1"/>
    <col min="14" max="14" width="23.5703125" customWidth="1"/>
    <col min="15" max="15" width="20.7109375" customWidth="1"/>
    <col min="16" max="16" width="40" customWidth="1"/>
    <col min="17" max="17" width="28.7109375" customWidth="1"/>
    <col min="18" max="18" width="15.5703125" customWidth="1"/>
    <col min="19" max="19" width="5.85546875" customWidth="1"/>
    <col min="20" max="26" width="8.7109375" customWidth="1"/>
  </cols>
  <sheetData>
    <row r="1" spans="1:26" x14ac:dyDescent="0.25">
      <c r="A1" s="61" t="s">
        <v>1558</v>
      </c>
      <c r="B1" s="61" t="s">
        <v>1559</v>
      </c>
      <c r="C1" s="61" t="s">
        <v>1560</v>
      </c>
      <c r="D1" s="61" t="s">
        <v>1561</v>
      </c>
      <c r="E1" s="61" t="s">
        <v>1562</v>
      </c>
      <c r="F1" s="61" t="s">
        <v>1563</v>
      </c>
      <c r="G1" s="61" t="s">
        <v>1564</v>
      </c>
      <c r="H1" s="61" t="s">
        <v>1565</v>
      </c>
      <c r="I1" s="61" t="s">
        <v>1566</v>
      </c>
      <c r="J1" s="61" t="s">
        <v>548</v>
      </c>
      <c r="K1" s="61" t="s">
        <v>1567</v>
      </c>
      <c r="L1" s="61" t="s">
        <v>1568</v>
      </c>
      <c r="M1" s="61" t="s">
        <v>1569</v>
      </c>
      <c r="N1" s="61" t="s">
        <v>1570</v>
      </c>
      <c r="O1" s="61" t="s">
        <v>1571</v>
      </c>
      <c r="P1" s="61" t="s">
        <v>1572</v>
      </c>
      <c r="Q1" s="61" t="s">
        <v>1573</v>
      </c>
      <c r="R1" s="61" t="s">
        <v>1574</v>
      </c>
      <c r="S1" s="61" t="s">
        <v>1575</v>
      </c>
      <c r="T1" s="61"/>
      <c r="U1" s="61"/>
      <c r="V1" s="61"/>
      <c r="W1" s="61"/>
      <c r="X1" s="61"/>
      <c r="Y1" s="61"/>
      <c r="Z1" s="61"/>
    </row>
    <row r="2" spans="1:26" x14ac:dyDescent="0.25">
      <c r="A2" s="62" t="s">
        <v>1576</v>
      </c>
      <c r="B2" s="62" t="s">
        <v>1577</v>
      </c>
      <c r="C2" s="62" t="s">
        <v>1578</v>
      </c>
      <c r="D2" s="62" t="s">
        <v>1579</v>
      </c>
      <c r="E2" s="62" t="s">
        <v>1580</v>
      </c>
      <c r="F2" s="62" t="s">
        <v>1581</v>
      </c>
      <c r="G2" s="62" t="s">
        <v>1582</v>
      </c>
      <c r="H2" s="62" t="s">
        <v>1583</v>
      </c>
      <c r="I2" s="62" t="s">
        <v>1584</v>
      </c>
      <c r="J2" s="62" t="s">
        <v>1585</v>
      </c>
      <c r="K2" s="62" t="s">
        <v>1586</v>
      </c>
      <c r="L2" s="62" t="s">
        <v>1587</v>
      </c>
      <c r="M2" s="62" t="s">
        <v>1588</v>
      </c>
      <c r="N2" s="62" t="s">
        <v>1589</v>
      </c>
      <c r="O2" s="62" t="s">
        <v>1590</v>
      </c>
      <c r="P2" s="62" t="s">
        <v>1591</v>
      </c>
      <c r="Q2" s="62" t="s">
        <v>1592</v>
      </c>
      <c r="R2" s="62" t="s">
        <v>1593</v>
      </c>
      <c r="S2" s="62" t="s">
        <v>1594</v>
      </c>
      <c r="T2" s="62"/>
      <c r="U2" s="62"/>
      <c r="V2" s="62"/>
      <c r="W2" s="62"/>
      <c r="X2" s="62"/>
      <c r="Y2" s="62"/>
      <c r="Z2" s="62"/>
    </row>
    <row r="3" spans="1:26" x14ac:dyDescent="0.25">
      <c r="A3" s="63" t="s">
        <v>552</v>
      </c>
      <c r="B3" s="63" t="s">
        <v>607</v>
      </c>
      <c r="C3" s="63" t="s">
        <v>472</v>
      </c>
      <c r="D3" s="63" t="s">
        <v>1595</v>
      </c>
      <c r="E3" s="63" t="s">
        <v>5056</v>
      </c>
      <c r="F3" s="63"/>
      <c r="G3" s="63" t="s">
        <v>1598</v>
      </c>
      <c r="H3" s="63" t="s">
        <v>1599</v>
      </c>
      <c r="I3" s="63" t="s">
        <v>1600</v>
      </c>
      <c r="J3" s="63" t="s">
        <v>556</v>
      </c>
      <c r="K3" s="63" t="s">
        <v>1601</v>
      </c>
      <c r="L3" s="63" t="s">
        <v>1602</v>
      </c>
      <c r="M3" s="63" t="s">
        <v>1603</v>
      </c>
      <c r="N3" s="63" t="s">
        <v>1595</v>
      </c>
      <c r="O3" s="63" t="s">
        <v>1604</v>
      </c>
      <c r="P3" s="63" t="s">
        <v>1605</v>
      </c>
      <c r="Q3" s="63" t="s">
        <v>1606</v>
      </c>
      <c r="R3" s="63" t="s">
        <v>1601</v>
      </c>
      <c r="S3" s="63" t="s">
        <v>5057</v>
      </c>
      <c r="T3" s="63"/>
      <c r="U3" s="63"/>
      <c r="V3" s="63"/>
      <c r="W3" s="63"/>
      <c r="X3" s="63"/>
      <c r="Y3" s="63"/>
      <c r="Z3" s="63"/>
    </row>
    <row r="4" spans="1:26" x14ac:dyDescent="0.25">
      <c r="A4" s="63" t="s">
        <v>554</v>
      </c>
      <c r="B4" s="63" t="s">
        <v>999</v>
      </c>
      <c r="C4" s="63" t="s">
        <v>410</v>
      </c>
      <c r="D4" s="63" t="s">
        <v>1595</v>
      </c>
      <c r="E4" s="63" t="s">
        <v>1608</v>
      </c>
      <c r="F4" s="63" t="s">
        <v>1597</v>
      </c>
      <c r="G4" s="63" t="s">
        <v>1609</v>
      </c>
      <c r="H4" s="63" t="s">
        <v>1610</v>
      </c>
      <c r="I4" s="63" t="s">
        <v>1611</v>
      </c>
      <c r="J4" s="63" t="s">
        <v>552</v>
      </c>
      <c r="K4" s="63" t="s">
        <v>1601</v>
      </c>
      <c r="L4" s="63" t="s">
        <v>1612</v>
      </c>
      <c r="M4" s="63" t="s">
        <v>1613</v>
      </c>
      <c r="N4" s="63" t="s">
        <v>1595</v>
      </c>
      <c r="O4" s="63" t="s">
        <v>1604</v>
      </c>
      <c r="P4" s="63" t="s">
        <v>1614</v>
      </c>
      <c r="Q4" s="63" t="s">
        <v>1615</v>
      </c>
      <c r="R4" s="63" t="s">
        <v>1601</v>
      </c>
      <c r="S4" s="63" t="s">
        <v>1616</v>
      </c>
      <c r="T4" s="63"/>
      <c r="U4" s="63"/>
      <c r="V4" s="63"/>
      <c r="W4" s="63"/>
      <c r="X4" s="63"/>
      <c r="Y4" s="63"/>
      <c r="Z4" s="63"/>
    </row>
    <row r="5" spans="1:26" x14ac:dyDescent="0.25">
      <c r="A5" s="63" t="s">
        <v>556</v>
      </c>
      <c r="B5" s="63" t="s">
        <v>663</v>
      </c>
      <c r="C5" s="63" t="s">
        <v>500</v>
      </c>
      <c r="D5" s="63" t="s">
        <v>1595</v>
      </c>
      <c r="E5" s="63" t="s">
        <v>1617</v>
      </c>
      <c r="F5" s="63" t="s">
        <v>1597</v>
      </c>
      <c r="G5" s="63" t="s">
        <v>1618</v>
      </c>
      <c r="H5" s="63" t="s">
        <v>1619</v>
      </c>
      <c r="I5" s="63" t="s">
        <v>1620</v>
      </c>
      <c r="J5" s="63" t="s">
        <v>560</v>
      </c>
      <c r="K5" s="63" t="s">
        <v>1601</v>
      </c>
      <c r="L5" s="63" t="s">
        <v>1621</v>
      </c>
      <c r="M5" s="63" t="s">
        <v>1622</v>
      </c>
      <c r="N5" s="63" t="s">
        <v>1595</v>
      </c>
      <c r="O5" s="63" t="s">
        <v>1604</v>
      </c>
      <c r="P5" s="63" t="s">
        <v>1623</v>
      </c>
      <c r="Q5" s="63" t="s">
        <v>1624</v>
      </c>
      <c r="R5" s="63" t="s">
        <v>1601</v>
      </c>
      <c r="S5" s="63" t="s">
        <v>1616</v>
      </c>
      <c r="T5" s="63"/>
      <c r="U5" s="63"/>
      <c r="V5" s="63"/>
      <c r="W5" s="63"/>
      <c r="X5" s="63"/>
      <c r="Y5" s="63"/>
      <c r="Z5" s="63"/>
    </row>
    <row r="6" spans="1:26" x14ac:dyDescent="0.25">
      <c r="A6" s="63" t="s">
        <v>558</v>
      </c>
      <c r="B6" s="63" t="s">
        <v>1107</v>
      </c>
      <c r="C6" s="63" t="s">
        <v>155</v>
      </c>
      <c r="D6" s="63" t="s">
        <v>1595</v>
      </c>
      <c r="E6" s="63" t="s">
        <v>1625</v>
      </c>
      <c r="F6" s="63" t="s">
        <v>1597</v>
      </c>
      <c r="G6" s="63" t="s">
        <v>1626</v>
      </c>
      <c r="H6" s="63" t="s">
        <v>1627</v>
      </c>
      <c r="I6" s="63" t="s">
        <v>1628</v>
      </c>
      <c r="J6" s="63" t="s">
        <v>554</v>
      </c>
      <c r="K6" s="63" t="s">
        <v>1601</v>
      </c>
      <c r="L6" s="63" t="s">
        <v>1629</v>
      </c>
      <c r="M6" s="63" t="s">
        <v>1630</v>
      </c>
      <c r="N6" s="63" t="s">
        <v>1595</v>
      </c>
      <c r="O6" s="63" t="s">
        <v>1604</v>
      </c>
      <c r="P6" s="63" t="s">
        <v>1631</v>
      </c>
      <c r="Q6" s="63" t="s">
        <v>1632</v>
      </c>
      <c r="R6" s="63" t="s">
        <v>1601</v>
      </c>
      <c r="S6" s="63" t="s">
        <v>1633</v>
      </c>
      <c r="T6" s="63"/>
      <c r="U6" s="63"/>
      <c r="V6" s="63"/>
      <c r="W6" s="63"/>
      <c r="X6" s="63"/>
      <c r="Y6" s="63"/>
      <c r="Z6" s="63"/>
    </row>
    <row r="7" spans="1:26" x14ac:dyDescent="0.25">
      <c r="A7" s="63" t="s">
        <v>560</v>
      </c>
      <c r="B7" s="63" t="s">
        <v>1185</v>
      </c>
      <c r="C7" s="63" t="s">
        <v>193</v>
      </c>
      <c r="D7" s="63" t="s">
        <v>1595</v>
      </c>
      <c r="E7" s="63" t="s">
        <v>1634</v>
      </c>
      <c r="F7" s="63" t="s">
        <v>1597</v>
      </c>
      <c r="G7" s="63" t="s">
        <v>1635</v>
      </c>
      <c r="H7" s="63" t="s">
        <v>1610</v>
      </c>
      <c r="I7" s="63" t="s">
        <v>1636</v>
      </c>
      <c r="J7" s="63" t="s">
        <v>558</v>
      </c>
      <c r="K7" s="63" t="s">
        <v>1601</v>
      </c>
      <c r="L7" s="63" t="s">
        <v>1637</v>
      </c>
      <c r="M7" s="63" t="s">
        <v>1595</v>
      </c>
      <c r="N7" s="63" t="s">
        <v>1595</v>
      </c>
      <c r="O7" s="63" t="s">
        <v>1604</v>
      </c>
      <c r="P7" s="63" t="s">
        <v>1638</v>
      </c>
      <c r="Q7" s="63" t="s">
        <v>1639</v>
      </c>
      <c r="R7" s="63" t="s">
        <v>1601</v>
      </c>
      <c r="S7" s="63" t="s">
        <v>1633</v>
      </c>
      <c r="T7" s="63"/>
      <c r="U7" s="63"/>
      <c r="V7" s="63"/>
      <c r="W7" s="63"/>
      <c r="X7" s="63"/>
      <c r="Y7" s="63"/>
      <c r="Z7" s="63"/>
    </row>
    <row r="8" spans="1:26" x14ac:dyDescent="0.25">
      <c r="A8" s="63" t="s">
        <v>562</v>
      </c>
      <c r="B8" s="63" t="s">
        <v>701</v>
      </c>
      <c r="C8" s="63" t="s">
        <v>518</v>
      </c>
      <c r="D8" s="63" t="s">
        <v>1595</v>
      </c>
      <c r="E8" s="63" t="s">
        <v>1640</v>
      </c>
      <c r="F8" s="63" t="s">
        <v>1597</v>
      </c>
      <c r="G8" s="63" t="s">
        <v>1641</v>
      </c>
      <c r="H8" s="63" t="s">
        <v>1610</v>
      </c>
      <c r="I8" s="63" t="s">
        <v>1636</v>
      </c>
      <c r="J8" s="63" t="s">
        <v>560</v>
      </c>
      <c r="K8" s="63" t="s">
        <v>1601</v>
      </c>
      <c r="L8" s="63" t="s">
        <v>1637</v>
      </c>
      <c r="M8" s="63" t="s">
        <v>1595</v>
      </c>
      <c r="N8" s="63" t="s">
        <v>1595</v>
      </c>
      <c r="O8" s="63" t="s">
        <v>1604</v>
      </c>
      <c r="P8" s="63" t="s">
        <v>1638</v>
      </c>
      <c r="Q8" s="63" t="s">
        <v>1642</v>
      </c>
      <c r="R8" s="63" t="s">
        <v>1601</v>
      </c>
      <c r="S8" s="63" t="s">
        <v>1633</v>
      </c>
      <c r="T8" s="63"/>
      <c r="U8" s="63"/>
      <c r="V8" s="63"/>
      <c r="W8" s="63"/>
      <c r="X8" s="63"/>
      <c r="Y8" s="63"/>
      <c r="Z8" s="63"/>
    </row>
    <row r="9" spans="1:26" x14ac:dyDescent="0.25">
      <c r="A9" s="63" t="s">
        <v>564</v>
      </c>
      <c r="B9" s="63" t="s">
        <v>615</v>
      </c>
      <c r="C9" s="63" t="s">
        <v>476</v>
      </c>
      <c r="D9" s="63" t="s">
        <v>1595</v>
      </c>
      <c r="E9" s="63" t="s">
        <v>1643</v>
      </c>
      <c r="F9" s="63" t="s">
        <v>1597</v>
      </c>
      <c r="G9" s="63" t="s">
        <v>1644</v>
      </c>
      <c r="H9" s="63" t="s">
        <v>1610</v>
      </c>
      <c r="I9" s="63" t="s">
        <v>1645</v>
      </c>
      <c r="J9" s="63" t="s">
        <v>556</v>
      </c>
      <c r="K9" s="63" t="s">
        <v>1601</v>
      </c>
      <c r="L9" s="63" t="s">
        <v>1646</v>
      </c>
      <c r="M9" s="63" t="s">
        <v>1647</v>
      </c>
      <c r="N9" s="63" t="s">
        <v>1595</v>
      </c>
      <c r="O9" s="63" t="s">
        <v>1604</v>
      </c>
      <c r="P9" s="63" t="s">
        <v>1648</v>
      </c>
      <c r="Q9" s="63" t="s">
        <v>1649</v>
      </c>
      <c r="R9" s="63" t="s">
        <v>1601</v>
      </c>
      <c r="S9" s="63" t="s">
        <v>1607</v>
      </c>
      <c r="T9" s="63"/>
      <c r="U9" s="63"/>
      <c r="V9" s="63"/>
      <c r="W9" s="63"/>
      <c r="X9" s="63"/>
      <c r="Y9" s="63"/>
      <c r="Z9" s="63"/>
    </row>
    <row r="10" spans="1:26" x14ac:dyDescent="0.25">
      <c r="A10" s="63" t="s">
        <v>566</v>
      </c>
      <c r="B10" s="63" t="s">
        <v>1089</v>
      </c>
      <c r="C10" s="63" t="s">
        <v>146</v>
      </c>
      <c r="D10" s="63" t="s">
        <v>1595</v>
      </c>
      <c r="E10" s="63" t="s">
        <v>1650</v>
      </c>
      <c r="F10" s="63" t="s">
        <v>1597</v>
      </c>
      <c r="G10" s="63" t="s">
        <v>1651</v>
      </c>
      <c r="H10" s="63" t="s">
        <v>1619</v>
      </c>
      <c r="I10" s="63" t="s">
        <v>1652</v>
      </c>
      <c r="J10" s="63" t="s">
        <v>554</v>
      </c>
      <c r="K10" s="63" t="s">
        <v>1601</v>
      </c>
      <c r="L10" s="63" t="s">
        <v>1653</v>
      </c>
      <c r="M10" s="63" t="s">
        <v>1654</v>
      </c>
      <c r="N10" s="63" t="s">
        <v>1595</v>
      </c>
      <c r="O10" s="63" t="s">
        <v>1604</v>
      </c>
      <c r="P10" s="63" t="s">
        <v>1655</v>
      </c>
      <c r="Q10" s="63" t="s">
        <v>1656</v>
      </c>
      <c r="R10" s="63" t="s">
        <v>1601</v>
      </c>
      <c r="S10" s="63" t="s">
        <v>1633</v>
      </c>
      <c r="T10" s="63"/>
      <c r="U10" s="63"/>
      <c r="V10" s="63"/>
      <c r="W10" s="63"/>
      <c r="X10" s="63"/>
      <c r="Y10" s="63"/>
      <c r="Z10" s="63"/>
    </row>
    <row r="11" spans="1:26" x14ac:dyDescent="0.25">
      <c r="A11" s="63" t="s">
        <v>568</v>
      </c>
      <c r="B11" s="63" t="s">
        <v>1273</v>
      </c>
      <c r="C11" s="63" t="s">
        <v>236</v>
      </c>
      <c r="D11" s="63" t="s">
        <v>1595</v>
      </c>
      <c r="E11" s="63" t="s">
        <v>1657</v>
      </c>
      <c r="F11" s="63" t="s">
        <v>1597</v>
      </c>
      <c r="G11" s="63" t="s">
        <v>1658</v>
      </c>
      <c r="H11" s="63" t="s">
        <v>1627</v>
      </c>
      <c r="I11" s="63" t="s">
        <v>1659</v>
      </c>
      <c r="J11" s="63" t="s">
        <v>558</v>
      </c>
      <c r="K11" s="63" t="s">
        <v>1601</v>
      </c>
      <c r="L11" s="63" t="s">
        <v>1660</v>
      </c>
      <c r="M11" s="63" t="s">
        <v>1654</v>
      </c>
      <c r="N11" s="63" t="s">
        <v>1595</v>
      </c>
      <c r="O11" s="63" t="s">
        <v>1604</v>
      </c>
      <c r="P11" s="63" t="s">
        <v>1655</v>
      </c>
      <c r="Q11" s="63" t="s">
        <v>1661</v>
      </c>
      <c r="R11" s="63" t="s">
        <v>1601</v>
      </c>
      <c r="S11" s="63" t="s">
        <v>1633</v>
      </c>
      <c r="T11" s="63"/>
      <c r="U11" s="63"/>
      <c r="V11" s="63"/>
      <c r="W11" s="63"/>
      <c r="X11" s="63"/>
      <c r="Y11" s="63"/>
      <c r="Z11" s="63"/>
    </row>
    <row r="12" spans="1:26" x14ac:dyDescent="0.25">
      <c r="A12" s="63" t="s">
        <v>570</v>
      </c>
      <c r="B12" s="63" t="s">
        <v>875</v>
      </c>
      <c r="C12" s="63" t="s">
        <v>350</v>
      </c>
      <c r="D12" s="63" t="s">
        <v>1595</v>
      </c>
      <c r="E12" s="63" t="s">
        <v>1662</v>
      </c>
      <c r="F12" s="63" t="s">
        <v>1597</v>
      </c>
      <c r="G12" s="63" t="s">
        <v>1663</v>
      </c>
      <c r="H12" s="63" t="s">
        <v>1610</v>
      </c>
      <c r="I12" s="63" t="s">
        <v>1664</v>
      </c>
      <c r="J12" s="63" t="s">
        <v>554</v>
      </c>
      <c r="K12" s="63" t="s">
        <v>1601</v>
      </c>
      <c r="L12" s="63" t="s">
        <v>1665</v>
      </c>
      <c r="M12" s="63" t="s">
        <v>1613</v>
      </c>
      <c r="N12" s="63" t="s">
        <v>1595</v>
      </c>
      <c r="O12" s="63" t="s">
        <v>1604</v>
      </c>
      <c r="P12" s="63" t="s">
        <v>1666</v>
      </c>
      <c r="Q12" s="63" t="s">
        <v>1667</v>
      </c>
      <c r="R12" s="63" t="s">
        <v>1601</v>
      </c>
      <c r="S12" s="63" t="s">
        <v>1616</v>
      </c>
      <c r="T12" s="63"/>
      <c r="U12" s="63"/>
      <c r="V12" s="63"/>
      <c r="W12" s="63"/>
      <c r="X12" s="63"/>
      <c r="Y12" s="63"/>
      <c r="Z12" s="63"/>
    </row>
    <row r="13" spans="1:26" x14ac:dyDescent="0.25">
      <c r="A13" s="63" t="s">
        <v>572</v>
      </c>
      <c r="B13" s="63" t="s">
        <v>1401</v>
      </c>
      <c r="C13" s="63" t="s">
        <v>298</v>
      </c>
      <c r="D13" s="63" t="s">
        <v>1595</v>
      </c>
      <c r="E13" s="63" t="s">
        <v>1668</v>
      </c>
      <c r="F13" s="63" t="s">
        <v>1597</v>
      </c>
      <c r="G13" s="63" t="s">
        <v>1669</v>
      </c>
      <c r="H13" s="63" t="s">
        <v>1610</v>
      </c>
      <c r="I13" s="63" t="s">
        <v>1654</v>
      </c>
      <c r="J13" s="63" t="s">
        <v>562</v>
      </c>
      <c r="K13" s="63" t="s">
        <v>1601</v>
      </c>
      <c r="L13" s="63" t="s">
        <v>1670</v>
      </c>
      <c r="M13" s="63" t="s">
        <v>1654</v>
      </c>
      <c r="N13" s="63" t="s">
        <v>1595</v>
      </c>
      <c r="O13" s="63" t="s">
        <v>1604</v>
      </c>
      <c r="P13" s="63" t="s">
        <v>1671</v>
      </c>
      <c r="Q13" s="63" t="s">
        <v>1672</v>
      </c>
      <c r="R13" s="63" t="s">
        <v>1601</v>
      </c>
      <c r="S13" s="63" t="s">
        <v>1633</v>
      </c>
      <c r="T13" s="63"/>
      <c r="U13" s="63"/>
      <c r="V13" s="63"/>
      <c r="W13" s="63"/>
      <c r="X13" s="63"/>
      <c r="Y13" s="63"/>
      <c r="Z13" s="63"/>
    </row>
    <row r="14" spans="1:26" x14ac:dyDescent="0.25">
      <c r="A14" s="63" t="s">
        <v>574</v>
      </c>
      <c r="B14" s="63" t="s">
        <v>1157</v>
      </c>
      <c r="C14" s="63" t="s">
        <v>179</v>
      </c>
      <c r="D14" s="63" t="s">
        <v>1595</v>
      </c>
      <c r="E14" s="63" t="s">
        <v>1673</v>
      </c>
      <c r="F14" s="63" t="s">
        <v>1597</v>
      </c>
      <c r="G14" s="63" t="s">
        <v>1674</v>
      </c>
      <c r="H14" s="63" t="s">
        <v>1619</v>
      </c>
      <c r="I14" s="63" t="s">
        <v>1675</v>
      </c>
      <c r="J14" s="63" t="s">
        <v>554</v>
      </c>
      <c r="K14" s="63" t="s">
        <v>1601</v>
      </c>
      <c r="L14" s="63" t="s">
        <v>1670</v>
      </c>
      <c r="M14" s="63" t="s">
        <v>1654</v>
      </c>
      <c r="N14" s="63" t="s">
        <v>1595</v>
      </c>
      <c r="O14" s="63" t="s">
        <v>1604</v>
      </c>
      <c r="P14" s="63" t="s">
        <v>1671</v>
      </c>
      <c r="Q14" s="63" t="s">
        <v>1676</v>
      </c>
      <c r="R14" s="63" t="s">
        <v>1601</v>
      </c>
      <c r="S14" s="63" t="s">
        <v>1633</v>
      </c>
      <c r="T14" s="63"/>
      <c r="U14" s="63"/>
      <c r="V14" s="63"/>
      <c r="W14" s="63"/>
      <c r="X14" s="63"/>
      <c r="Y14" s="63"/>
      <c r="Z14" s="63"/>
    </row>
    <row r="15" spans="1:26" x14ac:dyDescent="0.25">
      <c r="A15" s="63" t="s">
        <v>576</v>
      </c>
      <c r="B15" s="63" t="s">
        <v>1217</v>
      </c>
      <c r="C15" s="63" t="s">
        <v>208</v>
      </c>
      <c r="D15" s="63" t="s">
        <v>1595</v>
      </c>
      <c r="E15" s="63" t="s">
        <v>1677</v>
      </c>
      <c r="F15" s="63" t="s">
        <v>1597</v>
      </c>
      <c r="G15" s="63" t="s">
        <v>1678</v>
      </c>
      <c r="H15" s="63" t="s">
        <v>1610</v>
      </c>
      <c r="I15" s="63" t="s">
        <v>1679</v>
      </c>
      <c r="J15" s="63" t="s">
        <v>560</v>
      </c>
      <c r="K15" s="63" t="s">
        <v>1601</v>
      </c>
      <c r="L15" s="63" t="s">
        <v>1653</v>
      </c>
      <c r="M15" s="63" t="s">
        <v>1654</v>
      </c>
      <c r="N15" s="63" t="s">
        <v>1595</v>
      </c>
      <c r="O15" s="63" t="s">
        <v>1604</v>
      </c>
      <c r="P15" s="63" t="s">
        <v>1680</v>
      </c>
      <c r="Q15" s="63" t="s">
        <v>1681</v>
      </c>
      <c r="R15" s="63" t="s">
        <v>1601</v>
      </c>
      <c r="S15" s="63" t="s">
        <v>1633</v>
      </c>
      <c r="T15" s="63"/>
      <c r="U15" s="63"/>
      <c r="V15" s="63"/>
      <c r="W15" s="63"/>
      <c r="X15" s="63"/>
      <c r="Y15" s="63"/>
      <c r="Z15" s="63"/>
    </row>
    <row r="16" spans="1:26" x14ac:dyDescent="0.25">
      <c r="A16" s="63" t="s">
        <v>578</v>
      </c>
      <c r="B16" s="63" t="s">
        <v>1403</v>
      </c>
      <c r="C16" s="63" t="s">
        <v>5093</v>
      </c>
      <c r="D16" s="63" t="s">
        <v>1682</v>
      </c>
      <c r="E16" s="63" t="s">
        <v>1683</v>
      </c>
      <c r="F16" s="63" t="s">
        <v>1597</v>
      </c>
      <c r="G16" s="63" t="s">
        <v>1684</v>
      </c>
      <c r="H16" s="63" t="s">
        <v>1610</v>
      </c>
      <c r="I16" s="63" t="s">
        <v>1685</v>
      </c>
      <c r="J16" s="63" t="s">
        <v>1601</v>
      </c>
      <c r="K16" s="63" t="s">
        <v>1601</v>
      </c>
      <c r="L16" s="63" t="s">
        <v>1686</v>
      </c>
      <c r="M16" s="63" t="s">
        <v>1687</v>
      </c>
      <c r="N16" s="63" t="s">
        <v>1595</v>
      </c>
      <c r="O16" s="63" t="s">
        <v>1604</v>
      </c>
      <c r="P16" s="63" t="s">
        <v>1688</v>
      </c>
      <c r="Q16" s="63" t="s">
        <v>1689</v>
      </c>
      <c r="R16" s="63" t="s">
        <v>1601</v>
      </c>
      <c r="S16" s="63" t="s">
        <v>1633</v>
      </c>
      <c r="T16" s="63"/>
      <c r="U16" s="63"/>
      <c r="V16" s="63"/>
      <c r="W16" s="63"/>
      <c r="X16" s="63"/>
      <c r="Y16" s="63"/>
      <c r="Z16" s="63"/>
    </row>
    <row r="17" spans="1:26" x14ac:dyDescent="0.25">
      <c r="A17" s="63" t="s">
        <v>580</v>
      </c>
      <c r="B17" s="63" t="s">
        <v>1690</v>
      </c>
      <c r="C17" s="63" t="s">
        <v>1691</v>
      </c>
      <c r="D17" s="63" t="s">
        <v>1595</v>
      </c>
      <c r="E17" s="63" t="s">
        <v>1692</v>
      </c>
      <c r="F17" s="63" t="s">
        <v>1597</v>
      </c>
      <c r="G17" s="63" t="s">
        <v>1693</v>
      </c>
      <c r="H17" s="63" t="s">
        <v>1610</v>
      </c>
      <c r="I17" s="63" t="s">
        <v>1694</v>
      </c>
      <c r="J17" s="63" t="s">
        <v>790</v>
      </c>
      <c r="K17" s="63" t="s">
        <v>1601</v>
      </c>
      <c r="L17" s="63" t="s">
        <v>1695</v>
      </c>
      <c r="M17" s="63" t="s">
        <v>1696</v>
      </c>
      <c r="N17" s="63" t="s">
        <v>1595</v>
      </c>
      <c r="O17" s="63" t="s">
        <v>1604</v>
      </c>
      <c r="P17" s="63" t="s">
        <v>1697</v>
      </c>
      <c r="Q17" s="63" t="s">
        <v>1698</v>
      </c>
      <c r="R17" s="63" t="s">
        <v>1601</v>
      </c>
      <c r="S17" s="63" t="s">
        <v>1633</v>
      </c>
      <c r="T17" s="63"/>
      <c r="U17" s="63"/>
      <c r="V17" s="63"/>
      <c r="W17" s="63"/>
      <c r="X17" s="63"/>
      <c r="Y17" s="63"/>
      <c r="Z17" s="63"/>
    </row>
    <row r="18" spans="1:26" x14ac:dyDescent="0.25">
      <c r="A18" s="63" t="s">
        <v>582</v>
      </c>
      <c r="B18" s="63" t="s">
        <v>1399</v>
      </c>
      <c r="C18" s="63" t="s">
        <v>297</v>
      </c>
      <c r="D18" s="63" t="s">
        <v>1595</v>
      </c>
      <c r="E18" s="63" t="s">
        <v>1699</v>
      </c>
      <c r="F18" s="63" t="s">
        <v>1597</v>
      </c>
      <c r="G18" s="63" t="s">
        <v>1700</v>
      </c>
      <c r="H18" s="63" t="s">
        <v>1610</v>
      </c>
      <c r="I18" s="63" t="s">
        <v>1694</v>
      </c>
      <c r="J18" s="63" t="s">
        <v>802</v>
      </c>
      <c r="K18" s="63" t="s">
        <v>1601</v>
      </c>
      <c r="L18" s="63" t="s">
        <v>1695</v>
      </c>
      <c r="M18" s="63" t="s">
        <v>1696</v>
      </c>
      <c r="N18" s="63" t="s">
        <v>1595</v>
      </c>
      <c r="O18" s="63" t="s">
        <v>1604</v>
      </c>
      <c r="P18" s="63" t="s">
        <v>1701</v>
      </c>
      <c r="Q18" s="63" t="s">
        <v>1702</v>
      </c>
      <c r="R18" s="63" t="s">
        <v>1601</v>
      </c>
      <c r="S18" s="63" t="s">
        <v>1633</v>
      </c>
      <c r="T18" s="63"/>
      <c r="U18" s="63"/>
      <c r="V18" s="63"/>
      <c r="W18" s="63"/>
      <c r="X18" s="63"/>
      <c r="Y18" s="63"/>
      <c r="Z18" s="63"/>
    </row>
    <row r="19" spans="1:26" x14ac:dyDescent="0.25">
      <c r="A19" s="63" t="s">
        <v>584</v>
      </c>
      <c r="B19" s="63" t="s">
        <v>1147</v>
      </c>
      <c r="C19" s="63" t="s">
        <v>174</v>
      </c>
      <c r="D19" s="63" t="s">
        <v>1595</v>
      </c>
      <c r="E19" s="63" t="s">
        <v>1703</v>
      </c>
      <c r="F19" s="63" t="s">
        <v>1597</v>
      </c>
      <c r="G19" s="63" t="s">
        <v>1704</v>
      </c>
      <c r="H19" s="63" t="s">
        <v>1619</v>
      </c>
      <c r="I19" s="63" t="s">
        <v>1705</v>
      </c>
      <c r="J19" s="63" t="s">
        <v>1601</v>
      </c>
      <c r="K19" s="63" t="s">
        <v>1601</v>
      </c>
      <c r="L19" s="63" t="s">
        <v>1706</v>
      </c>
      <c r="M19" s="63" t="s">
        <v>1696</v>
      </c>
      <c r="N19" s="63" t="s">
        <v>1595</v>
      </c>
      <c r="O19" s="63" t="s">
        <v>1604</v>
      </c>
      <c r="P19" s="63" t="s">
        <v>1697</v>
      </c>
      <c r="Q19" s="63" t="s">
        <v>1707</v>
      </c>
      <c r="R19" s="63" t="s">
        <v>1601</v>
      </c>
      <c r="S19" s="63" t="s">
        <v>1633</v>
      </c>
      <c r="T19" s="63"/>
      <c r="U19" s="63"/>
      <c r="V19" s="63"/>
      <c r="W19" s="63"/>
      <c r="X19" s="63"/>
      <c r="Y19" s="63"/>
      <c r="Z19" s="63"/>
    </row>
    <row r="20" spans="1:26" x14ac:dyDescent="0.25">
      <c r="A20" s="63" t="s">
        <v>586</v>
      </c>
      <c r="B20" s="63" t="s">
        <v>833</v>
      </c>
      <c r="C20" s="63" t="s">
        <v>332</v>
      </c>
      <c r="D20" s="63" t="s">
        <v>1595</v>
      </c>
      <c r="E20" s="63" t="s">
        <v>1708</v>
      </c>
      <c r="F20" s="63" t="s">
        <v>1597</v>
      </c>
      <c r="G20" s="63" t="s">
        <v>1709</v>
      </c>
      <c r="H20" s="63" t="s">
        <v>1610</v>
      </c>
      <c r="I20" s="63" t="s">
        <v>1710</v>
      </c>
      <c r="J20" s="63" t="s">
        <v>552</v>
      </c>
      <c r="K20" s="63" t="s">
        <v>1601</v>
      </c>
      <c r="L20" s="63" t="s">
        <v>1670</v>
      </c>
      <c r="M20" s="63" t="s">
        <v>1654</v>
      </c>
      <c r="N20" s="63" t="s">
        <v>1595</v>
      </c>
      <c r="O20" s="63" t="s">
        <v>1604</v>
      </c>
      <c r="P20" s="63" t="s">
        <v>1655</v>
      </c>
      <c r="Q20" s="63" t="s">
        <v>1711</v>
      </c>
      <c r="R20" s="63" t="s">
        <v>1601</v>
      </c>
      <c r="S20" s="63" t="s">
        <v>1616</v>
      </c>
      <c r="T20" s="63"/>
      <c r="U20" s="63"/>
      <c r="V20" s="63"/>
      <c r="W20" s="63"/>
      <c r="X20" s="63"/>
      <c r="Y20" s="63"/>
      <c r="Z20" s="63"/>
    </row>
    <row r="21" spans="1:26" ht="15.75" customHeight="1" x14ac:dyDescent="0.25">
      <c r="A21" s="63" t="s">
        <v>588</v>
      </c>
      <c r="B21" s="63" t="s">
        <v>955</v>
      </c>
      <c r="C21" s="63" t="s">
        <v>388</v>
      </c>
      <c r="D21" s="63" t="s">
        <v>1712</v>
      </c>
      <c r="E21" s="63" t="s">
        <v>1713</v>
      </c>
      <c r="F21" s="63" t="s">
        <v>1597</v>
      </c>
      <c r="G21" s="63" t="s">
        <v>1714</v>
      </c>
      <c r="H21" s="63" t="s">
        <v>1627</v>
      </c>
      <c r="I21" s="63" t="s">
        <v>1715</v>
      </c>
      <c r="J21" s="63" t="s">
        <v>552</v>
      </c>
      <c r="K21" s="63" t="s">
        <v>1601</v>
      </c>
      <c r="L21" s="63" t="s">
        <v>1653</v>
      </c>
      <c r="M21" s="63" t="s">
        <v>1654</v>
      </c>
      <c r="N21" s="63" t="s">
        <v>1595</v>
      </c>
      <c r="O21" s="63" t="s">
        <v>1604</v>
      </c>
      <c r="P21" s="63" t="s">
        <v>1655</v>
      </c>
      <c r="Q21" s="63" t="s">
        <v>1716</v>
      </c>
      <c r="R21" s="63" t="s">
        <v>1601</v>
      </c>
      <c r="S21" s="63" t="s">
        <v>1616</v>
      </c>
      <c r="T21" s="63"/>
      <c r="U21" s="63"/>
      <c r="V21" s="63"/>
      <c r="W21" s="63"/>
      <c r="X21" s="63"/>
      <c r="Y21" s="63"/>
      <c r="Z21" s="63"/>
    </row>
    <row r="22" spans="1:26" ht="15.75" customHeight="1" x14ac:dyDescent="0.25">
      <c r="A22" s="63" t="s">
        <v>590</v>
      </c>
      <c r="B22" s="63" t="s">
        <v>1445</v>
      </c>
      <c r="C22" s="63" t="s">
        <v>80</v>
      </c>
      <c r="D22" s="63" t="s">
        <v>1595</v>
      </c>
      <c r="E22" s="63" t="s">
        <v>1720</v>
      </c>
      <c r="F22" s="63" t="s">
        <v>1597</v>
      </c>
      <c r="G22" s="63" t="s">
        <v>1721</v>
      </c>
      <c r="H22" s="63" t="s">
        <v>1610</v>
      </c>
      <c r="I22" s="63" t="s">
        <v>1645</v>
      </c>
      <c r="J22" s="63" t="s">
        <v>558</v>
      </c>
      <c r="K22" s="63" t="s">
        <v>1601</v>
      </c>
      <c r="L22" s="63" t="s">
        <v>1646</v>
      </c>
      <c r="M22" s="63" t="s">
        <v>1647</v>
      </c>
      <c r="N22" s="63" t="s">
        <v>1595</v>
      </c>
      <c r="O22" s="63" t="s">
        <v>1604</v>
      </c>
      <c r="P22" s="63" t="s">
        <v>1648</v>
      </c>
      <c r="Q22" s="63" t="s">
        <v>1722</v>
      </c>
      <c r="R22" s="63" t="s">
        <v>1601</v>
      </c>
      <c r="S22" s="63" t="s">
        <v>1723</v>
      </c>
      <c r="T22" s="63"/>
      <c r="U22" s="63"/>
      <c r="V22" s="63"/>
      <c r="W22" s="63"/>
      <c r="X22" s="63"/>
      <c r="Y22" s="63"/>
      <c r="Z22" s="63"/>
    </row>
    <row r="23" spans="1:26" ht="15.75" customHeight="1" x14ac:dyDescent="0.25">
      <c r="A23" s="63" t="s">
        <v>592</v>
      </c>
      <c r="B23" s="63" t="s">
        <v>1187</v>
      </c>
      <c r="C23" s="63" t="s">
        <v>194</v>
      </c>
      <c r="D23" s="63" t="s">
        <v>1595</v>
      </c>
      <c r="E23" s="63" t="s">
        <v>1724</v>
      </c>
      <c r="F23" s="63" t="s">
        <v>1597</v>
      </c>
      <c r="G23" s="63" t="s">
        <v>1725</v>
      </c>
      <c r="H23" s="63" t="s">
        <v>1610</v>
      </c>
      <c r="I23" s="63" t="s">
        <v>1685</v>
      </c>
      <c r="J23" s="63" t="s">
        <v>556</v>
      </c>
      <c r="K23" s="63" t="s">
        <v>1601</v>
      </c>
      <c r="L23" s="63" t="s">
        <v>1686</v>
      </c>
      <c r="M23" s="63" t="s">
        <v>1687</v>
      </c>
      <c r="N23" s="63" t="s">
        <v>1595</v>
      </c>
      <c r="O23" s="63" t="s">
        <v>1604</v>
      </c>
      <c r="P23" s="63" t="s">
        <v>1726</v>
      </c>
      <c r="Q23" s="63" t="s">
        <v>1727</v>
      </c>
      <c r="R23" s="63" t="s">
        <v>1601</v>
      </c>
      <c r="S23" s="63" t="s">
        <v>1633</v>
      </c>
      <c r="T23" s="63"/>
      <c r="U23" s="63"/>
      <c r="V23" s="63"/>
      <c r="W23" s="63"/>
      <c r="X23" s="63"/>
      <c r="Y23" s="63"/>
      <c r="Z23" s="63"/>
    </row>
    <row r="24" spans="1:26" ht="15.75" customHeight="1" x14ac:dyDescent="0.25">
      <c r="A24" s="63" t="s">
        <v>594</v>
      </c>
      <c r="B24" s="63" t="s">
        <v>897</v>
      </c>
      <c r="C24" s="63" t="s">
        <v>361</v>
      </c>
      <c r="D24" s="63" t="s">
        <v>1595</v>
      </c>
      <c r="E24" s="63" t="s">
        <v>1728</v>
      </c>
      <c r="F24" s="63" t="s">
        <v>1597</v>
      </c>
      <c r="G24" s="63" t="s">
        <v>1729</v>
      </c>
      <c r="H24" s="63" t="s">
        <v>1610</v>
      </c>
      <c r="I24" s="63" t="s">
        <v>1730</v>
      </c>
      <c r="J24" s="63" t="s">
        <v>560</v>
      </c>
      <c r="K24" s="63" t="s">
        <v>1601</v>
      </c>
      <c r="L24" s="63" t="s">
        <v>1595</v>
      </c>
      <c r="M24" s="63" t="s">
        <v>1595</v>
      </c>
      <c r="N24" s="63" t="s">
        <v>1595</v>
      </c>
      <c r="O24" s="63" t="s">
        <v>1604</v>
      </c>
      <c r="P24" s="63" t="s">
        <v>1731</v>
      </c>
      <c r="Q24" s="63" t="s">
        <v>1732</v>
      </c>
      <c r="R24" s="63" t="s">
        <v>1601</v>
      </c>
      <c r="S24" s="63" t="s">
        <v>1616</v>
      </c>
      <c r="T24" s="63"/>
      <c r="U24" s="63"/>
      <c r="V24" s="63"/>
      <c r="W24" s="63"/>
      <c r="X24" s="63"/>
      <c r="Y24" s="63"/>
      <c r="Z24" s="63"/>
    </row>
    <row r="25" spans="1:26" ht="15.75" customHeight="1" x14ac:dyDescent="0.25">
      <c r="A25" s="63" t="s">
        <v>596</v>
      </c>
      <c r="B25" s="63" t="s">
        <v>1213</v>
      </c>
      <c r="C25" s="63" t="s">
        <v>206</v>
      </c>
      <c r="D25" s="63" t="s">
        <v>1595</v>
      </c>
      <c r="E25" s="63" t="s">
        <v>1733</v>
      </c>
      <c r="F25" s="63" t="s">
        <v>1597</v>
      </c>
      <c r="G25" s="63" t="s">
        <v>1734</v>
      </c>
      <c r="H25" s="63" t="s">
        <v>1619</v>
      </c>
      <c r="I25" s="63" t="s">
        <v>1664</v>
      </c>
      <c r="J25" s="63" t="s">
        <v>558</v>
      </c>
      <c r="K25" s="63" t="s">
        <v>1601</v>
      </c>
      <c r="L25" s="63" t="s">
        <v>1665</v>
      </c>
      <c r="M25" s="63" t="s">
        <v>1613</v>
      </c>
      <c r="N25" s="63" t="s">
        <v>1595</v>
      </c>
      <c r="O25" s="63" t="s">
        <v>1604</v>
      </c>
      <c r="P25" s="63" t="s">
        <v>1701</v>
      </c>
      <c r="Q25" s="63" t="s">
        <v>1735</v>
      </c>
      <c r="R25" s="63" t="s">
        <v>1601</v>
      </c>
      <c r="S25" s="63" t="s">
        <v>1633</v>
      </c>
      <c r="T25" s="63"/>
      <c r="U25" s="63"/>
      <c r="V25" s="63"/>
      <c r="W25" s="63"/>
      <c r="X25" s="63"/>
      <c r="Y25" s="63"/>
      <c r="Z25" s="63"/>
    </row>
    <row r="26" spans="1:26" ht="15.75" customHeight="1" x14ac:dyDescent="0.25">
      <c r="A26" s="63" t="s">
        <v>598</v>
      </c>
      <c r="B26" s="63" t="s">
        <v>1049</v>
      </c>
      <c r="C26" s="63" t="s">
        <v>435</v>
      </c>
      <c r="D26" s="63" t="s">
        <v>1595</v>
      </c>
      <c r="E26" s="63" t="s">
        <v>1736</v>
      </c>
      <c r="F26" s="63" t="s">
        <v>1597</v>
      </c>
      <c r="G26" s="63" t="s">
        <v>1737</v>
      </c>
      <c r="H26" s="63" t="s">
        <v>1610</v>
      </c>
      <c r="I26" s="63" t="s">
        <v>1738</v>
      </c>
      <c r="J26" s="63" t="s">
        <v>554</v>
      </c>
      <c r="K26" s="63" t="s">
        <v>1601</v>
      </c>
      <c r="L26" s="63" t="s">
        <v>1612</v>
      </c>
      <c r="M26" s="63" t="s">
        <v>1613</v>
      </c>
      <c r="N26" s="63" t="s">
        <v>1595</v>
      </c>
      <c r="O26" s="63" t="s">
        <v>1604</v>
      </c>
      <c r="P26" s="63" t="s">
        <v>1666</v>
      </c>
      <c r="Q26" s="63" t="s">
        <v>1739</v>
      </c>
      <c r="R26" s="63" t="s">
        <v>1601</v>
      </c>
      <c r="S26" s="63" t="s">
        <v>1616</v>
      </c>
      <c r="T26" s="63"/>
      <c r="U26" s="63"/>
      <c r="V26" s="63"/>
      <c r="W26" s="63"/>
      <c r="X26" s="63"/>
      <c r="Y26" s="63"/>
      <c r="Z26" s="63"/>
    </row>
    <row r="27" spans="1:26" ht="15.75" customHeight="1" x14ac:dyDescent="0.25">
      <c r="A27" s="63" t="s">
        <v>600</v>
      </c>
      <c r="B27" s="63" t="s">
        <v>1153</v>
      </c>
      <c r="C27" s="63" t="s">
        <v>177</v>
      </c>
      <c r="D27" s="63" t="s">
        <v>1595</v>
      </c>
      <c r="E27" s="63" t="s">
        <v>1740</v>
      </c>
      <c r="F27" s="63" t="s">
        <v>1597</v>
      </c>
      <c r="G27" s="63" t="s">
        <v>1741</v>
      </c>
      <c r="H27" s="63" t="s">
        <v>1742</v>
      </c>
      <c r="I27" s="63" t="s">
        <v>1743</v>
      </c>
      <c r="J27" s="63" t="s">
        <v>556</v>
      </c>
      <c r="K27" s="63" t="s">
        <v>1601</v>
      </c>
      <c r="L27" s="63" t="s">
        <v>1744</v>
      </c>
      <c r="M27" s="63" t="s">
        <v>1647</v>
      </c>
      <c r="N27" s="63" t="s">
        <v>1595</v>
      </c>
      <c r="O27" s="63" t="s">
        <v>1604</v>
      </c>
      <c r="P27" s="63" t="s">
        <v>1745</v>
      </c>
      <c r="Q27" s="63" t="s">
        <v>1746</v>
      </c>
      <c r="R27" s="63" t="s">
        <v>1601</v>
      </c>
      <c r="S27" s="63" t="s">
        <v>1633</v>
      </c>
      <c r="T27" s="63"/>
      <c r="U27" s="63"/>
      <c r="V27" s="63"/>
      <c r="W27" s="63"/>
      <c r="X27" s="63"/>
      <c r="Y27" s="63"/>
      <c r="Z27" s="63"/>
    </row>
    <row r="28" spans="1:26" ht="15.75" customHeight="1" x14ac:dyDescent="0.25">
      <c r="A28" s="63" t="s">
        <v>602</v>
      </c>
      <c r="B28" s="63" t="s">
        <v>1357</v>
      </c>
      <c r="C28" s="63" t="s">
        <v>276</v>
      </c>
      <c r="D28" s="63" t="s">
        <v>1595</v>
      </c>
      <c r="E28" s="63" t="s">
        <v>1747</v>
      </c>
      <c r="F28" s="63" t="s">
        <v>1597</v>
      </c>
      <c r="G28" s="63" t="s">
        <v>1748</v>
      </c>
      <c r="H28" s="63" t="s">
        <v>1610</v>
      </c>
      <c r="I28" s="63" t="s">
        <v>1749</v>
      </c>
      <c r="J28" s="63" t="s">
        <v>614</v>
      </c>
      <c r="K28" s="63" t="s">
        <v>1601</v>
      </c>
      <c r="L28" s="63" t="s">
        <v>1750</v>
      </c>
      <c r="M28" s="63" t="s">
        <v>1687</v>
      </c>
      <c r="N28" s="63" t="s">
        <v>1595</v>
      </c>
      <c r="O28" s="63" t="s">
        <v>1604</v>
      </c>
      <c r="P28" s="63" t="s">
        <v>1751</v>
      </c>
      <c r="Q28" s="63" t="s">
        <v>1752</v>
      </c>
      <c r="R28" s="63" t="s">
        <v>1601</v>
      </c>
      <c r="S28" s="63" t="s">
        <v>1633</v>
      </c>
      <c r="T28" s="63"/>
      <c r="U28" s="63"/>
      <c r="V28" s="63"/>
      <c r="W28" s="63"/>
      <c r="X28" s="63"/>
      <c r="Y28" s="63"/>
      <c r="Z28" s="63"/>
    </row>
    <row r="29" spans="1:26" ht="15.75" customHeight="1" x14ac:dyDescent="0.25">
      <c r="A29" s="63" t="s">
        <v>604</v>
      </c>
      <c r="B29" s="63" t="s">
        <v>907</v>
      </c>
      <c r="C29" s="63" t="s">
        <v>365</v>
      </c>
      <c r="D29" s="63" t="s">
        <v>1595</v>
      </c>
      <c r="E29" s="63" t="s">
        <v>1753</v>
      </c>
      <c r="F29" s="63" t="s">
        <v>1597</v>
      </c>
      <c r="G29" s="63" t="s">
        <v>1754</v>
      </c>
      <c r="H29" s="63" t="s">
        <v>1610</v>
      </c>
      <c r="I29" s="63" t="s">
        <v>1664</v>
      </c>
      <c r="J29" s="63" t="s">
        <v>554</v>
      </c>
      <c r="K29" s="63" t="s">
        <v>1601</v>
      </c>
      <c r="L29" s="63" t="s">
        <v>1665</v>
      </c>
      <c r="M29" s="63" t="s">
        <v>1613</v>
      </c>
      <c r="N29" s="63" t="s">
        <v>1595</v>
      </c>
      <c r="O29" s="63" t="s">
        <v>1604</v>
      </c>
      <c r="P29" s="63" t="s">
        <v>1666</v>
      </c>
      <c r="Q29" s="63" t="s">
        <v>1601</v>
      </c>
      <c r="R29" s="63" t="s">
        <v>1601</v>
      </c>
      <c r="S29" s="63" t="s">
        <v>1616</v>
      </c>
      <c r="T29" s="63"/>
      <c r="U29" s="63"/>
      <c r="V29" s="63"/>
      <c r="W29" s="63"/>
      <c r="X29" s="63"/>
      <c r="Y29" s="63"/>
      <c r="Z29" s="63"/>
    </row>
    <row r="30" spans="1:26" ht="15.75" customHeight="1" x14ac:dyDescent="0.25">
      <c r="A30" s="63" t="s">
        <v>606</v>
      </c>
      <c r="B30" s="63" t="s">
        <v>881</v>
      </c>
      <c r="C30" s="63" t="s">
        <v>353</v>
      </c>
      <c r="D30" s="63" t="s">
        <v>1595</v>
      </c>
      <c r="E30" s="63" t="s">
        <v>1755</v>
      </c>
      <c r="F30" s="63" t="s">
        <v>1597</v>
      </c>
      <c r="G30" s="63" t="s">
        <v>1756</v>
      </c>
      <c r="H30" s="63" t="s">
        <v>1610</v>
      </c>
      <c r="I30" s="63" t="s">
        <v>1757</v>
      </c>
      <c r="J30" s="63" t="s">
        <v>558</v>
      </c>
      <c r="K30" s="63" t="s">
        <v>1601</v>
      </c>
      <c r="L30" s="63" t="s">
        <v>1758</v>
      </c>
      <c r="M30" s="63" t="s">
        <v>1613</v>
      </c>
      <c r="N30" s="63" t="s">
        <v>1595</v>
      </c>
      <c r="O30" s="63" t="s">
        <v>1604</v>
      </c>
      <c r="P30" s="63" t="s">
        <v>1666</v>
      </c>
      <c r="Q30" s="63" t="s">
        <v>1759</v>
      </c>
      <c r="R30" s="63" t="s">
        <v>1601</v>
      </c>
      <c r="S30" s="63" t="s">
        <v>1616</v>
      </c>
      <c r="T30" s="63"/>
      <c r="U30" s="63"/>
      <c r="V30" s="63"/>
      <c r="W30" s="63"/>
      <c r="X30" s="63"/>
      <c r="Y30" s="63"/>
      <c r="Z30" s="63"/>
    </row>
    <row r="31" spans="1:26" ht="15.75" customHeight="1" x14ac:dyDescent="0.25">
      <c r="A31" s="63" t="s">
        <v>608</v>
      </c>
      <c r="B31" s="63" t="s">
        <v>1193</v>
      </c>
      <c r="C31" s="63" t="s">
        <v>196</v>
      </c>
      <c r="D31" s="63" t="s">
        <v>1595</v>
      </c>
      <c r="E31" s="63" t="s">
        <v>1760</v>
      </c>
      <c r="F31" s="63" t="s">
        <v>1597</v>
      </c>
      <c r="G31" s="63" t="s">
        <v>1761</v>
      </c>
      <c r="H31" s="63" t="s">
        <v>1610</v>
      </c>
      <c r="I31" s="63" t="s">
        <v>1762</v>
      </c>
      <c r="J31" s="63" t="s">
        <v>560</v>
      </c>
      <c r="K31" s="63" t="s">
        <v>1601</v>
      </c>
      <c r="L31" s="63" t="s">
        <v>1637</v>
      </c>
      <c r="M31" s="63" t="s">
        <v>1595</v>
      </c>
      <c r="N31" s="63" t="s">
        <v>1595</v>
      </c>
      <c r="O31" s="63" t="s">
        <v>1604</v>
      </c>
      <c r="P31" s="63" t="s">
        <v>1638</v>
      </c>
      <c r="Q31" s="63" t="s">
        <v>1763</v>
      </c>
      <c r="R31" s="63" t="s">
        <v>1601</v>
      </c>
      <c r="S31" s="63" t="s">
        <v>1633</v>
      </c>
      <c r="T31" s="63"/>
      <c r="U31" s="63"/>
      <c r="V31" s="63"/>
      <c r="W31" s="63"/>
      <c r="X31" s="63"/>
      <c r="Y31" s="63"/>
      <c r="Z31" s="63"/>
    </row>
    <row r="32" spans="1:26" ht="15.75" customHeight="1" x14ac:dyDescent="0.25">
      <c r="A32" s="63" t="s">
        <v>610</v>
      </c>
      <c r="B32" s="63" t="s">
        <v>639</v>
      </c>
      <c r="C32" s="63" t="s">
        <v>488</v>
      </c>
      <c r="D32" s="63" t="s">
        <v>1595</v>
      </c>
      <c r="E32" s="63" t="s">
        <v>1764</v>
      </c>
      <c r="F32" s="63" t="s">
        <v>1597</v>
      </c>
      <c r="G32" s="63" t="s">
        <v>1765</v>
      </c>
      <c r="H32" s="63" t="s">
        <v>1610</v>
      </c>
      <c r="I32" s="63" t="s">
        <v>1762</v>
      </c>
      <c r="J32" s="63" t="s">
        <v>564</v>
      </c>
      <c r="K32" s="63" t="s">
        <v>1601</v>
      </c>
      <c r="L32" s="63" t="s">
        <v>1766</v>
      </c>
      <c r="M32" s="63" t="s">
        <v>1595</v>
      </c>
      <c r="N32" s="63" t="s">
        <v>1595</v>
      </c>
      <c r="O32" s="63" t="s">
        <v>1604</v>
      </c>
      <c r="P32" s="63" t="s">
        <v>1767</v>
      </c>
      <c r="Q32" s="63" t="s">
        <v>1768</v>
      </c>
      <c r="R32" s="63" t="s">
        <v>1601</v>
      </c>
      <c r="S32" s="63" t="s">
        <v>1607</v>
      </c>
      <c r="T32" s="63"/>
      <c r="U32" s="63"/>
      <c r="V32" s="63"/>
      <c r="W32" s="63"/>
      <c r="X32" s="63"/>
      <c r="Y32" s="63"/>
      <c r="Z32" s="63"/>
    </row>
    <row r="33" spans="1:26" ht="15.75" customHeight="1" x14ac:dyDescent="0.25">
      <c r="A33" s="63" t="s">
        <v>612</v>
      </c>
      <c r="B33" s="63" t="s">
        <v>1315</v>
      </c>
      <c r="C33" s="63" t="s">
        <v>256</v>
      </c>
      <c r="D33" s="63" t="s">
        <v>1769</v>
      </c>
      <c r="E33" s="63" t="s">
        <v>1770</v>
      </c>
      <c r="F33" s="63" t="s">
        <v>1597</v>
      </c>
      <c r="G33" s="63" t="s">
        <v>1771</v>
      </c>
      <c r="H33" s="63" t="s">
        <v>1610</v>
      </c>
      <c r="I33" s="63" t="s">
        <v>1772</v>
      </c>
      <c r="J33" s="63" t="s">
        <v>570</v>
      </c>
      <c r="K33" s="63" t="s">
        <v>560</v>
      </c>
      <c r="L33" s="63" t="s">
        <v>1773</v>
      </c>
      <c r="M33" s="63" t="s">
        <v>1774</v>
      </c>
      <c r="N33" s="63" t="s">
        <v>1775</v>
      </c>
      <c r="O33" s="63" t="s">
        <v>1776</v>
      </c>
      <c r="P33" s="63" t="s">
        <v>1777</v>
      </c>
      <c r="Q33" s="63" t="s">
        <v>1778</v>
      </c>
      <c r="R33" s="63" t="s">
        <v>1601</v>
      </c>
      <c r="S33" s="63" t="s">
        <v>1633</v>
      </c>
      <c r="T33" s="63"/>
      <c r="U33" s="63"/>
      <c r="V33" s="63"/>
      <c r="W33" s="63"/>
      <c r="X33" s="63"/>
      <c r="Y33" s="63"/>
      <c r="Z33" s="63"/>
    </row>
    <row r="34" spans="1:26" ht="15.75" customHeight="1" x14ac:dyDescent="0.25">
      <c r="A34" s="63" t="s">
        <v>614</v>
      </c>
      <c r="B34" s="63" t="s">
        <v>1779</v>
      </c>
      <c r="C34" s="63" t="s">
        <v>1780</v>
      </c>
      <c r="D34" s="63" t="s">
        <v>1595</v>
      </c>
      <c r="E34" s="63" t="s">
        <v>1781</v>
      </c>
      <c r="F34" s="63" t="s">
        <v>1597</v>
      </c>
      <c r="G34" s="63" t="s">
        <v>1782</v>
      </c>
      <c r="H34" s="63" t="s">
        <v>1610</v>
      </c>
      <c r="I34" s="63" t="s">
        <v>1783</v>
      </c>
      <c r="J34" s="63" t="s">
        <v>554</v>
      </c>
      <c r="K34" s="63" t="s">
        <v>1601</v>
      </c>
      <c r="L34" s="63" t="s">
        <v>1784</v>
      </c>
      <c r="M34" s="63" t="s">
        <v>1785</v>
      </c>
      <c r="N34" s="63" t="s">
        <v>1595</v>
      </c>
      <c r="O34" s="63" t="s">
        <v>1604</v>
      </c>
      <c r="P34" s="63" t="s">
        <v>1786</v>
      </c>
      <c r="Q34" s="63" t="s">
        <v>1787</v>
      </c>
      <c r="R34" s="63" t="s">
        <v>1601</v>
      </c>
      <c r="S34" s="63" t="s">
        <v>1616</v>
      </c>
      <c r="T34" s="63"/>
      <c r="U34" s="63"/>
      <c r="V34" s="63"/>
      <c r="W34" s="63"/>
      <c r="X34" s="63"/>
      <c r="Y34" s="63"/>
      <c r="Z34" s="63"/>
    </row>
    <row r="35" spans="1:26" ht="15.75" customHeight="1" x14ac:dyDescent="0.25">
      <c r="A35" s="63" t="s">
        <v>616</v>
      </c>
      <c r="B35" s="63" t="s">
        <v>757</v>
      </c>
      <c r="C35" s="63" t="s">
        <v>43</v>
      </c>
      <c r="D35" s="63" t="s">
        <v>1595</v>
      </c>
      <c r="E35" s="63" t="s">
        <v>1788</v>
      </c>
      <c r="F35" s="63" t="s">
        <v>1597</v>
      </c>
      <c r="G35" s="63" t="s">
        <v>1789</v>
      </c>
      <c r="H35" s="63" t="s">
        <v>1619</v>
      </c>
      <c r="I35" s="63" t="s">
        <v>1762</v>
      </c>
      <c r="J35" s="63" t="s">
        <v>562</v>
      </c>
      <c r="K35" s="63" t="s">
        <v>1601</v>
      </c>
      <c r="L35" s="63" t="s">
        <v>1766</v>
      </c>
      <c r="M35" s="63" t="s">
        <v>1595</v>
      </c>
      <c r="N35" s="63" t="s">
        <v>1595</v>
      </c>
      <c r="O35" s="63" t="s">
        <v>1604</v>
      </c>
      <c r="P35" s="63" t="s">
        <v>1790</v>
      </c>
      <c r="Q35" s="63" t="s">
        <v>1791</v>
      </c>
      <c r="R35" s="63" t="s">
        <v>1601</v>
      </c>
      <c r="S35" s="63" t="s">
        <v>538</v>
      </c>
      <c r="T35" s="63"/>
      <c r="U35" s="63"/>
      <c r="V35" s="63"/>
      <c r="W35" s="63"/>
      <c r="X35" s="63"/>
      <c r="Y35" s="63"/>
      <c r="Z35" s="63"/>
    </row>
    <row r="36" spans="1:26" ht="15.75" customHeight="1" x14ac:dyDescent="0.25">
      <c r="A36" s="63" t="s">
        <v>618</v>
      </c>
      <c r="B36" s="63" t="s">
        <v>1237</v>
      </c>
      <c r="C36" s="63" t="s">
        <v>218</v>
      </c>
      <c r="D36" s="63" t="s">
        <v>1595</v>
      </c>
      <c r="E36" s="63" t="s">
        <v>1792</v>
      </c>
      <c r="F36" s="63" t="s">
        <v>1597</v>
      </c>
      <c r="G36" s="63" t="s">
        <v>1793</v>
      </c>
      <c r="H36" s="63" t="s">
        <v>1619</v>
      </c>
      <c r="I36" s="63" t="s">
        <v>1794</v>
      </c>
      <c r="J36" s="63" t="s">
        <v>562</v>
      </c>
      <c r="K36" s="63" t="s">
        <v>1601</v>
      </c>
      <c r="L36" s="63" t="s">
        <v>1784</v>
      </c>
      <c r="M36" s="63" t="s">
        <v>1785</v>
      </c>
      <c r="N36" s="63" t="s">
        <v>1595</v>
      </c>
      <c r="O36" s="63" t="s">
        <v>1604</v>
      </c>
      <c r="P36" s="63" t="s">
        <v>1795</v>
      </c>
      <c r="Q36" s="63" t="s">
        <v>1796</v>
      </c>
      <c r="R36" s="63" t="s">
        <v>1601</v>
      </c>
      <c r="S36" s="63" t="s">
        <v>1633</v>
      </c>
      <c r="T36" s="63"/>
      <c r="U36" s="63"/>
      <c r="V36" s="63"/>
      <c r="W36" s="63"/>
      <c r="X36" s="63"/>
      <c r="Y36" s="63"/>
      <c r="Z36" s="63"/>
    </row>
    <row r="37" spans="1:26" ht="15.75" customHeight="1" x14ac:dyDescent="0.25">
      <c r="A37" s="63" t="s">
        <v>620</v>
      </c>
      <c r="B37" s="63" t="s">
        <v>1039</v>
      </c>
      <c r="C37" s="63" t="s">
        <v>430</v>
      </c>
      <c r="D37" s="63" t="s">
        <v>1595</v>
      </c>
      <c r="E37" s="63" t="s">
        <v>1797</v>
      </c>
      <c r="F37" s="63" t="s">
        <v>1597</v>
      </c>
      <c r="G37" s="63" t="s">
        <v>1798</v>
      </c>
      <c r="H37" s="63" t="s">
        <v>1619</v>
      </c>
      <c r="I37" s="63" t="s">
        <v>1799</v>
      </c>
      <c r="J37" s="63" t="s">
        <v>566</v>
      </c>
      <c r="K37" s="63" t="s">
        <v>1601</v>
      </c>
      <c r="L37" s="63" t="s">
        <v>1800</v>
      </c>
      <c r="M37" s="63" t="s">
        <v>1595</v>
      </c>
      <c r="N37" s="63" t="s">
        <v>1595</v>
      </c>
      <c r="O37" s="63" t="s">
        <v>1604</v>
      </c>
      <c r="P37" s="63" t="s">
        <v>1731</v>
      </c>
      <c r="Q37" s="63" t="s">
        <v>1801</v>
      </c>
      <c r="R37" s="63" t="s">
        <v>1601</v>
      </c>
      <c r="S37" s="63" t="s">
        <v>1616</v>
      </c>
      <c r="T37" s="63"/>
      <c r="U37" s="63"/>
      <c r="V37" s="63"/>
      <c r="W37" s="63"/>
      <c r="X37" s="63"/>
      <c r="Y37" s="63"/>
      <c r="Z37" s="63"/>
    </row>
    <row r="38" spans="1:26" ht="15.75" customHeight="1" x14ac:dyDescent="0.25">
      <c r="A38" s="63" t="s">
        <v>622</v>
      </c>
      <c r="B38" s="63" t="s">
        <v>1802</v>
      </c>
      <c r="C38" s="63" t="s">
        <v>1803</v>
      </c>
      <c r="D38" s="63" t="s">
        <v>1595</v>
      </c>
      <c r="E38" s="63" t="s">
        <v>1804</v>
      </c>
      <c r="F38" s="63" t="s">
        <v>1597</v>
      </c>
      <c r="G38" s="63" t="s">
        <v>1805</v>
      </c>
      <c r="H38" s="63" t="s">
        <v>1610</v>
      </c>
      <c r="I38" s="63" t="s">
        <v>1806</v>
      </c>
      <c r="J38" s="63" t="s">
        <v>596</v>
      </c>
      <c r="K38" s="63" t="s">
        <v>1601</v>
      </c>
      <c r="L38" s="63" t="s">
        <v>1695</v>
      </c>
      <c r="M38" s="63" t="s">
        <v>1696</v>
      </c>
      <c r="N38" s="63" t="s">
        <v>1595</v>
      </c>
      <c r="O38" s="63" t="s">
        <v>1604</v>
      </c>
      <c r="P38" s="63" t="s">
        <v>1697</v>
      </c>
      <c r="Q38" s="63" t="s">
        <v>1807</v>
      </c>
      <c r="R38" s="63" t="s">
        <v>1601</v>
      </c>
      <c r="S38" s="63" t="s">
        <v>1633</v>
      </c>
      <c r="T38" s="63"/>
      <c r="U38" s="63"/>
      <c r="V38" s="63"/>
      <c r="W38" s="63"/>
      <c r="X38" s="63"/>
      <c r="Y38" s="63"/>
      <c r="Z38" s="63"/>
    </row>
    <row r="39" spans="1:26" ht="15.75" customHeight="1" x14ac:dyDescent="0.25">
      <c r="A39" s="63" t="s">
        <v>624</v>
      </c>
      <c r="B39" s="63" t="s">
        <v>863</v>
      </c>
      <c r="C39" s="63" t="s">
        <v>5055</v>
      </c>
      <c r="D39" s="63" t="s">
        <v>1595</v>
      </c>
      <c r="E39" s="63" t="s">
        <v>1808</v>
      </c>
      <c r="F39" s="63" t="s">
        <v>1597</v>
      </c>
      <c r="G39" s="63" t="s">
        <v>1809</v>
      </c>
      <c r="H39" s="63" t="s">
        <v>1610</v>
      </c>
      <c r="I39" s="63" t="s">
        <v>1810</v>
      </c>
      <c r="J39" s="63" t="s">
        <v>558</v>
      </c>
      <c r="K39" s="63" t="s">
        <v>1601</v>
      </c>
      <c r="L39" s="63" t="s">
        <v>1811</v>
      </c>
      <c r="M39" s="63" t="s">
        <v>1812</v>
      </c>
      <c r="N39" s="63" t="s">
        <v>1595</v>
      </c>
      <c r="O39" s="63" t="s">
        <v>1604</v>
      </c>
      <c r="P39" s="63" t="s">
        <v>2269</v>
      </c>
      <c r="Q39" s="63" t="s">
        <v>1814</v>
      </c>
      <c r="R39" s="63" t="s">
        <v>1601</v>
      </c>
      <c r="S39" s="63" t="s">
        <v>1616</v>
      </c>
      <c r="T39" s="63"/>
      <c r="U39" s="63"/>
      <c r="V39" s="63"/>
      <c r="W39" s="63"/>
      <c r="X39" s="63"/>
      <c r="Y39" s="63"/>
      <c r="Z39" s="63"/>
    </row>
    <row r="40" spans="1:26" ht="15.75" customHeight="1" x14ac:dyDescent="0.25">
      <c r="A40" s="63" t="s">
        <v>626</v>
      </c>
      <c r="B40" s="63" t="s">
        <v>1139</v>
      </c>
      <c r="C40" s="63" t="s">
        <v>170</v>
      </c>
      <c r="D40" s="63" t="s">
        <v>1595</v>
      </c>
      <c r="E40" s="63" t="s">
        <v>1815</v>
      </c>
      <c r="F40" s="63" t="s">
        <v>1597</v>
      </c>
      <c r="G40" s="63" t="s">
        <v>1816</v>
      </c>
      <c r="H40" s="63" t="s">
        <v>1610</v>
      </c>
      <c r="I40" s="63" t="s">
        <v>1806</v>
      </c>
      <c r="J40" s="63" t="s">
        <v>596</v>
      </c>
      <c r="K40" s="63" t="s">
        <v>1601</v>
      </c>
      <c r="L40" s="63" t="s">
        <v>1695</v>
      </c>
      <c r="M40" s="63" t="s">
        <v>1696</v>
      </c>
      <c r="N40" s="63" t="s">
        <v>1595</v>
      </c>
      <c r="O40" s="63" t="s">
        <v>1604</v>
      </c>
      <c r="P40" s="63" t="s">
        <v>1817</v>
      </c>
      <c r="Q40" s="63" t="s">
        <v>1818</v>
      </c>
      <c r="R40" s="63" t="s">
        <v>1601</v>
      </c>
      <c r="S40" s="63" t="s">
        <v>1633</v>
      </c>
      <c r="T40" s="63"/>
      <c r="U40" s="63"/>
      <c r="V40" s="63"/>
      <c r="W40" s="63"/>
      <c r="X40" s="63"/>
      <c r="Y40" s="63"/>
      <c r="Z40" s="63"/>
    </row>
    <row r="41" spans="1:26" ht="15.75" customHeight="1" x14ac:dyDescent="0.25">
      <c r="A41" s="63" t="s">
        <v>628</v>
      </c>
      <c r="B41" s="63" t="s">
        <v>655</v>
      </c>
      <c r="C41" s="63" t="s">
        <v>496</v>
      </c>
      <c r="D41" s="63" t="s">
        <v>1595</v>
      </c>
      <c r="E41" s="63" t="s">
        <v>1819</v>
      </c>
      <c r="F41" s="63" t="s">
        <v>1597</v>
      </c>
      <c r="G41" s="63" t="s">
        <v>1820</v>
      </c>
      <c r="H41" s="63" t="s">
        <v>1619</v>
      </c>
      <c r="I41" s="63" t="s">
        <v>1821</v>
      </c>
      <c r="J41" s="63" t="s">
        <v>562</v>
      </c>
      <c r="K41" s="63" t="s">
        <v>1601</v>
      </c>
      <c r="L41" s="63" t="s">
        <v>1822</v>
      </c>
      <c r="M41" s="63" t="s">
        <v>1613</v>
      </c>
      <c r="N41" s="63" t="s">
        <v>1595</v>
      </c>
      <c r="O41" s="63" t="s">
        <v>1604</v>
      </c>
      <c r="P41" s="63" t="s">
        <v>1823</v>
      </c>
      <c r="Q41" s="63" t="s">
        <v>1824</v>
      </c>
      <c r="R41" s="63" t="s">
        <v>1601</v>
      </c>
      <c r="S41" s="63" t="s">
        <v>1607</v>
      </c>
      <c r="T41" s="63"/>
      <c r="U41" s="63"/>
      <c r="V41" s="63"/>
      <c r="W41" s="63"/>
      <c r="X41" s="63"/>
      <c r="Y41" s="63"/>
      <c r="Z41" s="63"/>
    </row>
    <row r="42" spans="1:26" ht="15.75" customHeight="1" x14ac:dyDescent="0.25">
      <c r="A42" s="63" t="s">
        <v>630</v>
      </c>
      <c r="B42" s="63" t="s">
        <v>883</v>
      </c>
      <c r="C42" s="63" t="s">
        <v>354</v>
      </c>
      <c r="D42" s="63" t="s">
        <v>1595</v>
      </c>
      <c r="E42" s="63" t="s">
        <v>1825</v>
      </c>
      <c r="F42" s="63" t="s">
        <v>1597</v>
      </c>
      <c r="G42" s="63" t="s">
        <v>1826</v>
      </c>
      <c r="H42" s="63" t="s">
        <v>1610</v>
      </c>
      <c r="I42" s="63" t="s">
        <v>1827</v>
      </c>
      <c r="J42" s="63" t="s">
        <v>552</v>
      </c>
      <c r="K42" s="63" t="s">
        <v>1601</v>
      </c>
      <c r="L42" s="63" t="s">
        <v>1653</v>
      </c>
      <c r="M42" s="63" t="s">
        <v>1654</v>
      </c>
      <c r="N42" s="63" t="s">
        <v>1595</v>
      </c>
      <c r="O42" s="63" t="s">
        <v>1604</v>
      </c>
      <c r="P42" s="63" t="s">
        <v>1680</v>
      </c>
      <c r="Q42" s="63" t="s">
        <v>1828</v>
      </c>
      <c r="R42" s="63" t="s">
        <v>1601</v>
      </c>
      <c r="S42" s="63" t="s">
        <v>1616</v>
      </c>
      <c r="T42" s="63"/>
      <c r="U42" s="63"/>
      <c r="V42" s="63"/>
      <c r="W42" s="63"/>
      <c r="X42" s="63"/>
      <c r="Y42" s="63"/>
      <c r="Z42" s="63"/>
    </row>
    <row r="43" spans="1:26" ht="15.75" customHeight="1" x14ac:dyDescent="0.25">
      <c r="A43" s="63" t="s">
        <v>632</v>
      </c>
      <c r="B43" s="63" t="s">
        <v>839</v>
      </c>
      <c r="C43" s="63" t="s">
        <v>335</v>
      </c>
      <c r="D43" s="63" t="s">
        <v>1595</v>
      </c>
      <c r="E43" s="63" t="s">
        <v>1829</v>
      </c>
      <c r="F43" s="63" t="s">
        <v>1597</v>
      </c>
      <c r="G43" s="63" t="s">
        <v>1830</v>
      </c>
      <c r="H43" s="63" t="s">
        <v>1610</v>
      </c>
      <c r="I43" s="63" t="s">
        <v>1831</v>
      </c>
      <c r="J43" s="63" t="s">
        <v>560</v>
      </c>
      <c r="K43" s="63" t="s">
        <v>1601</v>
      </c>
      <c r="L43" s="63" t="s">
        <v>1832</v>
      </c>
      <c r="M43" s="63" t="s">
        <v>1630</v>
      </c>
      <c r="N43" s="63" t="s">
        <v>1595</v>
      </c>
      <c r="O43" s="63" t="s">
        <v>1604</v>
      </c>
      <c r="P43" s="63" t="s">
        <v>1833</v>
      </c>
      <c r="Q43" s="63" t="s">
        <v>1834</v>
      </c>
      <c r="R43" s="63" t="s">
        <v>1601</v>
      </c>
      <c r="S43" s="63" t="s">
        <v>1616</v>
      </c>
      <c r="T43" s="63"/>
      <c r="U43" s="63"/>
      <c r="V43" s="63"/>
      <c r="W43" s="63"/>
      <c r="X43" s="63"/>
      <c r="Y43" s="63"/>
      <c r="Z43" s="63"/>
    </row>
    <row r="44" spans="1:26" ht="15.75" customHeight="1" x14ac:dyDescent="0.25">
      <c r="A44" s="63" t="s">
        <v>634</v>
      </c>
      <c r="B44" s="63" t="s">
        <v>1077</v>
      </c>
      <c r="C44" s="63" t="s">
        <v>140</v>
      </c>
      <c r="D44" s="63" t="s">
        <v>1595</v>
      </c>
      <c r="E44" s="63" t="s">
        <v>1835</v>
      </c>
      <c r="F44" s="63" t="s">
        <v>1597</v>
      </c>
      <c r="G44" s="63" t="s">
        <v>1836</v>
      </c>
      <c r="H44" s="63" t="s">
        <v>1610</v>
      </c>
      <c r="I44" s="63" t="s">
        <v>1705</v>
      </c>
      <c r="J44" s="63" t="s">
        <v>558</v>
      </c>
      <c r="K44" s="63" t="s">
        <v>1601</v>
      </c>
      <c r="L44" s="63" t="s">
        <v>1706</v>
      </c>
      <c r="M44" s="63" t="s">
        <v>1696</v>
      </c>
      <c r="N44" s="63" t="s">
        <v>1595</v>
      </c>
      <c r="O44" s="63" t="s">
        <v>1604</v>
      </c>
      <c r="P44" s="63" t="s">
        <v>1817</v>
      </c>
      <c r="Q44" s="63" t="s">
        <v>1837</v>
      </c>
      <c r="R44" s="63" t="s">
        <v>1601</v>
      </c>
      <c r="S44" s="63" t="s">
        <v>1633</v>
      </c>
      <c r="T44" s="63"/>
      <c r="U44" s="63"/>
      <c r="V44" s="63"/>
      <c r="W44" s="63"/>
      <c r="X44" s="63"/>
      <c r="Y44" s="63"/>
      <c r="Z44" s="63"/>
    </row>
    <row r="45" spans="1:26" ht="15.75" customHeight="1" x14ac:dyDescent="0.25">
      <c r="A45" s="63" t="s">
        <v>636</v>
      </c>
      <c r="B45" s="63" t="s">
        <v>1135</v>
      </c>
      <c r="C45" s="63" t="s">
        <v>168</v>
      </c>
      <c r="D45" s="63" t="s">
        <v>1595</v>
      </c>
      <c r="E45" s="63" t="s">
        <v>1838</v>
      </c>
      <c r="F45" s="63" t="s">
        <v>1597</v>
      </c>
      <c r="G45" s="63" t="s">
        <v>1839</v>
      </c>
      <c r="H45" s="63" t="s">
        <v>1610</v>
      </c>
      <c r="I45" s="63" t="s">
        <v>1705</v>
      </c>
      <c r="J45" s="63" t="s">
        <v>554</v>
      </c>
      <c r="K45" s="63" t="s">
        <v>1601</v>
      </c>
      <c r="L45" s="63" t="s">
        <v>1706</v>
      </c>
      <c r="M45" s="63" t="s">
        <v>1696</v>
      </c>
      <c r="N45" s="63" t="s">
        <v>1595</v>
      </c>
      <c r="O45" s="63" t="s">
        <v>1604</v>
      </c>
      <c r="P45" s="63" t="s">
        <v>1817</v>
      </c>
      <c r="Q45" s="63" t="s">
        <v>1601</v>
      </c>
      <c r="R45" s="63" t="s">
        <v>1601</v>
      </c>
      <c r="S45" s="63" t="s">
        <v>1633</v>
      </c>
      <c r="T45" s="63"/>
      <c r="U45" s="63"/>
      <c r="V45" s="63"/>
      <c r="W45" s="63"/>
      <c r="X45" s="63"/>
      <c r="Y45" s="63"/>
      <c r="Z45" s="63"/>
    </row>
    <row r="46" spans="1:26" ht="15.75" customHeight="1" x14ac:dyDescent="0.25">
      <c r="A46" s="63" t="s">
        <v>638</v>
      </c>
      <c r="B46" s="63" t="s">
        <v>1339</v>
      </c>
      <c r="C46" s="63" t="s">
        <v>267</v>
      </c>
      <c r="D46" s="63" t="s">
        <v>1595</v>
      </c>
      <c r="E46" s="63" t="s">
        <v>1840</v>
      </c>
      <c r="F46" s="63" t="s">
        <v>1597</v>
      </c>
      <c r="G46" s="63" t="s">
        <v>1841</v>
      </c>
      <c r="H46" s="63" t="s">
        <v>1610</v>
      </c>
      <c r="I46" s="63" t="s">
        <v>1842</v>
      </c>
      <c r="J46" s="63" t="s">
        <v>552</v>
      </c>
      <c r="K46" s="63" t="s">
        <v>1601</v>
      </c>
      <c r="L46" s="63" t="s">
        <v>1706</v>
      </c>
      <c r="M46" s="63" t="s">
        <v>1696</v>
      </c>
      <c r="N46" s="63" t="s">
        <v>1595</v>
      </c>
      <c r="O46" s="63" t="s">
        <v>1604</v>
      </c>
      <c r="P46" s="63" t="s">
        <v>1817</v>
      </c>
      <c r="Q46" s="63" t="s">
        <v>1843</v>
      </c>
      <c r="R46" s="63" t="s">
        <v>1601</v>
      </c>
      <c r="S46" s="63" t="s">
        <v>1633</v>
      </c>
      <c r="T46" s="63"/>
      <c r="U46" s="63"/>
      <c r="V46" s="63"/>
      <c r="W46" s="63"/>
      <c r="X46" s="63"/>
      <c r="Y46" s="63"/>
      <c r="Z46" s="63"/>
    </row>
    <row r="47" spans="1:26" ht="15.75" customHeight="1" x14ac:dyDescent="0.25">
      <c r="A47" s="63" t="s">
        <v>640</v>
      </c>
      <c r="B47" s="63" t="s">
        <v>1341</v>
      </c>
      <c r="C47" s="63" t="s">
        <v>268</v>
      </c>
      <c r="D47" s="63" t="s">
        <v>1595</v>
      </c>
      <c r="E47" s="63" t="s">
        <v>1844</v>
      </c>
      <c r="F47" s="63" t="s">
        <v>1597</v>
      </c>
      <c r="G47" s="63" t="s">
        <v>1845</v>
      </c>
      <c r="H47" s="63" t="s">
        <v>1610</v>
      </c>
      <c r="I47" s="63" t="s">
        <v>1705</v>
      </c>
      <c r="J47" s="63" t="s">
        <v>560</v>
      </c>
      <c r="K47" s="63" t="s">
        <v>1601</v>
      </c>
      <c r="L47" s="63" t="s">
        <v>1706</v>
      </c>
      <c r="M47" s="63" t="s">
        <v>1696</v>
      </c>
      <c r="N47" s="63" t="s">
        <v>1595</v>
      </c>
      <c r="O47" s="63" t="s">
        <v>1604</v>
      </c>
      <c r="P47" s="63" t="s">
        <v>1817</v>
      </c>
      <c r="Q47" s="63" t="s">
        <v>1846</v>
      </c>
      <c r="R47" s="63" t="s">
        <v>1601</v>
      </c>
      <c r="S47" s="63" t="s">
        <v>1633</v>
      </c>
      <c r="T47" s="63"/>
      <c r="U47" s="63"/>
      <c r="V47" s="63"/>
      <c r="W47" s="63"/>
      <c r="X47" s="63"/>
      <c r="Y47" s="63"/>
      <c r="Z47" s="63"/>
    </row>
    <row r="48" spans="1:26" ht="15.75" customHeight="1" x14ac:dyDescent="0.25">
      <c r="A48" s="63" t="s">
        <v>642</v>
      </c>
      <c r="B48" s="63" t="s">
        <v>855</v>
      </c>
      <c r="C48" s="63" t="s">
        <v>342</v>
      </c>
      <c r="D48" s="63" t="s">
        <v>1847</v>
      </c>
      <c r="E48" s="63" t="s">
        <v>1848</v>
      </c>
      <c r="F48" s="63" t="s">
        <v>1597</v>
      </c>
      <c r="G48" s="63" t="s">
        <v>1849</v>
      </c>
      <c r="H48" s="63" t="s">
        <v>1627</v>
      </c>
      <c r="I48" s="63" t="s">
        <v>1850</v>
      </c>
      <c r="J48" s="63" t="s">
        <v>556</v>
      </c>
      <c r="K48" s="63" t="s">
        <v>1601</v>
      </c>
      <c r="L48" s="63" t="s">
        <v>1832</v>
      </c>
      <c r="M48" s="63" t="s">
        <v>1630</v>
      </c>
      <c r="N48" s="63" t="s">
        <v>1595</v>
      </c>
      <c r="O48" s="63" t="s">
        <v>1604</v>
      </c>
      <c r="P48" s="63" t="s">
        <v>1623</v>
      </c>
      <c r="Q48" s="63" t="s">
        <v>1851</v>
      </c>
      <c r="R48" s="63" t="s">
        <v>1601</v>
      </c>
      <c r="S48" s="63" t="s">
        <v>1616</v>
      </c>
      <c r="T48" s="63"/>
      <c r="U48" s="63"/>
      <c r="V48" s="63"/>
      <c r="W48" s="63"/>
      <c r="X48" s="63"/>
      <c r="Y48" s="63"/>
      <c r="Z48" s="63"/>
    </row>
    <row r="49" spans="1:26" ht="15.75" customHeight="1" x14ac:dyDescent="0.25">
      <c r="A49" s="63" t="s">
        <v>644</v>
      </c>
      <c r="B49" s="63" t="s">
        <v>585</v>
      </c>
      <c r="C49" s="63" t="s">
        <v>461</v>
      </c>
      <c r="D49" s="63" t="s">
        <v>1595</v>
      </c>
      <c r="E49" s="63" t="s">
        <v>1852</v>
      </c>
      <c r="F49" s="63" t="s">
        <v>1597</v>
      </c>
      <c r="G49" s="63" t="s">
        <v>1853</v>
      </c>
      <c r="H49" s="63" t="s">
        <v>1610</v>
      </c>
      <c r="I49" s="63" t="s">
        <v>1854</v>
      </c>
      <c r="J49" s="63" t="s">
        <v>556</v>
      </c>
      <c r="K49" s="63" t="s">
        <v>1601</v>
      </c>
      <c r="L49" s="63" t="s">
        <v>1637</v>
      </c>
      <c r="M49" s="63" t="s">
        <v>1595</v>
      </c>
      <c r="N49" s="63" t="s">
        <v>1595</v>
      </c>
      <c r="O49" s="63" t="s">
        <v>1604</v>
      </c>
      <c r="P49" s="63" t="s">
        <v>1790</v>
      </c>
      <c r="Q49" s="63" t="s">
        <v>1601</v>
      </c>
      <c r="R49" s="63" t="s">
        <v>1601</v>
      </c>
      <c r="S49" s="63" t="s">
        <v>1607</v>
      </c>
      <c r="T49" s="63"/>
      <c r="U49" s="63"/>
      <c r="V49" s="63"/>
      <c r="W49" s="63"/>
      <c r="X49" s="63"/>
      <c r="Y49" s="63"/>
      <c r="Z49" s="63"/>
    </row>
    <row r="50" spans="1:26" ht="15.75" customHeight="1" x14ac:dyDescent="0.25">
      <c r="A50" s="63" t="s">
        <v>646</v>
      </c>
      <c r="B50" s="63" t="s">
        <v>1355</v>
      </c>
      <c r="C50" s="63" t="s">
        <v>275</v>
      </c>
      <c r="D50" s="63" t="s">
        <v>1595</v>
      </c>
      <c r="E50" s="63" t="s">
        <v>1855</v>
      </c>
      <c r="F50" s="63" t="s">
        <v>1597</v>
      </c>
      <c r="G50" s="63" t="s">
        <v>1856</v>
      </c>
      <c r="H50" s="63" t="s">
        <v>1610</v>
      </c>
      <c r="I50" s="63" t="s">
        <v>1857</v>
      </c>
      <c r="J50" s="63" t="s">
        <v>558</v>
      </c>
      <c r="K50" s="63" t="s">
        <v>1601</v>
      </c>
      <c r="L50" s="63" t="s">
        <v>1858</v>
      </c>
      <c r="M50" s="63" t="s">
        <v>1859</v>
      </c>
      <c r="N50" s="63" t="s">
        <v>1595</v>
      </c>
      <c r="O50" s="63" t="s">
        <v>1604</v>
      </c>
      <c r="P50" s="63" t="s">
        <v>1860</v>
      </c>
      <c r="Q50" s="63" t="s">
        <v>1861</v>
      </c>
      <c r="R50" s="63" t="s">
        <v>1601</v>
      </c>
      <c r="S50" s="63" t="s">
        <v>1633</v>
      </c>
      <c r="T50" s="63"/>
      <c r="U50" s="63"/>
      <c r="V50" s="63"/>
      <c r="W50" s="63"/>
      <c r="X50" s="63"/>
      <c r="Y50" s="63"/>
      <c r="Z50" s="63"/>
    </row>
    <row r="51" spans="1:26" ht="15.75" customHeight="1" x14ac:dyDescent="0.25">
      <c r="A51" s="63" t="s">
        <v>648</v>
      </c>
      <c r="B51" s="63" t="s">
        <v>1173</v>
      </c>
      <c r="C51" s="63" t="s">
        <v>187</v>
      </c>
      <c r="D51" s="63" t="s">
        <v>1595</v>
      </c>
      <c r="E51" s="63" t="s">
        <v>1862</v>
      </c>
      <c r="F51" s="63" t="s">
        <v>1597</v>
      </c>
      <c r="G51" s="63" t="s">
        <v>1863</v>
      </c>
      <c r="H51" s="63" t="s">
        <v>1610</v>
      </c>
      <c r="I51" s="63" t="s">
        <v>1857</v>
      </c>
      <c r="J51" s="63" t="s">
        <v>558</v>
      </c>
      <c r="K51" s="63" t="s">
        <v>1601</v>
      </c>
      <c r="L51" s="63" t="s">
        <v>1858</v>
      </c>
      <c r="M51" s="63" t="s">
        <v>1859</v>
      </c>
      <c r="N51" s="63" t="s">
        <v>1595</v>
      </c>
      <c r="O51" s="63" t="s">
        <v>1604</v>
      </c>
      <c r="P51" s="63" t="s">
        <v>1864</v>
      </c>
      <c r="Q51" s="63" t="s">
        <v>1865</v>
      </c>
      <c r="R51" s="63" t="s">
        <v>1601</v>
      </c>
      <c r="S51" s="63" t="s">
        <v>1633</v>
      </c>
      <c r="T51" s="63"/>
      <c r="U51" s="63"/>
      <c r="V51" s="63"/>
      <c r="W51" s="63"/>
      <c r="X51" s="63"/>
      <c r="Y51" s="63"/>
      <c r="Z51" s="63"/>
    </row>
    <row r="52" spans="1:26" ht="15.75" customHeight="1" x14ac:dyDescent="0.25">
      <c r="A52" s="63" t="s">
        <v>650</v>
      </c>
      <c r="B52" s="63" t="s">
        <v>1229</v>
      </c>
      <c r="C52" s="63" t="s">
        <v>214</v>
      </c>
      <c r="D52" s="63" t="s">
        <v>1595</v>
      </c>
      <c r="E52" s="63" t="s">
        <v>1733</v>
      </c>
      <c r="F52" s="63" t="s">
        <v>1597</v>
      </c>
      <c r="G52" s="63" t="s">
        <v>1866</v>
      </c>
      <c r="H52" s="63" t="s">
        <v>1610</v>
      </c>
      <c r="I52" s="63" t="s">
        <v>1867</v>
      </c>
      <c r="J52" s="63" t="s">
        <v>558</v>
      </c>
      <c r="K52" s="63" t="s">
        <v>1601</v>
      </c>
      <c r="L52" s="63" t="s">
        <v>1868</v>
      </c>
      <c r="M52" s="63" t="s">
        <v>1859</v>
      </c>
      <c r="N52" s="63" t="s">
        <v>1595</v>
      </c>
      <c r="O52" s="63" t="s">
        <v>1604</v>
      </c>
      <c r="P52" s="63" t="s">
        <v>1869</v>
      </c>
      <c r="Q52" s="63" t="s">
        <v>566</v>
      </c>
      <c r="R52" s="63" t="s">
        <v>1601</v>
      </c>
      <c r="S52" s="63" t="s">
        <v>1633</v>
      </c>
      <c r="T52" s="63"/>
      <c r="U52" s="63"/>
      <c r="V52" s="63"/>
      <c r="W52" s="63"/>
      <c r="X52" s="63"/>
      <c r="Y52" s="63"/>
      <c r="Z52" s="63"/>
    </row>
    <row r="53" spans="1:26" ht="15.75" customHeight="1" x14ac:dyDescent="0.25">
      <c r="A53" s="63" t="s">
        <v>652</v>
      </c>
      <c r="B53" s="63" t="s">
        <v>1385</v>
      </c>
      <c r="C53" s="63" t="s">
        <v>290</v>
      </c>
      <c r="D53" s="63" t="s">
        <v>1870</v>
      </c>
      <c r="E53" s="63" t="s">
        <v>1871</v>
      </c>
      <c r="F53" s="63" t="s">
        <v>1597</v>
      </c>
      <c r="G53" s="63" t="s">
        <v>1872</v>
      </c>
      <c r="H53" s="63" t="s">
        <v>1610</v>
      </c>
      <c r="I53" s="63" t="s">
        <v>1873</v>
      </c>
      <c r="J53" s="63" t="s">
        <v>556</v>
      </c>
      <c r="K53" s="63" t="s">
        <v>1601</v>
      </c>
      <c r="L53" s="63" t="s">
        <v>1706</v>
      </c>
      <c r="M53" s="63" t="s">
        <v>1696</v>
      </c>
      <c r="N53" s="63" t="s">
        <v>1595</v>
      </c>
      <c r="O53" s="63" t="s">
        <v>1604</v>
      </c>
      <c r="P53" s="63" t="s">
        <v>1817</v>
      </c>
      <c r="Q53" s="63" t="s">
        <v>1874</v>
      </c>
      <c r="R53" s="63" t="s">
        <v>1601</v>
      </c>
      <c r="S53" s="63" t="s">
        <v>1633</v>
      </c>
      <c r="T53" s="63"/>
      <c r="U53" s="63"/>
      <c r="V53" s="63"/>
      <c r="W53" s="63"/>
      <c r="X53" s="63"/>
      <c r="Y53" s="63"/>
      <c r="Z53" s="63"/>
    </row>
    <row r="54" spans="1:26" ht="15.75" customHeight="1" x14ac:dyDescent="0.25">
      <c r="A54" s="63" t="s">
        <v>654</v>
      </c>
      <c r="B54" s="63" t="s">
        <v>1875</v>
      </c>
      <c r="C54" s="63" t="s">
        <v>1876</v>
      </c>
      <c r="D54" s="63" t="s">
        <v>1595</v>
      </c>
      <c r="E54" s="63" t="s">
        <v>1877</v>
      </c>
      <c r="F54" s="63" t="s">
        <v>1597</v>
      </c>
      <c r="G54" s="63" t="s">
        <v>1878</v>
      </c>
      <c r="H54" s="63" t="s">
        <v>1627</v>
      </c>
      <c r="I54" s="63" t="s">
        <v>1867</v>
      </c>
      <c r="J54" s="63" t="s">
        <v>558</v>
      </c>
      <c r="K54" s="63" t="s">
        <v>1601</v>
      </c>
      <c r="L54" s="63" t="s">
        <v>1868</v>
      </c>
      <c r="M54" s="63" t="s">
        <v>1859</v>
      </c>
      <c r="N54" s="63" t="s">
        <v>1595</v>
      </c>
      <c r="O54" s="63" t="s">
        <v>1604</v>
      </c>
      <c r="P54" s="63" t="s">
        <v>1860</v>
      </c>
      <c r="Q54" s="63" t="s">
        <v>1879</v>
      </c>
      <c r="R54" s="63" t="s">
        <v>1601</v>
      </c>
      <c r="S54" s="63" t="s">
        <v>1633</v>
      </c>
      <c r="T54" s="63"/>
      <c r="U54" s="63"/>
      <c r="V54" s="63"/>
      <c r="W54" s="63"/>
      <c r="X54" s="63"/>
      <c r="Y54" s="63"/>
      <c r="Z54" s="63"/>
    </row>
    <row r="55" spans="1:26" ht="15.75" customHeight="1" x14ac:dyDescent="0.25">
      <c r="A55" s="63" t="s">
        <v>656</v>
      </c>
      <c r="B55" s="63" t="s">
        <v>1485</v>
      </c>
      <c r="C55" s="63" t="s">
        <v>100</v>
      </c>
      <c r="D55" s="63" t="s">
        <v>1595</v>
      </c>
      <c r="E55" s="63" t="s">
        <v>1880</v>
      </c>
      <c r="F55" s="63" t="s">
        <v>1597</v>
      </c>
      <c r="G55" s="63" t="s">
        <v>1881</v>
      </c>
      <c r="H55" s="63" t="s">
        <v>1742</v>
      </c>
      <c r="I55" s="63" t="s">
        <v>1873</v>
      </c>
      <c r="J55" s="63" t="s">
        <v>556</v>
      </c>
      <c r="K55" s="63" t="s">
        <v>1601</v>
      </c>
      <c r="L55" s="63" t="s">
        <v>1706</v>
      </c>
      <c r="M55" s="63" t="s">
        <v>1696</v>
      </c>
      <c r="N55" s="63" t="s">
        <v>1595</v>
      </c>
      <c r="O55" s="63" t="s">
        <v>1604</v>
      </c>
      <c r="P55" s="63" t="s">
        <v>1817</v>
      </c>
      <c r="Q55" s="63" t="s">
        <v>1882</v>
      </c>
      <c r="R55" s="63" t="s">
        <v>1601</v>
      </c>
      <c r="S55" s="63" t="s">
        <v>1723</v>
      </c>
      <c r="T55" s="63"/>
      <c r="U55" s="63"/>
      <c r="V55" s="63"/>
      <c r="W55" s="63"/>
      <c r="X55" s="63"/>
      <c r="Y55" s="63"/>
      <c r="Z55" s="63"/>
    </row>
    <row r="56" spans="1:26" ht="15.75" customHeight="1" x14ac:dyDescent="0.25">
      <c r="A56" s="63" t="s">
        <v>658</v>
      </c>
      <c r="B56" s="63" t="s">
        <v>1883</v>
      </c>
      <c r="C56" s="63" t="s">
        <v>1884</v>
      </c>
      <c r="D56" s="63" t="s">
        <v>1885</v>
      </c>
      <c r="E56" s="63" t="s">
        <v>1886</v>
      </c>
      <c r="F56" s="63" t="s">
        <v>1597</v>
      </c>
      <c r="G56" s="63" t="s">
        <v>1887</v>
      </c>
      <c r="H56" s="63" t="s">
        <v>1888</v>
      </c>
      <c r="I56" s="63" t="s">
        <v>1889</v>
      </c>
      <c r="J56" s="63" t="s">
        <v>554</v>
      </c>
      <c r="K56" s="63" t="s">
        <v>1601</v>
      </c>
      <c r="L56" s="63" t="s">
        <v>1800</v>
      </c>
      <c r="M56" s="63" t="s">
        <v>1595</v>
      </c>
      <c r="N56" s="63" t="s">
        <v>1595</v>
      </c>
      <c r="O56" s="63" t="s">
        <v>1604</v>
      </c>
      <c r="P56" s="63" t="s">
        <v>1731</v>
      </c>
      <c r="Q56" s="63" t="s">
        <v>1890</v>
      </c>
      <c r="R56" s="63" t="s">
        <v>1601</v>
      </c>
      <c r="S56" s="63" t="s">
        <v>1616</v>
      </c>
      <c r="T56" s="63"/>
      <c r="U56" s="63"/>
      <c r="V56" s="63"/>
      <c r="W56" s="63"/>
      <c r="X56" s="63"/>
      <c r="Y56" s="63"/>
      <c r="Z56" s="63"/>
    </row>
    <row r="57" spans="1:26" ht="15.75" customHeight="1" x14ac:dyDescent="0.25">
      <c r="A57" s="63" t="s">
        <v>660</v>
      </c>
      <c r="B57" s="63" t="s">
        <v>1353</v>
      </c>
      <c r="C57" s="63" t="s">
        <v>274</v>
      </c>
      <c r="D57" s="63" t="s">
        <v>1595</v>
      </c>
      <c r="E57" s="63" t="s">
        <v>1891</v>
      </c>
      <c r="F57" s="63" t="s">
        <v>1597</v>
      </c>
      <c r="G57" s="63" t="s">
        <v>1892</v>
      </c>
      <c r="H57" s="63" t="s">
        <v>1610</v>
      </c>
      <c r="I57" s="63" t="s">
        <v>1664</v>
      </c>
      <c r="J57" s="63" t="s">
        <v>558</v>
      </c>
      <c r="K57" s="63" t="s">
        <v>1601</v>
      </c>
      <c r="L57" s="63" t="s">
        <v>1665</v>
      </c>
      <c r="M57" s="63" t="s">
        <v>1613</v>
      </c>
      <c r="N57" s="63" t="s">
        <v>1595</v>
      </c>
      <c r="O57" s="63" t="s">
        <v>1604</v>
      </c>
      <c r="P57" s="63" t="s">
        <v>1823</v>
      </c>
      <c r="Q57" s="63" t="s">
        <v>1893</v>
      </c>
      <c r="R57" s="63" t="s">
        <v>1601</v>
      </c>
      <c r="S57" s="63" t="s">
        <v>1633</v>
      </c>
      <c r="T57" s="63"/>
      <c r="U57" s="63"/>
      <c r="V57" s="63"/>
      <c r="W57" s="63"/>
      <c r="X57" s="63"/>
      <c r="Y57" s="63"/>
      <c r="Z57" s="63"/>
    </row>
    <row r="58" spans="1:26" ht="15.75" customHeight="1" x14ac:dyDescent="0.25">
      <c r="A58" s="63" t="s">
        <v>662</v>
      </c>
      <c r="B58" s="63" t="s">
        <v>1171</v>
      </c>
      <c r="C58" s="63" t="s">
        <v>186</v>
      </c>
      <c r="D58" s="63" t="s">
        <v>1595</v>
      </c>
      <c r="E58" s="63" t="s">
        <v>1894</v>
      </c>
      <c r="F58" s="63" t="s">
        <v>1597</v>
      </c>
      <c r="G58" s="63" t="s">
        <v>1895</v>
      </c>
      <c r="H58" s="63" t="s">
        <v>1610</v>
      </c>
      <c r="I58" s="63" t="s">
        <v>1896</v>
      </c>
      <c r="J58" s="63" t="s">
        <v>562</v>
      </c>
      <c r="K58" s="63" t="s">
        <v>1601</v>
      </c>
      <c r="L58" s="63" t="s">
        <v>1758</v>
      </c>
      <c r="M58" s="63" t="s">
        <v>1613</v>
      </c>
      <c r="N58" s="63" t="s">
        <v>1595</v>
      </c>
      <c r="O58" s="63" t="s">
        <v>1604</v>
      </c>
      <c r="P58" s="63" t="s">
        <v>1897</v>
      </c>
      <c r="Q58" s="63" t="s">
        <v>1898</v>
      </c>
      <c r="R58" s="63" t="s">
        <v>1601</v>
      </c>
      <c r="S58" s="63" t="s">
        <v>1633</v>
      </c>
      <c r="T58" s="63"/>
      <c r="U58" s="63"/>
      <c r="V58" s="63"/>
      <c r="W58" s="63"/>
      <c r="X58" s="63"/>
      <c r="Y58" s="63"/>
      <c r="Z58" s="63"/>
    </row>
    <row r="59" spans="1:26" ht="15.75" customHeight="1" x14ac:dyDescent="0.25">
      <c r="A59" s="63" t="s">
        <v>664</v>
      </c>
      <c r="B59" s="63" t="s">
        <v>561</v>
      </c>
      <c r="C59" s="63" t="s">
        <v>449</v>
      </c>
      <c r="D59" s="63" t="s">
        <v>1595</v>
      </c>
      <c r="E59" s="63" t="s">
        <v>1713</v>
      </c>
      <c r="F59" s="63" t="s">
        <v>1597</v>
      </c>
      <c r="G59" s="63" t="s">
        <v>1899</v>
      </c>
      <c r="H59" s="63" t="s">
        <v>1610</v>
      </c>
      <c r="I59" s="63" t="s">
        <v>1900</v>
      </c>
      <c r="J59" s="63" t="s">
        <v>554</v>
      </c>
      <c r="K59" s="63" t="s">
        <v>1601</v>
      </c>
      <c r="L59" s="63" t="s">
        <v>1901</v>
      </c>
      <c r="M59" s="63" t="s">
        <v>1800</v>
      </c>
      <c r="N59" s="63" t="s">
        <v>1595</v>
      </c>
      <c r="O59" s="63" t="s">
        <v>1604</v>
      </c>
      <c r="P59" s="63" t="s">
        <v>1902</v>
      </c>
      <c r="Q59" s="63" t="s">
        <v>1903</v>
      </c>
      <c r="R59" s="63" t="s">
        <v>1601</v>
      </c>
      <c r="S59" s="63" t="s">
        <v>1607</v>
      </c>
      <c r="T59" s="63"/>
      <c r="U59" s="63"/>
      <c r="V59" s="63"/>
      <c r="W59" s="63"/>
      <c r="X59" s="63"/>
      <c r="Y59" s="63"/>
      <c r="Z59" s="63"/>
    </row>
    <row r="60" spans="1:26" ht="15.75" customHeight="1" x14ac:dyDescent="0.25">
      <c r="A60" s="63" t="s">
        <v>666</v>
      </c>
      <c r="B60" s="63" t="s">
        <v>1343</v>
      </c>
      <c r="C60" s="63" t="s">
        <v>269</v>
      </c>
      <c r="D60" s="63" t="s">
        <v>1595</v>
      </c>
      <c r="E60" s="63" t="s">
        <v>1904</v>
      </c>
      <c r="F60" s="63" t="s">
        <v>1597</v>
      </c>
      <c r="G60" s="63" t="s">
        <v>1905</v>
      </c>
      <c r="H60" s="63" t="s">
        <v>1610</v>
      </c>
      <c r="I60" s="63" t="s">
        <v>1867</v>
      </c>
      <c r="J60" s="63" t="s">
        <v>556</v>
      </c>
      <c r="K60" s="63" t="s">
        <v>1601</v>
      </c>
      <c r="L60" s="63" t="s">
        <v>1868</v>
      </c>
      <c r="M60" s="63" t="s">
        <v>1859</v>
      </c>
      <c r="N60" s="63" t="s">
        <v>1595</v>
      </c>
      <c r="O60" s="63" t="s">
        <v>1604</v>
      </c>
      <c r="P60" s="63" t="s">
        <v>1860</v>
      </c>
      <c r="Q60" s="63" t="s">
        <v>1906</v>
      </c>
      <c r="R60" s="63" t="s">
        <v>1601</v>
      </c>
      <c r="S60" s="63" t="s">
        <v>1633</v>
      </c>
      <c r="T60" s="63"/>
      <c r="U60" s="63"/>
      <c r="V60" s="63"/>
      <c r="W60" s="63"/>
      <c r="X60" s="63"/>
      <c r="Y60" s="63"/>
      <c r="Z60" s="63"/>
    </row>
    <row r="61" spans="1:26" ht="15.75" customHeight="1" x14ac:dyDescent="0.25">
      <c r="A61" s="63" t="s">
        <v>668</v>
      </c>
      <c r="B61" s="63" t="s">
        <v>677</v>
      </c>
      <c r="C61" s="63" t="s">
        <v>506</v>
      </c>
      <c r="D61" s="63" t="s">
        <v>1595</v>
      </c>
      <c r="E61" s="63" t="s">
        <v>1907</v>
      </c>
      <c r="F61" s="63" t="s">
        <v>1597</v>
      </c>
      <c r="G61" s="63" t="s">
        <v>1908</v>
      </c>
      <c r="H61" s="63" t="s">
        <v>1610</v>
      </c>
      <c r="I61" s="63" t="s">
        <v>1909</v>
      </c>
      <c r="J61" s="63" t="s">
        <v>558</v>
      </c>
      <c r="K61" s="63" t="s">
        <v>1601</v>
      </c>
      <c r="L61" s="63" t="s">
        <v>1910</v>
      </c>
      <c r="M61" s="63" t="s">
        <v>1595</v>
      </c>
      <c r="N61" s="63" t="s">
        <v>1595</v>
      </c>
      <c r="O61" s="63" t="s">
        <v>1604</v>
      </c>
      <c r="P61" s="63" t="s">
        <v>1790</v>
      </c>
      <c r="Q61" s="63" t="s">
        <v>1911</v>
      </c>
      <c r="R61" s="63" t="s">
        <v>1601</v>
      </c>
      <c r="S61" s="63" t="s">
        <v>1607</v>
      </c>
      <c r="T61" s="63"/>
      <c r="U61" s="63"/>
      <c r="V61" s="63"/>
      <c r="W61" s="63"/>
      <c r="X61" s="63"/>
      <c r="Y61" s="63"/>
      <c r="Z61" s="63"/>
    </row>
    <row r="62" spans="1:26" ht="15.75" customHeight="1" x14ac:dyDescent="0.25">
      <c r="A62" s="63" t="s">
        <v>670</v>
      </c>
      <c r="B62" s="63" t="s">
        <v>1545</v>
      </c>
      <c r="C62" s="63" t="s">
        <v>129</v>
      </c>
      <c r="D62" s="63" t="s">
        <v>1595</v>
      </c>
      <c r="E62" s="63" t="s">
        <v>1912</v>
      </c>
      <c r="F62" s="63" t="s">
        <v>1597</v>
      </c>
      <c r="G62" s="63" t="s">
        <v>1913</v>
      </c>
      <c r="H62" s="63" t="s">
        <v>1610</v>
      </c>
      <c r="I62" s="63" t="s">
        <v>1914</v>
      </c>
      <c r="J62" s="63" t="s">
        <v>556</v>
      </c>
      <c r="K62" s="63" t="s">
        <v>1601</v>
      </c>
      <c r="L62" s="63" t="s">
        <v>1758</v>
      </c>
      <c r="M62" s="63" t="s">
        <v>1613</v>
      </c>
      <c r="N62" s="63" t="s">
        <v>1595</v>
      </c>
      <c r="O62" s="63" t="s">
        <v>1604</v>
      </c>
      <c r="P62" s="63" t="s">
        <v>1915</v>
      </c>
      <c r="Q62" s="63" t="s">
        <v>1916</v>
      </c>
      <c r="R62" s="63" t="s">
        <v>1601</v>
      </c>
      <c r="S62" s="63" t="s">
        <v>1723</v>
      </c>
      <c r="T62" s="63"/>
      <c r="U62" s="63"/>
      <c r="V62" s="63"/>
      <c r="W62" s="63"/>
      <c r="X62" s="63"/>
      <c r="Y62" s="63"/>
      <c r="Z62" s="63"/>
    </row>
    <row r="63" spans="1:26" ht="15.75" customHeight="1" x14ac:dyDescent="0.25">
      <c r="A63" s="63" t="s">
        <v>672</v>
      </c>
      <c r="B63" s="63" t="s">
        <v>1471</v>
      </c>
      <c r="C63" s="63" t="s">
        <v>93</v>
      </c>
      <c r="D63" s="63" t="s">
        <v>1595</v>
      </c>
      <c r="E63" s="63" t="s">
        <v>1917</v>
      </c>
      <c r="F63" s="63" t="s">
        <v>1597</v>
      </c>
      <c r="G63" s="63" t="s">
        <v>1918</v>
      </c>
      <c r="H63" s="63" t="s">
        <v>1610</v>
      </c>
      <c r="I63" s="63" t="s">
        <v>1919</v>
      </c>
      <c r="J63" s="63" t="s">
        <v>558</v>
      </c>
      <c r="K63" s="63" t="s">
        <v>1601</v>
      </c>
      <c r="L63" s="63" t="s">
        <v>1920</v>
      </c>
      <c r="M63" s="63" t="s">
        <v>1812</v>
      </c>
      <c r="N63" s="63" t="s">
        <v>1595</v>
      </c>
      <c r="O63" s="63" t="s">
        <v>1604</v>
      </c>
      <c r="P63" s="63" t="s">
        <v>1823</v>
      </c>
      <c r="Q63" s="63" t="s">
        <v>1921</v>
      </c>
      <c r="R63" s="63" t="s">
        <v>1601</v>
      </c>
      <c r="S63" s="63" t="s">
        <v>1723</v>
      </c>
      <c r="T63" s="63"/>
      <c r="U63" s="63"/>
      <c r="V63" s="63"/>
      <c r="W63" s="63"/>
      <c r="X63" s="63"/>
      <c r="Y63" s="63"/>
      <c r="Z63" s="63"/>
    </row>
    <row r="64" spans="1:26" ht="15.75" customHeight="1" x14ac:dyDescent="0.25">
      <c r="A64" s="63" t="s">
        <v>674</v>
      </c>
      <c r="B64" s="63" t="s">
        <v>1451</v>
      </c>
      <c r="C64" s="63" t="s">
        <v>83</v>
      </c>
      <c r="D64" s="63" t="s">
        <v>1595</v>
      </c>
      <c r="E64" s="63" t="s">
        <v>1922</v>
      </c>
      <c r="F64" s="63" t="s">
        <v>1597</v>
      </c>
      <c r="G64" s="63" t="s">
        <v>1923</v>
      </c>
      <c r="H64" s="63" t="s">
        <v>1627</v>
      </c>
      <c r="I64" s="63" t="s">
        <v>1924</v>
      </c>
      <c r="J64" s="63" t="s">
        <v>552</v>
      </c>
      <c r="K64" s="63" t="s">
        <v>1601</v>
      </c>
      <c r="L64" s="63" t="s">
        <v>1910</v>
      </c>
      <c r="M64" s="63" t="s">
        <v>1595</v>
      </c>
      <c r="N64" s="63" t="s">
        <v>1595</v>
      </c>
      <c r="O64" s="63" t="s">
        <v>1604</v>
      </c>
      <c r="P64" s="63" t="s">
        <v>1790</v>
      </c>
      <c r="Q64" s="63" t="s">
        <v>1601</v>
      </c>
      <c r="R64" s="63" t="s">
        <v>1601</v>
      </c>
      <c r="S64" s="63" t="s">
        <v>1723</v>
      </c>
      <c r="T64" s="63"/>
      <c r="U64" s="63"/>
      <c r="V64" s="63"/>
      <c r="W64" s="63"/>
      <c r="X64" s="63"/>
      <c r="Y64" s="63"/>
      <c r="Z64" s="63"/>
    </row>
    <row r="65" spans="1:26" ht="15.75" customHeight="1" x14ac:dyDescent="0.25">
      <c r="A65" s="63" t="s">
        <v>676</v>
      </c>
      <c r="B65" s="63" t="s">
        <v>783</v>
      </c>
      <c r="C65" s="63" t="s">
        <v>308</v>
      </c>
      <c r="D65" s="63" t="s">
        <v>1595</v>
      </c>
      <c r="E65" s="63" t="s">
        <v>1925</v>
      </c>
      <c r="F65" s="63" t="s">
        <v>1597</v>
      </c>
      <c r="G65" s="63" t="s">
        <v>1926</v>
      </c>
      <c r="H65" s="63" t="s">
        <v>1927</v>
      </c>
      <c r="I65" s="63" t="s">
        <v>1928</v>
      </c>
      <c r="J65" s="63" t="s">
        <v>554</v>
      </c>
      <c r="K65" s="63" t="s">
        <v>1601</v>
      </c>
      <c r="L65" s="63" t="s">
        <v>1706</v>
      </c>
      <c r="M65" s="63" t="s">
        <v>1696</v>
      </c>
      <c r="N65" s="63" t="s">
        <v>1595</v>
      </c>
      <c r="O65" s="63" t="s">
        <v>1604</v>
      </c>
      <c r="P65" s="63" t="s">
        <v>1697</v>
      </c>
      <c r="Q65" s="63" t="s">
        <v>1929</v>
      </c>
      <c r="R65" s="63" t="s">
        <v>1601</v>
      </c>
      <c r="S65" s="63" t="s">
        <v>1616</v>
      </c>
      <c r="T65" s="63"/>
      <c r="U65" s="63"/>
      <c r="V65" s="63"/>
      <c r="W65" s="63"/>
      <c r="X65" s="63"/>
      <c r="Y65" s="63"/>
      <c r="Z65" s="63"/>
    </row>
    <row r="66" spans="1:26" ht="15.75" customHeight="1" x14ac:dyDescent="0.25">
      <c r="A66" s="63" t="s">
        <v>678</v>
      </c>
      <c r="B66" s="63" t="s">
        <v>1065</v>
      </c>
      <c r="C66" s="63" t="s">
        <v>443</v>
      </c>
      <c r="D66" s="63" t="s">
        <v>1595</v>
      </c>
      <c r="E66" s="63" t="s">
        <v>1930</v>
      </c>
      <c r="F66" s="63" t="s">
        <v>1597</v>
      </c>
      <c r="G66" s="63" t="s">
        <v>1931</v>
      </c>
      <c r="H66" s="63" t="s">
        <v>1599</v>
      </c>
      <c r="I66" s="63" t="s">
        <v>1932</v>
      </c>
      <c r="J66" s="63" t="s">
        <v>556</v>
      </c>
      <c r="K66" s="63" t="s">
        <v>1601</v>
      </c>
      <c r="L66" s="63" t="s">
        <v>1933</v>
      </c>
      <c r="M66" s="63" t="s">
        <v>1687</v>
      </c>
      <c r="N66" s="63" t="s">
        <v>1595</v>
      </c>
      <c r="O66" s="63" t="s">
        <v>1604</v>
      </c>
      <c r="P66" s="63" t="s">
        <v>1751</v>
      </c>
      <c r="Q66" s="63" t="s">
        <v>1934</v>
      </c>
      <c r="R66" s="63" t="s">
        <v>1601</v>
      </c>
      <c r="S66" s="63" t="s">
        <v>1616</v>
      </c>
      <c r="T66" s="63"/>
      <c r="U66" s="63"/>
      <c r="V66" s="63"/>
      <c r="W66" s="63"/>
      <c r="X66" s="63"/>
      <c r="Y66" s="63"/>
      <c r="Z66" s="63"/>
    </row>
    <row r="67" spans="1:26" ht="15.75" customHeight="1" x14ac:dyDescent="0.25">
      <c r="A67" s="63" t="s">
        <v>680</v>
      </c>
      <c r="B67" s="63" t="s">
        <v>871</v>
      </c>
      <c r="C67" s="63" t="s">
        <v>348</v>
      </c>
      <c r="D67" s="63" t="s">
        <v>1595</v>
      </c>
      <c r="E67" s="63" t="s">
        <v>1935</v>
      </c>
      <c r="F67" s="63" t="s">
        <v>1597</v>
      </c>
      <c r="G67" s="63" t="s">
        <v>1936</v>
      </c>
      <c r="H67" s="63" t="s">
        <v>1610</v>
      </c>
      <c r="I67" s="63" t="s">
        <v>1937</v>
      </c>
      <c r="J67" s="63" t="s">
        <v>560</v>
      </c>
      <c r="K67" s="63" t="s">
        <v>1601</v>
      </c>
      <c r="L67" s="63" t="s">
        <v>1938</v>
      </c>
      <c r="M67" s="63" t="s">
        <v>1603</v>
      </c>
      <c r="N67" s="63" t="s">
        <v>1595</v>
      </c>
      <c r="O67" s="63" t="s">
        <v>1604</v>
      </c>
      <c r="P67" s="63" t="s">
        <v>1939</v>
      </c>
      <c r="Q67" s="63" t="s">
        <v>1940</v>
      </c>
      <c r="R67" s="63" t="s">
        <v>1601</v>
      </c>
      <c r="S67" s="63" t="s">
        <v>1616</v>
      </c>
      <c r="T67" s="63"/>
      <c r="U67" s="63"/>
      <c r="V67" s="63"/>
      <c r="W67" s="63"/>
      <c r="X67" s="63"/>
      <c r="Y67" s="63"/>
      <c r="Z67" s="63"/>
    </row>
    <row r="68" spans="1:26" ht="15.75" customHeight="1" x14ac:dyDescent="0.25">
      <c r="A68" s="63" t="s">
        <v>682</v>
      </c>
      <c r="B68" s="63" t="s">
        <v>1245</v>
      </c>
      <c r="C68" s="63" t="s">
        <v>222</v>
      </c>
      <c r="D68" s="63" t="s">
        <v>1941</v>
      </c>
      <c r="E68" s="63" t="s">
        <v>1904</v>
      </c>
      <c r="F68" s="63" t="s">
        <v>1597</v>
      </c>
      <c r="G68" s="63" t="s">
        <v>1942</v>
      </c>
      <c r="H68" s="63" t="s">
        <v>1610</v>
      </c>
      <c r="I68" s="63" t="s">
        <v>1799</v>
      </c>
      <c r="J68" s="63" t="s">
        <v>556</v>
      </c>
      <c r="K68" s="63" t="s">
        <v>1601</v>
      </c>
      <c r="L68" s="63" t="s">
        <v>1800</v>
      </c>
      <c r="M68" s="63" t="s">
        <v>1595</v>
      </c>
      <c r="N68" s="63" t="s">
        <v>1595</v>
      </c>
      <c r="O68" s="63" t="s">
        <v>1604</v>
      </c>
      <c r="P68" s="63" t="s">
        <v>1790</v>
      </c>
      <c r="Q68" s="63" t="s">
        <v>1943</v>
      </c>
      <c r="R68" s="63" t="s">
        <v>1601</v>
      </c>
      <c r="S68" s="63" t="s">
        <v>1633</v>
      </c>
      <c r="T68" s="63"/>
      <c r="U68" s="63"/>
      <c r="V68" s="63"/>
      <c r="W68" s="63"/>
      <c r="X68" s="63"/>
      <c r="Y68" s="63"/>
      <c r="Z68" s="63"/>
    </row>
    <row r="69" spans="1:26" ht="15.75" customHeight="1" x14ac:dyDescent="0.25">
      <c r="A69" s="63" t="s">
        <v>684</v>
      </c>
      <c r="B69" s="63" t="s">
        <v>1425</v>
      </c>
      <c r="C69" s="63" t="s">
        <v>69</v>
      </c>
      <c r="D69" s="63" t="s">
        <v>1595</v>
      </c>
      <c r="E69" s="63" t="s">
        <v>1944</v>
      </c>
      <c r="F69" s="63" t="s">
        <v>1597</v>
      </c>
      <c r="G69" s="63" t="s">
        <v>1945</v>
      </c>
      <c r="H69" s="63" t="s">
        <v>1610</v>
      </c>
      <c r="I69" s="63" t="s">
        <v>1909</v>
      </c>
      <c r="J69" s="63" t="s">
        <v>558</v>
      </c>
      <c r="K69" s="63" t="s">
        <v>1601</v>
      </c>
      <c r="L69" s="63" t="s">
        <v>1910</v>
      </c>
      <c r="M69" s="63" t="s">
        <v>1595</v>
      </c>
      <c r="N69" s="63" t="s">
        <v>1595</v>
      </c>
      <c r="O69" s="63" t="s">
        <v>1604</v>
      </c>
      <c r="P69" s="63" t="s">
        <v>1946</v>
      </c>
      <c r="Q69" s="63" t="s">
        <v>1947</v>
      </c>
      <c r="R69" s="63" t="s">
        <v>1601</v>
      </c>
      <c r="S69" s="63" t="s">
        <v>1723</v>
      </c>
      <c r="T69" s="63"/>
      <c r="U69" s="63"/>
      <c r="V69" s="63"/>
      <c r="W69" s="63"/>
      <c r="X69" s="63"/>
      <c r="Y69" s="63"/>
      <c r="Z69" s="63"/>
    </row>
    <row r="70" spans="1:26" ht="15.75" customHeight="1" x14ac:dyDescent="0.25">
      <c r="A70" s="63" t="s">
        <v>686</v>
      </c>
      <c r="B70" s="63" t="s">
        <v>553</v>
      </c>
      <c r="C70" s="63" t="s">
        <v>445</v>
      </c>
      <c r="D70" s="63" t="s">
        <v>1595</v>
      </c>
      <c r="E70" s="63" t="s">
        <v>1948</v>
      </c>
      <c r="F70" s="63" t="s">
        <v>1597</v>
      </c>
      <c r="G70" s="63" t="s">
        <v>1949</v>
      </c>
      <c r="H70" s="63" t="s">
        <v>1599</v>
      </c>
      <c r="I70" s="63" t="s">
        <v>1950</v>
      </c>
      <c r="J70" s="63" t="s">
        <v>566</v>
      </c>
      <c r="K70" s="63" t="s">
        <v>1601</v>
      </c>
      <c r="L70" s="63" t="s">
        <v>1951</v>
      </c>
      <c r="M70" s="63" t="s">
        <v>1952</v>
      </c>
      <c r="N70" s="63" t="s">
        <v>1595</v>
      </c>
      <c r="O70" s="63" t="s">
        <v>1604</v>
      </c>
      <c r="P70" s="63" t="s">
        <v>4522</v>
      </c>
      <c r="Q70" s="63" t="s">
        <v>1953</v>
      </c>
      <c r="R70" s="63" t="s">
        <v>1601</v>
      </c>
      <c r="S70" s="63" t="s">
        <v>1607</v>
      </c>
      <c r="T70" s="63"/>
      <c r="U70" s="63"/>
      <c r="V70" s="63"/>
      <c r="W70" s="63"/>
      <c r="X70" s="63"/>
      <c r="Y70" s="63"/>
      <c r="Z70" s="63"/>
    </row>
    <row r="71" spans="1:26" ht="15.75" customHeight="1" x14ac:dyDescent="0.25">
      <c r="A71" s="63" t="s">
        <v>688</v>
      </c>
      <c r="B71" s="63" t="s">
        <v>929</v>
      </c>
      <c r="C71" s="63" t="s">
        <v>375</v>
      </c>
      <c r="D71" s="63" t="s">
        <v>1954</v>
      </c>
      <c r="E71" s="63" t="s">
        <v>1955</v>
      </c>
      <c r="F71" s="63" t="s">
        <v>1597</v>
      </c>
      <c r="G71" s="63" t="s">
        <v>1956</v>
      </c>
      <c r="H71" s="63" t="s">
        <v>1619</v>
      </c>
      <c r="I71" s="63" t="s">
        <v>1957</v>
      </c>
      <c r="J71" s="63" t="s">
        <v>556</v>
      </c>
      <c r="K71" s="63" t="s">
        <v>1601</v>
      </c>
      <c r="L71" s="63" t="s">
        <v>1660</v>
      </c>
      <c r="M71" s="63" t="s">
        <v>1654</v>
      </c>
      <c r="N71" s="63" t="s">
        <v>1595</v>
      </c>
      <c r="O71" s="63" t="s">
        <v>1604</v>
      </c>
      <c r="P71" s="63" t="s">
        <v>1655</v>
      </c>
      <c r="Q71" s="63" t="s">
        <v>1958</v>
      </c>
      <c r="R71" s="63" t="s">
        <v>1601</v>
      </c>
      <c r="S71" s="63" t="s">
        <v>1616</v>
      </c>
      <c r="T71" s="63"/>
      <c r="U71" s="63"/>
      <c r="V71" s="63"/>
      <c r="W71" s="63"/>
      <c r="X71" s="63"/>
      <c r="Y71" s="63"/>
      <c r="Z71" s="63"/>
    </row>
    <row r="72" spans="1:26" ht="15.75" customHeight="1" x14ac:dyDescent="0.25">
      <c r="A72" s="63" t="s">
        <v>690</v>
      </c>
      <c r="B72" s="63" t="s">
        <v>601</v>
      </c>
      <c r="C72" s="63" t="s">
        <v>469</v>
      </c>
      <c r="D72" s="63" t="s">
        <v>1595</v>
      </c>
      <c r="E72" s="63" t="s">
        <v>1959</v>
      </c>
      <c r="F72" s="63" t="s">
        <v>1597</v>
      </c>
      <c r="G72" s="63" t="s">
        <v>1960</v>
      </c>
      <c r="H72" s="63" t="s">
        <v>1627</v>
      </c>
      <c r="I72" s="63" t="s">
        <v>1961</v>
      </c>
      <c r="J72" s="63" t="s">
        <v>1601</v>
      </c>
      <c r="K72" s="63" t="s">
        <v>1601</v>
      </c>
      <c r="L72" s="63" t="s">
        <v>1744</v>
      </c>
      <c r="M72" s="63" t="s">
        <v>1647</v>
      </c>
      <c r="N72" s="63" t="s">
        <v>1595</v>
      </c>
      <c r="O72" s="63" t="s">
        <v>1604</v>
      </c>
      <c r="P72" s="63" t="s">
        <v>1864</v>
      </c>
      <c r="Q72" s="63" t="s">
        <v>1962</v>
      </c>
      <c r="R72" s="63" t="s">
        <v>1601</v>
      </c>
      <c r="S72" s="63" t="s">
        <v>1607</v>
      </c>
      <c r="T72" s="63"/>
      <c r="U72" s="63"/>
      <c r="V72" s="63"/>
      <c r="W72" s="63"/>
      <c r="X72" s="63"/>
      <c r="Y72" s="63"/>
      <c r="Z72" s="63"/>
    </row>
    <row r="73" spans="1:26" ht="15.75" customHeight="1" x14ac:dyDescent="0.25">
      <c r="A73" s="63" t="s">
        <v>692</v>
      </c>
      <c r="B73" s="63" t="s">
        <v>1235</v>
      </c>
      <c r="C73" s="63" t="s">
        <v>217</v>
      </c>
      <c r="D73" s="63" t="s">
        <v>1595</v>
      </c>
      <c r="E73" s="63" t="s">
        <v>1963</v>
      </c>
      <c r="F73" s="63" t="s">
        <v>1597</v>
      </c>
      <c r="G73" s="63" t="s">
        <v>1964</v>
      </c>
      <c r="H73" s="63" t="s">
        <v>1610</v>
      </c>
      <c r="I73" s="63" t="s">
        <v>1965</v>
      </c>
      <c r="J73" s="63" t="s">
        <v>686</v>
      </c>
      <c r="K73" s="63" t="s">
        <v>1601</v>
      </c>
      <c r="L73" s="63" t="s">
        <v>1750</v>
      </c>
      <c r="M73" s="63" t="s">
        <v>1687</v>
      </c>
      <c r="N73" s="63" t="s">
        <v>1595</v>
      </c>
      <c r="O73" s="63" t="s">
        <v>1604</v>
      </c>
      <c r="P73" s="63" t="s">
        <v>1751</v>
      </c>
      <c r="Q73" s="63" t="s">
        <v>1966</v>
      </c>
      <c r="R73" s="63" t="s">
        <v>1601</v>
      </c>
      <c r="S73" s="63" t="s">
        <v>1633</v>
      </c>
      <c r="T73" s="63"/>
      <c r="U73" s="63"/>
      <c r="V73" s="63"/>
      <c r="W73" s="63"/>
      <c r="X73" s="63"/>
      <c r="Y73" s="63"/>
      <c r="Z73" s="63"/>
    </row>
    <row r="74" spans="1:26" ht="15.75" customHeight="1" x14ac:dyDescent="0.25">
      <c r="A74" s="63" t="s">
        <v>694</v>
      </c>
      <c r="B74" s="63" t="s">
        <v>1243</v>
      </c>
      <c r="C74" s="63" t="s">
        <v>221</v>
      </c>
      <c r="D74" s="63" t="s">
        <v>1595</v>
      </c>
      <c r="E74" s="63" t="s">
        <v>1967</v>
      </c>
      <c r="F74" s="63" t="s">
        <v>1597</v>
      </c>
      <c r="G74" s="63" t="s">
        <v>1968</v>
      </c>
      <c r="H74" s="63" t="s">
        <v>1610</v>
      </c>
      <c r="I74" s="63" t="s">
        <v>1969</v>
      </c>
      <c r="J74" s="63" t="s">
        <v>556</v>
      </c>
      <c r="K74" s="63" t="s">
        <v>1601</v>
      </c>
      <c r="L74" s="63" t="s">
        <v>1758</v>
      </c>
      <c r="M74" s="63" t="s">
        <v>1613</v>
      </c>
      <c r="N74" s="63" t="s">
        <v>1595</v>
      </c>
      <c r="O74" s="63" t="s">
        <v>1604</v>
      </c>
      <c r="P74" s="63" t="s">
        <v>1897</v>
      </c>
      <c r="Q74" s="63" t="s">
        <v>1970</v>
      </c>
      <c r="R74" s="63" t="s">
        <v>1601</v>
      </c>
      <c r="S74" s="63" t="s">
        <v>1633</v>
      </c>
      <c r="T74" s="63"/>
      <c r="U74" s="63"/>
      <c r="V74" s="63"/>
      <c r="W74" s="63"/>
      <c r="X74" s="63"/>
      <c r="Y74" s="63"/>
      <c r="Z74" s="63"/>
    </row>
    <row r="75" spans="1:26" ht="15.75" customHeight="1" x14ac:dyDescent="0.25">
      <c r="A75" s="63" t="s">
        <v>696</v>
      </c>
      <c r="B75" s="63" t="s">
        <v>1257</v>
      </c>
      <c r="C75" s="63" t="s">
        <v>228</v>
      </c>
      <c r="D75" s="63" t="s">
        <v>1595</v>
      </c>
      <c r="E75" s="63" t="s">
        <v>1971</v>
      </c>
      <c r="F75" s="63" t="s">
        <v>1597</v>
      </c>
      <c r="G75" s="63" t="s">
        <v>1972</v>
      </c>
      <c r="H75" s="63" t="s">
        <v>1599</v>
      </c>
      <c r="I75" s="63" t="s">
        <v>1973</v>
      </c>
      <c r="J75" s="63" t="s">
        <v>558</v>
      </c>
      <c r="K75" s="63" t="s">
        <v>1601</v>
      </c>
      <c r="L75" s="63" t="s">
        <v>1612</v>
      </c>
      <c r="M75" s="63" t="s">
        <v>1613</v>
      </c>
      <c r="N75" s="63" t="s">
        <v>1595</v>
      </c>
      <c r="O75" s="63" t="s">
        <v>1604</v>
      </c>
      <c r="P75" s="63" t="s">
        <v>1897</v>
      </c>
      <c r="Q75" s="63" t="s">
        <v>1974</v>
      </c>
      <c r="R75" s="63" t="s">
        <v>1601</v>
      </c>
      <c r="S75" s="63" t="s">
        <v>1633</v>
      </c>
      <c r="T75" s="63"/>
      <c r="U75" s="63"/>
      <c r="V75" s="63"/>
      <c r="W75" s="63"/>
      <c r="X75" s="63"/>
      <c r="Y75" s="63"/>
      <c r="Z75" s="63"/>
    </row>
    <row r="76" spans="1:26" ht="15.75" customHeight="1" x14ac:dyDescent="0.25">
      <c r="A76" s="63" t="s">
        <v>698</v>
      </c>
      <c r="B76" s="63" t="s">
        <v>981</v>
      </c>
      <c r="C76" s="63" t="s">
        <v>401</v>
      </c>
      <c r="D76" s="63" t="s">
        <v>1595</v>
      </c>
      <c r="E76" s="63" t="s">
        <v>1975</v>
      </c>
      <c r="F76" s="63" t="s">
        <v>1597</v>
      </c>
      <c r="G76" s="63" t="s">
        <v>1976</v>
      </c>
      <c r="H76" s="63" t="s">
        <v>1610</v>
      </c>
      <c r="I76" s="63" t="s">
        <v>1969</v>
      </c>
      <c r="J76" s="63" t="s">
        <v>554</v>
      </c>
      <c r="K76" s="63" t="s">
        <v>1601</v>
      </c>
      <c r="L76" s="63" t="s">
        <v>1758</v>
      </c>
      <c r="M76" s="63" t="s">
        <v>1613</v>
      </c>
      <c r="N76" s="63" t="s">
        <v>1595</v>
      </c>
      <c r="O76" s="63" t="s">
        <v>1604</v>
      </c>
      <c r="P76" s="63" t="s">
        <v>1897</v>
      </c>
      <c r="Q76" s="63" t="s">
        <v>1977</v>
      </c>
      <c r="R76" s="63" t="s">
        <v>1601</v>
      </c>
      <c r="S76" s="63" t="s">
        <v>1616</v>
      </c>
      <c r="T76" s="63"/>
      <c r="U76" s="63"/>
      <c r="V76" s="63"/>
      <c r="W76" s="63"/>
      <c r="X76" s="63"/>
      <c r="Y76" s="63"/>
      <c r="Z76" s="63"/>
    </row>
    <row r="77" spans="1:26" ht="15.75" customHeight="1" x14ac:dyDescent="0.25">
      <c r="A77" s="63" t="s">
        <v>700</v>
      </c>
      <c r="B77" s="63" t="s">
        <v>1247</v>
      </c>
      <c r="C77" s="63" t="s">
        <v>223</v>
      </c>
      <c r="D77" s="63" t="s">
        <v>1595</v>
      </c>
      <c r="E77" s="63" t="s">
        <v>1978</v>
      </c>
      <c r="F77" s="63" t="s">
        <v>1597</v>
      </c>
      <c r="G77" s="63" t="s">
        <v>1979</v>
      </c>
      <c r="H77" s="63" t="s">
        <v>1610</v>
      </c>
      <c r="I77" s="63" t="s">
        <v>1719</v>
      </c>
      <c r="J77" s="63" t="s">
        <v>556</v>
      </c>
      <c r="K77" s="63" t="s">
        <v>1601</v>
      </c>
      <c r="L77" s="63" t="s">
        <v>1665</v>
      </c>
      <c r="M77" s="63" t="s">
        <v>1613</v>
      </c>
      <c r="N77" s="63" t="s">
        <v>1595</v>
      </c>
      <c r="O77" s="63" t="s">
        <v>1604</v>
      </c>
      <c r="P77" s="63" t="s">
        <v>1701</v>
      </c>
      <c r="Q77" s="63" t="s">
        <v>1980</v>
      </c>
      <c r="R77" s="63" t="s">
        <v>1601</v>
      </c>
      <c r="S77" s="63" t="s">
        <v>1633</v>
      </c>
      <c r="T77" s="63"/>
      <c r="U77" s="63"/>
      <c r="V77" s="63"/>
      <c r="W77" s="63"/>
      <c r="X77" s="63"/>
      <c r="Y77" s="63"/>
      <c r="Z77" s="63"/>
    </row>
    <row r="78" spans="1:26" ht="15.75" customHeight="1" x14ac:dyDescent="0.25">
      <c r="A78" s="63" t="s">
        <v>702</v>
      </c>
      <c r="B78" s="63" t="s">
        <v>1371</v>
      </c>
      <c r="C78" s="63" t="s">
        <v>283</v>
      </c>
      <c r="D78" s="63" t="s">
        <v>1595</v>
      </c>
      <c r="E78" s="63" t="s">
        <v>1981</v>
      </c>
      <c r="F78" s="63" t="s">
        <v>1597</v>
      </c>
      <c r="G78" s="63" t="s">
        <v>1982</v>
      </c>
      <c r="H78" s="63" t="s">
        <v>1610</v>
      </c>
      <c r="I78" s="63" t="s">
        <v>1983</v>
      </c>
      <c r="J78" s="63" t="s">
        <v>558</v>
      </c>
      <c r="K78" s="63" t="s">
        <v>1601</v>
      </c>
      <c r="L78" s="63" t="s">
        <v>1706</v>
      </c>
      <c r="M78" s="63" t="s">
        <v>1696</v>
      </c>
      <c r="N78" s="63" t="s">
        <v>1595</v>
      </c>
      <c r="O78" s="63" t="s">
        <v>1604</v>
      </c>
      <c r="P78" s="63" t="s">
        <v>1697</v>
      </c>
      <c r="Q78" s="63" t="s">
        <v>1984</v>
      </c>
      <c r="R78" s="63" t="s">
        <v>1601</v>
      </c>
      <c r="S78" s="63" t="s">
        <v>1633</v>
      </c>
      <c r="T78" s="63"/>
      <c r="U78" s="63"/>
      <c r="V78" s="63"/>
      <c r="W78" s="63"/>
      <c r="X78" s="63"/>
      <c r="Y78" s="63"/>
      <c r="Z78" s="63"/>
    </row>
    <row r="79" spans="1:26" ht="15.75" customHeight="1" x14ac:dyDescent="0.25">
      <c r="A79" s="63" t="s">
        <v>704</v>
      </c>
      <c r="B79" s="63" t="s">
        <v>951</v>
      </c>
      <c r="C79" s="63" t="s">
        <v>386</v>
      </c>
      <c r="D79" s="63" t="s">
        <v>1595</v>
      </c>
      <c r="E79" s="63" t="s">
        <v>1855</v>
      </c>
      <c r="F79" s="63" t="s">
        <v>1597</v>
      </c>
      <c r="G79" s="63" t="s">
        <v>1985</v>
      </c>
      <c r="H79" s="63" t="s">
        <v>1619</v>
      </c>
      <c r="I79" s="63" t="s">
        <v>1986</v>
      </c>
      <c r="J79" s="63" t="s">
        <v>558</v>
      </c>
      <c r="K79" s="63" t="s">
        <v>1601</v>
      </c>
      <c r="L79" s="63" t="s">
        <v>1612</v>
      </c>
      <c r="M79" s="63" t="s">
        <v>1613</v>
      </c>
      <c r="N79" s="63" t="s">
        <v>1595</v>
      </c>
      <c r="O79" s="63" t="s">
        <v>1604</v>
      </c>
      <c r="P79" s="63" t="s">
        <v>1666</v>
      </c>
      <c r="Q79" s="63" t="s">
        <v>1987</v>
      </c>
      <c r="R79" s="63" t="s">
        <v>1601</v>
      </c>
      <c r="S79" s="63" t="s">
        <v>1616</v>
      </c>
      <c r="T79" s="63"/>
      <c r="U79" s="63"/>
      <c r="V79" s="63"/>
      <c r="W79" s="63"/>
      <c r="X79" s="63"/>
      <c r="Y79" s="63"/>
      <c r="Z79" s="63"/>
    </row>
    <row r="80" spans="1:26" ht="15.75" customHeight="1" x14ac:dyDescent="0.25">
      <c r="A80" s="63" t="s">
        <v>706</v>
      </c>
      <c r="B80" s="63" t="s">
        <v>703</v>
      </c>
      <c r="C80" s="63" t="s">
        <v>519</v>
      </c>
      <c r="D80" s="63" t="s">
        <v>1595</v>
      </c>
      <c r="E80" s="63" t="s">
        <v>1988</v>
      </c>
      <c r="F80" s="63" t="s">
        <v>1597</v>
      </c>
      <c r="G80" s="63" t="s">
        <v>1989</v>
      </c>
      <c r="H80" s="63" t="s">
        <v>1619</v>
      </c>
      <c r="I80" s="63" t="s">
        <v>1762</v>
      </c>
      <c r="J80" s="63" t="s">
        <v>564</v>
      </c>
      <c r="K80" s="63" t="s">
        <v>1601</v>
      </c>
      <c r="L80" s="63" t="s">
        <v>1766</v>
      </c>
      <c r="M80" s="63" t="s">
        <v>1595</v>
      </c>
      <c r="N80" s="63" t="s">
        <v>1595</v>
      </c>
      <c r="O80" s="63" t="s">
        <v>1604</v>
      </c>
      <c r="P80" s="63" t="s">
        <v>1790</v>
      </c>
      <c r="Q80" s="63" t="s">
        <v>1990</v>
      </c>
      <c r="R80" s="63" t="s">
        <v>1601</v>
      </c>
      <c r="S80" s="63" t="s">
        <v>1607</v>
      </c>
      <c r="T80" s="63"/>
      <c r="U80" s="63"/>
      <c r="V80" s="63"/>
      <c r="W80" s="63"/>
      <c r="X80" s="63"/>
      <c r="Y80" s="63"/>
      <c r="Z80" s="63"/>
    </row>
    <row r="81" spans="1:26" ht="15.75" customHeight="1" x14ac:dyDescent="0.25">
      <c r="A81" s="63" t="s">
        <v>708</v>
      </c>
      <c r="B81" s="63" t="s">
        <v>1231</v>
      </c>
      <c r="C81" s="63" t="s">
        <v>215</v>
      </c>
      <c r="D81" s="63" t="s">
        <v>1595</v>
      </c>
      <c r="E81" s="63" t="s">
        <v>1991</v>
      </c>
      <c r="F81" s="63" t="s">
        <v>1597</v>
      </c>
      <c r="G81" s="63" t="s">
        <v>1992</v>
      </c>
      <c r="H81" s="63" t="s">
        <v>1610</v>
      </c>
      <c r="I81" s="63" t="s">
        <v>1705</v>
      </c>
      <c r="J81" s="63" t="s">
        <v>560</v>
      </c>
      <c r="K81" s="63" t="s">
        <v>1601</v>
      </c>
      <c r="L81" s="63" t="s">
        <v>1706</v>
      </c>
      <c r="M81" s="63" t="s">
        <v>1696</v>
      </c>
      <c r="N81" s="63" t="s">
        <v>1595</v>
      </c>
      <c r="O81" s="63" t="s">
        <v>1604</v>
      </c>
      <c r="P81" s="63" t="s">
        <v>1697</v>
      </c>
      <c r="Q81" s="63" t="s">
        <v>1993</v>
      </c>
      <c r="R81" s="63" t="s">
        <v>1601</v>
      </c>
      <c r="S81" s="63" t="s">
        <v>1633</v>
      </c>
      <c r="T81" s="63"/>
      <c r="U81" s="63"/>
      <c r="V81" s="63"/>
      <c r="W81" s="63"/>
      <c r="X81" s="63"/>
      <c r="Y81" s="63"/>
      <c r="Z81" s="63"/>
    </row>
    <row r="82" spans="1:26" ht="15.75" customHeight="1" x14ac:dyDescent="0.25">
      <c r="A82" s="63" t="s">
        <v>710</v>
      </c>
      <c r="B82" s="63" t="s">
        <v>1285</v>
      </c>
      <c r="C82" s="63" t="s">
        <v>242</v>
      </c>
      <c r="D82" s="63" t="s">
        <v>1595</v>
      </c>
      <c r="E82" s="63" t="s">
        <v>1994</v>
      </c>
      <c r="F82" s="63" t="s">
        <v>1597</v>
      </c>
      <c r="G82" s="63" t="s">
        <v>1995</v>
      </c>
      <c r="H82" s="63" t="s">
        <v>1619</v>
      </c>
      <c r="I82" s="63" t="s">
        <v>1996</v>
      </c>
      <c r="J82" s="63" t="s">
        <v>560</v>
      </c>
      <c r="K82" s="63" t="s">
        <v>1601</v>
      </c>
      <c r="L82" s="63" t="s">
        <v>1621</v>
      </c>
      <c r="M82" s="63" t="s">
        <v>1622</v>
      </c>
      <c r="N82" s="63" t="s">
        <v>1595</v>
      </c>
      <c r="O82" s="63" t="s">
        <v>1604</v>
      </c>
      <c r="P82" s="63" t="s">
        <v>1623</v>
      </c>
      <c r="Q82" s="63" t="s">
        <v>1997</v>
      </c>
      <c r="R82" s="63" t="s">
        <v>1601</v>
      </c>
      <c r="S82" s="63" t="s">
        <v>1633</v>
      </c>
      <c r="T82" s="63"/>
      <c r="U82" s="63"/>
      <c r="V82" s="63"/>
      <c r="W82" s="63"/>
      <c r="X82" s="63"/>
      <c r="Y82" s="63"/>
      <c r="Z82" s="63"/>
    </row>
    <row r="83" spans="1:26" ht="15.75" customHeight="1" x14ac:dyDescent="0.25">
      <c r="A83" s="63" t="s">
        <v>712</v>
      </c>
      <c r="B83" s="63" t="s">
        <v>781</v>
      </c>
      <c r="C83" s="63" t="s">
        <v>307</v>
      </c>
      <c r="D83" s="63" t="s">
        <v>1595</v>
      </c>
      <c r="E83" s="63" t="s">
        <v>1998</v>
      </c>
      <c r="F83" s="63" t="s">
        <v>1597</v>
      </c>
      <c r="G83" s="63" t="s">
        <v>1999</v>
      </c>
      <c r="H83" s="63" t="s">
        <v>1619</v>
      </c>
      <c r="I83" s="63" t="s">
        <v>2000</v>
      </c>
      <c r="J83" s="63" t="s">
        <v>560</v>
      </c>
      <c r="K83" s="63" t="s">
        <v>1601</v>
      </c>
      <c r="L83" s="63" t="s">
        <v>1744</v>
      </c>
      <c r="M83" s="63" t="s">
        <v>1647</v>
      </c>
      <c r="N83" s="63" t="s">
        <v>1595</v>
      </c>
      <c r="O83" s="63" t="s">
        <v>1604</v>
      </c>
      <c r="P83" s="63" t="s">
        <v>1648</v>
      </c>
      <c r="Q83" s="63" t="s">
        <v>2001</v>
      </c>
      <c r="R83" s="63" t="s">
        <v>1601</v>
      </c>
      <c r="S83" s="63" t="s">
        <v>1616</v>
      </c>
      <c r="T83" s="63"/>
      <c r="U83" s="63"/>
      <c r="V83" s="63"/>
      <c r="W83" s="63"/>
      <c r="X83" s="63"/>
      <c r="Y83" s="63"/>
      <c r="Z83" s="63"/>
    </row>
    <row r="84" spans="1:26" ht="15.75" customHeight="1" x14ac:dyDescent="0.25">
      <c r="A84" s="63" t="s">
        <v>714</v>
      </c>
      <c r="B84" s="63" t="s">
        <v>1261</v>
      </c>
      <c r="C84" s="63" t="s">
        <v>230</v>
      </c>
      <c r="D84" s="63" t="s">
        <v>1595</v>
      </c>
      <c r="E84" s="63" t="s">
        <v>2002</v>
      </c>
      <c r="F84" s="63" t="s">
        <v>1597</v>
      </c>
      <c r="G84" s="63" t="s">
        <v>2003</v>
      </c>
      <c r="H84" s="63" t="s">
        <v>1610</v>
      </c>
      <c r="I84" s="63" t="s">
        <v>2004</v>
      </c>
      <c r="J84" s="63" t="s">
        <v>562</v>
      </c>
      <c r="K84" s="63" t="s">
        <v>1601</v>
      </c>
      <c r="L84" s="63" t="s">
        <v>1612</v>
      </c>
      <c r="M84" s="63" t="s">
        <v>1613</v>
      </c>
      <c r="N84" s="63" t="s">
        <v>1595</v>
      </c>
      <c r="O84" s="63" t="s">
        <v>1604</v>
      </c>
      <c r="P84" s="63" t="s">
        <v>1897</v>
      </c>
      <c r="Q84" s="63" t="s">
        <v>2005</v>
      </c>
      <c r="R84" s="63" t="s">
        <v>1601</v>
      </c>
      <c r="S84" s="63" t="s">
        <v>1633</v>
      </c>
      <c r="T84" s="63"/>
      <c r="U84" s="63"/>
      <c r="V84" s="63"/>
      <c r="W84" s="63"/>
      <c r="X84" s="63"/>
      <c r="Y84" s="63"/>
      <c r="Z84" s="63"/>
    </row>
    <row r="85" spans="1:26" ht="15.75" customHeight="1" x14ac:dyDescent="0.25">
      <c r="A85" s="63" t="s">
        <v>716</v>
      </c>
      <c r="B85" s="63" t="s">
        <v>1105</v>
      </c>
      <c r="C85" s="63" t="s">
        <v>154</v>
      </c>
      <c r="D85" s="63" t="s">
        <v>1595</v>
      </c>
      <c r="E85" s="63" t="s">
        <v>2006</v>
      </c>
      <c r="F85" s="63" t="s">
        <v>1597</v>
      </c>
      <c r="G85" s="63" t="s">
        <v>2007</v>
      </c>
      <c r="H85" s="63" t="s">
        <v>1619</v>
      </c>
      <c r="I85" s="63" t="s">
        <v>2008</v>
      </c>
      <c r="J85" s="63" t="s">
        <v>552</v>
      </c>
      <c r="K85" s="63" t="s">
        <v>1601</v>
      </c>
      <c r="L85" s="63" t="s">
        <v>1646</v>
      </c>
      <c r="M85" s="63" t="s">
        <v>1647</v>
      </c>
      <c r="N85" s="63" t="s">
        <v>1595</v>
      </c>
      <c r="O85" s="63" t="s">
        <v>1604</v>
      </c>
      <c r="P85" s="63" t="s">
        <v>1745</v>
      </c>
      <c r="Q85" s="63" t="s">
        <v>2009</v>
      </c>
      <c r="R85" s="63" t="s">
        <v>1601</v>
      </c>
      <c r="S85" s="63" t="s">
        <v>1633</v>
      </c>
      <c r="T85" s="63"/>
      <c r="U85" s="63"/>
      <c r="V85" s="63"/>
      <c r="W85" s="63"/>
      <c r="X85" s="63"/>
      <c r="Y85" s="63"/>
      <c r="Z85" s="63"/>
    </row>
    <row r="86" spans="1:26" ht="15.75" customHeight="1" x14ac:dyDescent="0.25">
      <c r="A86" s="63" t="s">
        <v>718</v>
      </c>
      <c r="B86" s="63" t="s">
        <v>1239</v>
      </c>
      <c r="C86" s="63" t="s">
        <v>219</v>
      </c>
      <c r="D86" s="63" t="s">
        <v>1595</v>
      </c>
      <c r="E86" s="63" t="s">
        <v>2010</v>
      </c>
      <c r="F86" s="63" t="s">
        <v>1597</v>
      </c>
      <c r="G86" s="63" t="s">
        <v>2011</v>
      </c>
      <c r="H86" s="63" t="s">
        <v>1610</v>
      </c>
      <c r="I86" s="63" t="s">
        <v>2012</v>
      </c>
      <c r="J86" s="63" t="s">
        <v>562</v>
      </c>
      <c r="K86" s="63" t="s">
        <v>1601</v>
      </c>
      <c r="L86" s="63" t="s">
        <v>1744</v>
      </c>
      <c r="M86" s="63" t="s">
        <v>1647</v>
      </c>
      <c r="N86" s="63" t="s">
        <v>1595</v>
      </c>
      <c r="O86" s="63" t="s">
        <v>1604</v>
      </c>
      <c r="P86" s="63" t="s">
        <v>1745</v>
      </c>
      <c r="Q86" s="63" t="s">
        <v>2013</v>
      </c>
      <c r="R86" s="63" t="s">
        <v>1601</v>
      </c>
      <c r="S86" s="63" t="s">
        <v>1633</v>
      </c>
      <c r="T86" s="63"/>
      <c r="U86" s="63"/>
      <c r="V86" s="63"/>
      <c r="W86" s="63"/>
      <c r="X86" s="63"/>
      <c r="Y86" s="63"/>
      <c r="Z86" s="63"/>
    </row>
    <row r="87" spans="1:26" ht="15.75" customHeight="1" x14ac:dyDescent="0.25">
      <c r="A87" s="63" t="s">
        <v>720</v>
      </c>
      <c r="B87" s="63" t="s">
        <v>1309</v>
      </c>
      <c r="C87" s="63" t="s">
        <v>253</v>
      </c>
      <c r="D87" s="63" t="s">
        <v>2014</v>
      </c>
      <c r="E87" s="63" t="s">
        <v>2015</v>
      </c>
      <c r="F87" s="63" t="s">
        <v>1597</v>
      </c>
      <c r="G87" s="63" t="s">
        <v>2016</v>
      </c>
      <c r="H87" s="63" t="s">
        <v>1619</v>
      </c>
      <c r="I87" s="63" t="s">
        <v>2017</v>
      </c>
      <c r="J87" s="63" t="s">
        <v>552</v>
      </c>
      <c r="K87" s="63" t="s">
        <v>572</v>
      </c>
      <c r="L87" s="63" t="s">
        <v>2018</v>
      </c>
      <c r="M87" s="63" t="s">
        <v>2019</v>
      </c>
      <c r="N87" s="63" t="s">
        <v>2014</v>
      </c>
      <c r="O87" s="63" t="s">
        <v>1604</v>
      </c>
      <c r="P87" s="63" t="s">
        <v>1790</v>
      </c>
      <c r="Q87" s="63" t="s">
        <v>2020</v>
      </c>
      <c r="R87" s="63" t="s">
        <v>1601</v>
      </c>
      <c r="S87" s="63" t="s">
        <v>1633</v>
      </c>
      <c r="T87" s="63"/>
      <c r="U87" s="63"/>
      <c r="V87" s="63"/>
      <c r="W87" s="63"/>
      <c r="X87" s="63"/>
      <c r="Y87" s="63"/>
      <c r="Z87" s="63"/>
    </row>
    <row r="88" spans="1:26" ht="15.75" customHeight="1" x14ac:dyDescent="0.25">
      <c r="A88" s="63" t="s">
        <v>722</v>
      </c>
      <c r="B88" s="63" t="s">
        <v>1165</v>
      </c>
      <c r="C88" s="63" t="s">
        <v>183</v>
      </c>
      <c r="D88" s="63" t="s">
        <v>1595</v>
      </c>
      <c r="E88" s="63" t="s">
        <v>1922</v>
      </c>
      <c r="F88" s="63" t="s">
        <v>1597</v>
      </c>
      <c r="G88" s="63" t="s">
        <v>2021</v>
      </c>
      <c r="H88" s="63" t="s">
        <v>1619</v>
      </c>
      <c r="I88" s="63" t="s">
        <v>2022</v>
      </c>
      <c r="J88" s="63" t="s">
        <v>554</v>
      </c>
      <c r="K88" s="63" t="s">
        <v>1601</v>
      </c>
      <c r="L88" s="63" t="s">
        <v>1832</v>
      </c>
      <c r="M88" s="63" t="s">
        <v>1630</v>
      </c>
      <c r="N88" s="63" t="s">
        <v>1595</v>
      </c>
      <c r="O88" s="63" t="s">
        <v>1604</v>
      </c>
      <c r="P88" s="63" t="s">
        <v>2023</v>
      </c>
      <c r="Q88" s="63" t="s">
        <v>2024</v>
      </c>
      <c r="R88" s="63" t="s">
        <v>1601</v>
      </c>
      <c r="S88" s="63" t="s">
        <v>1633</v>
      </c>
      <c r="T88" s="63"/>
      <c r="U88" s="63"/>
      <c r="V88" s="63"/>
      <c r="W88" s="63"/>
      <c r="X88" s="63"/>
      <c r="Y88" s="63"/>
      <c r="Z88" s="63"/>
    </row>
    <row r="89" spans="1:26" ht="15.75" customHeight="1" x14ac:dyDescent="0.25">
      <c r="A89" s="63" t="s">
        <v>724</v>
      </c>
      <c r="B89" s="63" t="s">
        <v>1149</v>
      </c>
      <c r="C89" s="63" t="s">
        <v>175</v>
      </c>
      <c r="D89" s="63" t="s">
        <v>1595</v>
      </c>
      <c r="E89" s="63" t="s">
        <v>2025</v>
      </c>
      <c r="F89" s="63" t="s">
        <v>1597</v>
      </c>
      <c r="G89" s="63" t="s">
        <v>2026</v>
      </c>
      <c r="H89" s="63" t="s">
        <v>1610</v>
      </c>
      <c r="I89" s="63" t="s">
        <v>2027</v>
      </c>
      <c r="J89" s="63" t="s">
        <v>552</v>
      </c>
      <c r="K89" s="63" t="s">
        <v>1601</v>
      </c>
      <c r="L89" s="63" t="s">
        <v>1665</v>
      </c>
      <c r="M89" s="63" t="s">
        <v>1613</v>
      </c>
      <c r="N89" s="63" t="s">
        <v>1595</v>
      </c>
      <c r="O89" s="63" t="s">
        <v>1604</v>
      </c>
      <c r="P89" s="63" t="s">
        <v>1701</v>
      </c>
      <c r="Q89" s="63" t="s">
        <v>2028</v>
      </c>
      <c r="R89" s="63" t="s">
        <v>1601</v>
      </c>
      <c r="S89" s="63" t="s">
        <v>1633</v>
      </c>
      <c r="T89" s="63"/>
      <c r="U89" s="63"/>
      <c r="V89" s="63"/>
      <c r="W89" s="63"/>
      <c r="X89" s="63"/>
      <c r="Y89" s="63"/>
      <c r="Z89" s="63"/>
    </row>
    <row r="90" spans="1:26" ht="15.75" customHeight="1" x14ac:dyDescent="0.25">
      <c r="A90" s="63" t="s">
        <v>726</v>
      </c>
      <c r="B90" s="63" t="s">
        <v>1367</v>
      </c>
      <c r="C90" s="63" t="s">
        <v>281</v>
      </c>
      <c r="D90" s="63" t="s">
        <v>1595</v>
      </c>
      <c r="E90" s="63" t="s">
        <v>2029</v>
      </c>
      <c r="F90" s="63" t="s">
        <v>1597</v>
      </c>
      <c r="G90" s="63" t="s">
        <v>2030</v>
      </c>
      <c r="H90" s="63" t="s">
        <v>1619</v>
      </c>
      <c r="I90" s="63" t="s">
        <v>2031</v>
      </c>
      <c r="J90" s="63" t="s">
        <v>566</v>
      </c>
      <c r="K90" s="63" t="s">
        <v>1601</v>
      </c>
      <c r="L90" s="63" t="s">
        <v>1750</v>
      </c>
      <c r="M90" s="63" t="s">
        <v>1687</v>
      </c>
      <c r="N90" s="63" t="s">
        <v>1595</v>
      </c>
      <c r="O90" s="63" t="s">
        <v>1604</v>
      </c>
      <c r="P90" s="63" t="s">
        <v>1751</v>
      </c>
      <c r="Q90" s="63" t="s">
        <v>2032</v>
      </c>
      <c r="R90" s="63" t="s">
        <v>1601</v>
      </c>
      <c r="S90" s="63" t="s">
        <v>1633</v>
      </c>
      <c r="T90" s="63"/>
      <c r="U90" s="63"/>
      <c r="V90" s="63"/>
      <c r="W90" s="63"/>
      <c r="X90" s="63"/>
      <c r="Y90" s="63"/>
      <c r="Z90" s="63"/>
    </row>
    <row r="91" spans="1:26" ht="15.75" customHeight="1" x14ac:dyDescent="0.25">
      <c r="A91" s="63" t="s">
        <v>728</v>
      </c>
      <c r="B91" s="63" t="s">
        <v>1351</v>
      </c>
      <c r="C91" s="63" t="s">
        <v>273</v>
      </c>
      <c r="D91" s="63" t="s">
        <v>2033</v>
      </c>
      <c r="E91" s="63" t="s">
        <v>2034</v>
      </c>
      <c r="F91" s="63" t="s">
        <v>1597</v>
      </c>
      <c r="G91" s="63" t="s">
        <v>2035</v>
      </c>
      <c r="H91" s="63" t="s">
        <v>1619</v>
      </c>
      <c r="I91" s="63" t="s">
        <v>1983</v>
      </c>
      <c r="J91" s="63" t="s">
        <v>552</v>
      </c>
      <c r="K91" s="63" t="s">
        <v>1601</v>
      </c>
      <c r="L91" s="63" t="s">
        <v>1744</v>
      </c>
      <c r="M91" s="63" t="s">
        <v>1647</v>
      </c>
      <c r="N91" s="63" t="s">
        <v>1595</v>
      </c>
      <c r="O91" s="63" t="s">
        <v>1604</v>
      </c>
      <c r="P91" s="63" t="s">
        <v>1648</v>
      </c>
      <c r="Q91" s="63" t="s">
        <v>2036</v>
      </c>
      <c r="R91" s="63" t="s">
        <v>1601</v>
      </c>
      <c r="S91" s="63" t="s">
        <v>1633</v>
      </c>
      <c r="T91" s="63"/>
      <c r="U91" s="63"/>
      <c r="V91" s="63"/>
      <c r="W91" s="63"/>
      <c r="X91" s="63"/>
      <c r="Y91" s="63"/>
      <c r="Z91" s="63"/>
    </row>
    <row r="92" spans="1:26" ht="15.75" customHeight="1" x14ac:dyDescent="0.25">
      <c r="A92" s="63" t="s">
        <v>730</v>
      </c>
      <c r="B92" s="63" t="s">
        <v>1529</v>
      </c>
      <c r="C92" s="63" t="s">
        <v>121</v>
      </c>
      <c r="D92" s="63" t="s">
        <v>1595</v>
      </c>
      <c r="E92" s="63" t="s">
        <v>2037</v>
      </c>
      <c r="F92" s="63" t="s">
        <v>1597</v>
      </c>
      <c r="G92" s="63" t="s">
        <v>2038</v>
      </c>
      <c r="H92" s="63" t="s">
        <v>1610</v>
      </c>
      <c r="I92" s="63" t="s">
        <v>2039</v>
      </c>
      <c r="J92" s="63" t="s">
        <v>566</v>
      </c>
      <c r="K92" s="63" t="s">
        <v>1601</v>
      </c>
      <c r="L92" s="63" t="s">
        <v>1822</v>
      </c>
      <c r="M92" s="63" t="s">
        <v>1613</v>
      </c>
      <c r="N92" s="63" t="s">
        <v>1595</v>
      </c>
      <c r="O92" s="63" t="s">
        <v>1604</v>
      </c>
      <c r="P92" s="63" t="s">
        <v>1915</v>
      </c>
      <c r="Q92" s="63" t="s">
        <v>2040</v>
      </c>
      <c r="R92" s="63" t="s">
        <v>1601</v>
      </c>
      <c r="S92" s="63" t="s">
        <v>1723</v>
      </c>
      <c r="T92" s="63"/>
      <c r="U92" s="63"/>
      <c r="V92" s="63"/>
      <c r="W92" s="63"/>
      <c r="X92" s="63"/>
      <c r="Y92" s="63"/>
      <c r="Z92" s="63"/>
    </row>
    <row r="93" spans="1:26" ht="15.75" customHeight="1" x14ac:dyDescent="0.25">
      <c r="A93" s="63" t="s">
        <v>732</v>
      </c>
      <c r="B93" s="63" t="s">
        <v>2041</v>
      </c>
      <c r="C93" s="63" t="s">
        <v>2042</v>
      </c>
      <c r="D93" s="63" t="s">
        <v>2043</v>
      </c>
      <c r="E93" s="63" t="s">
        <v>2044</v>
      </c>
      <c r="F93" s="63" t="s">
        <v>1597</v>
      </c>
      <c r="G93" s="63" t="s">
        <v>2045</v>
      </c>
      <c r="H93" s="63" t="s">
        <v>1742</v>
      </c>
      <c r="I93" s="63" t="s">
        <v>2046</v>
      </c>
      <c r="J93" s="63" t="s">
        <v>650</v>
      </c>
      <c r="K93" s="63" t="s">
        <v>568</v>
      </c>
      <c r="L93" s="63" t="s">
        <v>2043</v>
      </c>
      <c r="M93" s="63" t="s">
        <v>2047</v>
      </c>
      <c r="N93" s="63" t="s">
        <v>2048</v>
      </c>
      <c r="O93" s="63" t="s">
        <v>2049</v>
      </c>
      <c r="P93" s="63" t="s">
        <v>2050</v>
      </c>
      <c r="Q93" s="63" t="s">
        <v>2051</v>
      </c>
      <c r="R93" s="63" t="s">
        <v>1601</v>
      </c>
      <c r="S93" s="63" t="s">
        <v>538</v>
      </c>
      <c r="T93" s="63"/>
      <c r="U93" s="63"/>
      <c r="V93" s="63"/>
      <c r="W93" s="63"/>
      <c r="X93" s="63"/>
      <c r="Y93" s="63"/>
      <c r="Z93" s="63"/>
    </row>
    <row r="94" spans="1:26" ht="15.75" customHeight="1" x14ac:dyDescent="0.25">
      <c r="A94" s="63" t="s">
        <v>734</v>
      </c>
      <c r="B94" s="63" t="s">
        <v>1301</v>
      </c>
      <c r="C94" s="63" t="s">
        <v>249</v>
      </c>
      <c r="D94" s="63" t="s">
        <v>1595</v>
      </c>
      <c r="E94" s="63" t="s">
        <v>2052</v>
      </c>
      <c r="F94" s="63" t="s">
        <v>1597</v>
      </c>
      <c r="G94" s="63" t="s">
        <v>2053</v>
      </c>
      <c r="H94" s="63" t="s">
        <v>1610</v>
      </c>
      <c r="I94" s="63" t="s">
        <v>1675</v>
      </c>
      <c r="J94" s="63" t="s">
        <v>564</v>
      </c>
      <c r="K94" s="63" t="s">
        <v>1601</v>
      </c>
      <c r="L94" s="63" t="s">
        <v>1670</v>
      </c>
      <c r="M94" s="63" t="s">
        <v>1654</v>
      </c>
      <c r="N94" s="63" t="s">
        <v>1595</v>
      </c>
      <c r="O94" s="63" t="s">
        <v>1604</v>
      </c>
      <c r="P94" s="63" t="s">
        <v>1655</v>
      </c>
      <c r="Q94" s="63" t="s">
        <v>2054</v>
      </c>
      <c r="R94" s="63" t="s">
        <v>1601</v>
      </c>
      <c r="S94" s="63" t="s">
        <v>1633</v>
      </c>
      <c r="T94" s="63"/>
      <c r="U94" s="63"/>
      <c r="V94" s="63"/>
      <c r="W94" s="63"/>
      <c r="X94" s="63"/>
      <c r="Y94" s="63"/>
      <c r="Z94" s="63"/>
    </row>
    <row r="95" spans="1:26" ht="15.75" customHeight="1" x14ac:dyDescent="0.25">
      <c r="A95" s="63" t="s">
        <v>736</v>
      </c>
      <c r="B95" s="63" t="s">
        <v>1337</v>
      </c>
      <c r="C95" s="63" t="s">
        <v>266</v>
      </c>
      <c r="D95" s="63" t="s">
        <v>1595</v>
      </c>
      <c r="E95" s="63" t="s">
        <v>2055</v>
      </c>
      <c r="F95" s="63" t="s">
        <v>1597</v>
      </c>
      <c r="G95" s="63" t="s">
        <v>2056</v>
      </c>
      <c r="H95" s="63" t="s">
        <v>1619</v>
      </c>
      <c r="I95" s="63" t="s">
        <v>2057</v>
      </c>
      <c r="J95" s="63" t="s">
        <v>554</v>
      </c>
      <c r="K95" s="63" t="s">
        <v>1601</v>
      </c>
      <c r="L95" s="63" t="s">
        <v>1758</v>
      </c>
      <c r="M95" s="63" t="s">
        <v>1613</v>
      </c>
      <c r="N95" s="63" t="s">
        <v>1595</v>
      </c>
      <c r="O95" s="63" t="s">
        <v>1604</v>
      </c>
      <c r="P95" s="63" t="s">
        <v>1897</v>
      </c>
      <c r="Q95" s="63" t="s">
        <v>2058</v>
      </c>
      <c r="R95" s="63" t="s">
        <v>1601</v>
      </c>
      <c r="S95" s="63" t="s">
        <v>1633</v>
      </c>
      <c r="T95" s="63"/>
      <c r="U95" s="63"/>
      <c r="V95" s="63"/>
      <c r="W95" s="63"/>
      <c r="X95" s="63"/>
      <c r="Y95" s="63"/>
      <c r="Z95" s="63"/>
    </row>
    <row r="96" spans="1:26" ht="15.75" customHeight="1" x14ac:dyDescent="0.25">
      <c r="A96" s="63" t="s">
        <v>738</v>
      </c>
      <c r="B96" s="63" t="s">
        <v>1375</v>
      </c>
      <c r="C96" s="63" t="s">
        <v>285</v>
      </c>
      <c r="D96" s="63" t="s">
        <v>1595</v>
      </c>
      <c r="E96" s="63" t="s">
        <v>1981</v>
      </c>
      <c r="F96" s="63" t="s">
        <v>1597</v>
      </c>
      <c r="G96" s="63" t="s">
        <v>2059</v>
      </c>
      <c r="H96" s="63" t="s">
        <v>1610</v>
      </c>
      <c r="I96" s="63" t="s">
        <v>2060</v>
      </c>
      <c r="J96" s="63" t="s">
        <v>552</v>
      </c>
      <c r="K96" s="63" t="s">
        <v>1601</v>
      </c>
      <c r="L96" s="63" t="s">
        <v>1832</v>
      </c>
      <c r="M96" s="63" t="s">
        <v>1630</v>
      </c>
      <c r="N96" s="63" t="s">
        <v>1595</v>
      </c>
      <c r="O96" s="63" t="s">
        <v>1604</v>
      </c>
      <c r="P96" s="63" t="s">
        <v>2061</v>
      </c>
      <c r="Q96" s="63" t="s">
        <v>2062</v>
      </c>
      <c r="R96" s="63" t="s">
        <v>1601</v>
      </c>
      <c r="S96" s="63" t="s">
        <v>1633</v>
      </c>
      <c r="T96" s="63"/>
      <c r="U96" s="63"/>
      <c r="V96" s="63"/>
      <c r="W96" s="63"/>
      <c r="X96" s="63"/>
      <c r="Y96" s="63"/>
      <c r="Z96" s="63"/>
    </row>
    <row r="97" spans="1:26" ht="15.75" customHeight="1" x14ac:dyDescent="0.25">
      <c r="A97" s="63" t="s">
        <v>740</v>
      </c>
      <c r="B97" s="63" t="s">
        <v>1269</v>
      </c>
      <c r="C97" s="63" t="s">
        <v>234</v>
      </c>
      <c r="D97" s="63" t="s">
        <v>1595</v>
      </c>
      <c r="E97" s="63" t="s">
        <v>1871</v>
      </c>
      <c r="F97" s="63" t="s">
        <v>1597</v>
      </c>
      <c r="G97" s="63" t="s">
        <v>2063</v>
      </c>
      <c r="H97" s="63" t="s">
        <v>1610</v>
      </c>
      <c r="I97" s="63" t="s">
        <v>2064</v>
      </c>
      <c r="J97" s="63" t="s">
        <v>736</v>
      </c>
      <c r="K97" s="63" t="s">
        <v>1601</v>
      </c>
      <c r="L97" s="63" t="s">
        <v>2065</v>
      </c>
      <c r="M97" s="63" t="s">
        <v>1622</v>
      </c>
      <c r="N97" s="63" t="s">
        <v>1595</v>
      </c>
      <c r="O97" s="63" t="s">
        <v>1604</v>
      </c>
      <c r="P97" s="63" t="s">
        <v>1790</v>
      </c>
      <c r="Q97" s="63" t="s">
        <v>2066</v>
      </c>
      <c r="R97" s="63" t="s">
        <v>1601</v>
      </c>
      <c r="S97" s="63" t="s">
        <v>1633</v>
      </c>
      <c r="T97" s="63"/>
      <c r="U97" s="63"/>
      <c r="V97" s="63"/>
      <c r="W97" s="63"/>
      <c r="X97" s="63"/>
      <c r="Y97" s="63"/>
      <c r="Z97" s="63"/>
    </row>
    <row r="98" spans="1:26" ht="15.75" customHeight="1" x14ac:dyDescent="0.25">
      <c r="A98" s="63" t="s">
        <v>742</v>
      </c>
      <c r="B98" s="63" t="s">
        <v>625</v>
      </c>
      <c r="C98" s="63" t="s">
        <v>481</v>
      </c>
      <c r="D98" s="63" t="s">
        <v>1595</v>
      </c>
      <c r="E98" s="63" t="s">
        <v>2067</v>
      </c>
      <c r="F98" s="63" t="s">
        <v>1597</v>
      </c>
      <c r="G98" s="63" t="s">
        <v>2068</v>
      </c>
      <c r="H98" s="63" t="s">
        <v>1610</v>
      </c>
      <c r="I98" s="63" t="s">
        <v>1636</v>
      </c>
      <c r="J98" s="63" t="s">
        <v>560</v>
      </c>
      <c r="K98" s="63" t="s">
        <v>1601</v>
      </c>
      <c r="L98" s="63" t="s">
        <v>1637</v>
      </c>
      <c r="M98" s="63" t="s">
        <v>1595</v>
      </c>
      <c r="N98" s="63" t="s">
        <v>1595</v>
      </c>
      <c r="O98" s="63" t="s">
        <v>1604</v>
      </c>
      <c r="P98" s="63" t="s">
        <v>1790</v>
      </c>
      <c r="Q98" s="63" t="s">
        <v>2069</v>
      </c>
      <c r="R98" s="63" t="s">
        <v>1601</v>
      </c>
      <c r="S98" s="63" t="s">
        <v>1607</v>
      </c>
      <c r="T98" s="63"/>
      <c r="U98" s="63"/>
      <c r="V98" s="63"/>
      <c r="W98" s="63"/>
      <c r="X98" s="63"/>
      <c r="Y98" s="63"/>
      <c r="Z98" s="63"/>
    </row>
    <row r="99" spans="1:26" ht="15.75" customHeight="1" x14ac:dyDescent="0.25">
      <c r="A99" s="63" t="s">
        <v>744</v>
      </c>
      <c r="B99" s="63" t="s">
        <v>1377</v>
      </c>
      <c r="C99" s="63" t="s">
        <v>286</v>
      </c>
      <c r="D99" s="63" t="s">
        <v>1595</v>
      </c>
      <c r="E99" s="63" t="s">
        <v>2070</v>
      </c>
      <c r="F99" s="63" t="s">
        <v>1597</v>
      </c>
      <c r="G99" s="63" t="s">
        <v>2071</v>
      </c>
      <c r="H99" s="63" t="s">
        <v>1610</v>
      </c>
      <c r="I99" s="63" t="s">
        <v>2072</v>
      </c>
      <c r="J99" s="63" t="s">
        <v>552</v>
      </c>
      <c r="K99" s="63" t="s">
        <v>1601</v>
      </c>
      <c r="L99" s="63" t="s">
        <v>1822</v>
      </c>
      <c r="M99" s="63" t="s">
        <v>1613</v>
      </c>
      <c r="N99" s="63" t="s">
        <v>1595</v>
      </c>
      <c r="O99" s="63" t="s">
        <v>1604</v>
      </c>
      <c r="P99" s="63" t="s">
        <v>2073</v>
      </c>
      <c r="Q99" s="63" t="s">
        <v>2074</v>
      </c>
      <c r="R99" s="63" t="s">
        <v>1601</v>
      </c>
      <c r="S99" s="63" t="s">
        <v>1633</v>
      </c>
      <c r="T99" s="63"/>
      <c r="U99" s="63"/>
      <c r="V99" s="63"/>
      <c r="W99" s="63"/>
      <c r="X99" s="63"/>
      <c r="Y99" s="63"/>
      <c r="Z99" s="63"/>
    </row>
    <row r="100" spans="1:26" ht="15.75" customHeight="1" x14ac:dyDescent="0.25">
      <c r="A100" s="63" t="s">
        <v>746</v>
      </c>
      <c r="B100" s="63" t="s">
        <v>2075</v>
      </c>
      <c r="C100" s="63" t="s">
        <v>2076</v>
      </c>
      <c r="D100" s="63" t="s">
        <v>2077</v>
      </c>
      <c r="E100" s="63" t="s">
        <v>2078</v>
      </c>
      <c r="F100" s="63" t="s">
        <v>2079</v>
      </c>
      <c r="G100" s="63" t="s">
        <v>2080</v>
      </c>
      <c r="H100" s="63" t="s">
        <v>1610</v>
      </c>
      <c r="I100" s="63" t="s">
        <v>2081</v>
      </c>
      <c r="J100" s="63" t="s">
        <v>668</v>
      </c>
      <c r="K100" s="63" t="s">
        <v>602</v>
      </c>
      <c r="L100" s="63" t="s">
        <v>2082</v>
      </c>
      <c r="M100" s="63" t="s">
        <v>2083</v>
      </c>
      <c r="N100" s="63" t="s">
        <v>2084</v>
      </c>
      <c r="O100" s="63" t="s">
        <v>1604</v>
      </c>
      <c r="P100" s="63" t="s">
        <v>2085</v>
      </c>
      <c r="Q100" s="63" t="s">
        <v>2086</v>
      </c>
      <c r="R100" s="63" t="s">
        <v>1601</v>
      </c>
      <c r="S100" s="63" t="s">
        <v>1616</v>
      </c>
      <c r="T100" s="63"/>
      <c r="U100" s="63"/>
      <c r="V100" s="63"/>
      <c r="W100" s="63"/>
      <c r="X100" s="63"/>
      <c r="Y100" s="63"/>
      <c r="Z100" s="63"/>
    </row>
    <row r="101" spans="1:26" ht="15.75" customHeight="1" x14ac:dyDescent="0.25">
      <c r="A101" s="63" t="s">
        <v>748</v>
      </c>
      <c r="B101" s="63" t="s">
        <v>2087</v>
      </c>
      <c r="C101" s="63" t="s">
        <v>2088</v>
      </c>
      <c r="D101" s="63" t="s">
        <v>2084</v>
      </c>
      <c r="E101" s="63" t="s">
        <v>1844</v>
      </c>
      <c r="F101" s="63" t="s">
        <v>2079</v>
      </c>
      <c r="G101" s="63" t="s">
        <v>2089</v>
      </c>
      <c r="H101" s="63" t="s">
        <v>1742</v>
      </c>
      <c r="I101" s="63" t="s">
        <v>2090</v>
      </c>
      <c r="J101" s="63" t="s">
        <v>636</v>
      </c>
      <c r="K101" s="63" t="s">
        <v>590</v>
      </c>
      <c r="L101" s="63" t="s">
        <v>2082</v>
      </c>
      <c r="M101" s="63" t="s">
        <v>2083</v>
      </c>
      <c r="N101" s="63" t="s">
        <v>2084</v>
      </c>
      <c r="O101" s="63" t="s">
        <v>1604</v>
      </c>
      <c r="P101" s="63" t="s">
        <v>2085</v>
      </c>
      <c r="Q101" s="63" t="s">
        <v>2091</v>
      </c>
      <c r="R101" s="63" t="s">
        <v>1601</v>
      </c>
      <c r="S101" s="63" t="s">
        <v>1616</v>
      </c>
      <c r="T101" s="63"/>
      <c r="U101" s="63"/>
      <c r="V101" s="63"/>
      <c r="W101" s="63"/>
      <c r="X101" s="63"/>
      <c r="Y101" s="63"/>
      <c r="Z101" s="63"/>
    </row>
    <row r="102" spans="1:26" ht="15.75" customHeight="1" x14ac:dyDescent="0.25">
      <c r="A102" s="63" t="s">
        <v>750</v>
      </c>
      <c r="B102" s="63" t="s">
        <v>1015</v>
      </c>
      <c r="C102" s="63" t="s">
        <v>418</v>
      </c>
      <c r="D102" s="63" t="s">
        <v>1595</v>
      </c>
      <c r="E102" s="63" t="s">
        <v>2092</v>
      </c>
      <c r="F102" s="63" t="s">
        <v>1597</v>
      </c>
      <c r="G102" s="63" t="s">
        <v>2093</v>
      </c>
      <c r="H102" s="63" t="s">
        <v>1627</v>
      </c>
      <c r="I102" s="63" t="s">
        <v>2094</v>
      </c>
      <c r="J102" s="63" t="s">
        <v>552</v>
      </c>
      <c r="K102" s="63" t="s">
        <v>1601</v>
      </c>
      <c r="L102" s="63" t="s">
        <v>1621</v>
      </c>
      <c r="M102" s="63" t="s">
        <v>1622</v>
      </c>
      <c r="N102" s="63" t="s">
        <v>1595</v>
      </c>
      <c r="O102" s="63" t="s">
        <v>1604</v>
      </c>
      <c r="P102" s="63" t="s">
        <v>2095</v>
      </c>
      <c r="Q102" s="63" t="s">
        <v>2096</v>
      </c>
      <c r="R102" s="63" t="s">
        <v>1601</v>
      </c>
      <c r="S102" s="63" t="s">
        <v>1616</v>
      </c>
      <c r="T102" s="63"/>
      <c r="U102" s="63"/>
      <c r="V102" s="63"/>
      <c r="W102" s="63"/>
      <c r="X102" s="63"/>
      <c r="Y102" s="63"/>
      <c r="Z102" s="63"/>
    </row>
    <row r="103" spans="1:26" ht="15.75" customHeight="1" x14ac:dyDescent="0.25">
      <c r="A103" s="63" t="s">
        <v>752</v>
      </c>
      <c r="B103" s="63" t="s">
        <v>1167</v>
      </c>
      <c r="C103" s="63" t="s">
        <v>184</v>
      </c>
      <c r="D103" s="63" t="s">
        <v>1595</v>
      </c>
      <c r="E103" s="63" t="s">
        <v>2097</v>
      </c>
      <c r="F103" s="63" t="s">
        <v>1597</v>
      </c>
      <c r="G103" s="63" t="s">
        <v>2098</v>
      </c>
      <c r="H103" s="63" t="s">
        <v>1610</v>
      </c>
      <c r="I103" s="63" t="s">
        <v>2099</v>
      </c>
      <c r="J103" s="63" t="s">
        <v>688</v>
      </c>
      <c r="K103" s="63" t="s">
        <v>1601</v>
      </c>
      <c r="L103" s="63" t="s">
        <v>2100</v>
      </c>
      <c r="M103" s="63" t="s">
        <v>1630</v>
      </c>
      <c r="N103" s="63" t="s">
        <v>1595</v>
      </c>
      <c r="O103" s="63" t="s">
        <v>1604</v>
      </c>
      <c r="P103" s="63" t="s">
        <v>1745</v>
      </c>
      <c r="Q103" s="63" t="s">
        <v>2101</v>
      </c>
      <c r="R103" s="63" t="s">
        <v>1601</v>
      </c>
      <c r="S103" s="63" t="s">
        <v>1633</v>
      </c>
      <c r="T103" s="63"/>
      <c r="U103" s="63"/>
      <c r="V103" s="63"/>
      <c r="W103" s="63"/>
      <c r="X103" s="63"/>
      <c r="Y103" s="63"/>
      <c r="Z103" s="63"/>
    </row>
    <row r="104" spans="1:26" ht="15.75" customHeight="1" x14ac:dyDescent="0.25">
      <c r="A104" s="63" t="s">
        <v>754</v>
      </c>
      <c r="B104" s="63" t="s">
        <v>621</v>
      </c>
      <c r="C104" s="63" t="s">
        <v>479</v>
      </c>
      <c r="D104" s="63" t="s">
        <v>1595</v>
      </c>
      <c r="E104" s="63" t="s">
        <v>2102</v>
      </c>
      <c r="F104" s="63" t="s">
        <v>1597</v>
      </c>
      <c r="G104" s="63" t="s">
        <v>2103</v>
      </c>
      <c r="H104" s="63" t="s">
        <v>1619</v>
      </c>
      <c r="I104" s="63" t="s">
        <v>2104</v>
      </c>
      <c r="J104" s="63" t="s">
        <v>570</v>
      </c>
      <c r="K104" s="63" t="s">
        <v>558</v>
      </c>
      <c r="L104" s="63" t="s">
        <v>2105</v>
      </c>
      <c r="M104" s="63" t="s">
        <v>2106</v>
      </c>
      <c r="N104" s="63" t="s">
        <v>2106</v>
      </c>
      <c r="O104" s="63" t="s">
        <v>2107</v>
      </c>
      <c r="P104" s="63" t="s">
        <v>2108</v>
      </c>
      <c r="Q104" s="63" t="s">
        <v>2109</v>
      </c>
      <c r="R104" s="63" t="s">
        <v>1601</v>
      </c>
      <c r="S104" s="63" t="s">
        <v>1607</v>
      </c>
      <c r="T104" s="63"/>
      <c r="U104" s="63"/>
      <c r="V104" s="63"/>
      <c r="W104" s="63"/>
      <c r="X104" s="63"/>
      <c r="Y104" s="63"/>
      <c r="Z104" s="63"/>
    </row>
    <row r="105" spans="1:26" ht="15.75" customHeight="1" x14ac:dyDescent="0.25">
      <c r="A105" s="63" t="s">
        <v>756</v>
      </c>
      <c r="B105" s="63" t="s">
        <v>1199</v>
      </c>
      <c r="C105" s="63" t="s">
        <v>199</v>
      </c>
      <c r="D105" s="63" t="s">
        <v>1870</v>
      </c>
      <c r="E105" s="63" t="s">
        <v>2110</v>
      </c>
      <c r="F105" s="63" t="s">
        <v>1597</v>
      </c>
      <c r="G105" s="63" t="s">
        <v>2111</v>
      </c>
      <c r="H105" s="63" t="s">
        <v>1610</v>
      </c>
      <c r="I105" s="63" t="s">
        <v>2112</v>
      </c>
      <c r="J105" s="63" t="s">
        <v>564</v>
      </c>
      <c r="K105" s="63" t="s">
        <v>564</v>
      </c>
      <c r="L105" s="63" t="s">
        <v>2113</v>
      </c>
      <c r="M105" s="63" t="s">
        <v>2114</v>
      </c>
      <c r="N105" s="63" t="s">
        <v>1870</v>
      </c>
      <c r="O105" s="63" t="s">
        <v>1604</v>
      </c>
      <c r="P105" s="63" t="s">
        <v>2115</v>
      </c>
      <c r="Q105" s="63" t="s">
        <v>2116</v>
      </c>
      <c r="R105" s="63" t="s">
        <v>2116</v>
      </c>
      <c r="S105" s="63" t="s">
        <v>1633</v>
      </c>
      <c r="T105" s="63"/>
      <c r="U105" s="63"/>
      <c r="V105" s="63"/>
      <c r="W105" s="63"/>
      <c r="X105" s="63"/>
      <c r="Y105" s="63"/>
      <c r="Z105" s="63"/>
    </row>
    <row r="106" spans="1:26" ht="15.75" customHeight="1" x14ac:dyDescent="0.25">
      <c r="A106" s="63" t="s">
        <v>758</v>
      </c>
      <c r="B106" s="63" t="s">
        <v>1557</v>
      </c>
      <c r="C106" s="63" t="s">
        <v>135</v>
      </c>
      <c r="D106" s="63" t="s">
        <v>1595</v>
      </c>
      <c r="E106" s="63" t="s">
        <v>2117</v>
      </c>
      <c r="F106" s="63" t="s">
        <v>1597</v>
      </c>
      <c r="G106" s="63" t="s">
        <v>2118</v>
      </c>
      <c r="H106" s="63" t="s">
        <v>1619</v>
      </c>
      <c r="I106" s="63" t="s">
        <v>2119</v>
      </c>
      <c r="J106" s="63" t="s">
        <v>554</v>
      </c>
      <c r="K106" s="63" t="s">
        <v>1601</v>
      </c>
      <c r="L106" s="63" t="s">
        <v>1868</v>
      </c>
      <c r="M106" s="63" t="s">
        <v>1859</v>
      </c>
      <c r="N106" s="63" t="s">
        <v>1595</v>
      </c>
      <c r="O106" s="63" t="s">
        <v>1604</v>
      </c>
      <c r="P106" s="63" t="s">
        <v>1860</v>
      </c>
      <c r="Q106" s="63" t="s">
        <v>2120</v>
      </c>
      <c r="R106" s="63" t="s">
        <v>2121</v>
      </c>
      <c r="S106" s="63" t="s">
        <v>1633</v>
      </c>
      <c r="T106" s="63"/>
      <c r="U106" s="63"/>
      <c r="V106" s="63"/>
      <c r="W106" s="63"/>
      <c r="X106" s="63"/>
      <c r="Y106" s="63"/>
      <c r="Z106" s="63"/>
    </row>
    <row r="107" spans="1:26" ht="15.75" customHeight="1" x14ac:dyDescent="0.25">
      <c r="A107" s="63" t="s">
        <v>760</v>
      </c>
      <c r="B107" s="63" t="s">
        <v>845</v>
      </c>
      <c r="C107" s="63" t="s">
        <v>338</v>
      </c>
      <c r="D107" s="63" t="s">
        <v>1595</v>
      </c>
      <c r="E107" s="63" t="s">
        <v>2122</v>
      </c>
      <c r="F107" s="63" t="s">
        <v>1597</v>
      </c>
      <c r="G107" s="63" t="s">
        <v>2123</v>
      </c>
      <c r="H107" s="63" t="s">
        <v>1610</v>
      </c>
      <c r="I107" s="63" t="s">
        <v>1630</v>
      </c>
      <c r="J107" s="63" t="s">
        <v>558</v>
      </c>
      <c r="K107" s="63" t="s">
        <v>1601</v>
      </c>
      <c r="L107" s="63" t="s">
        <v>1858</v>
      </c>
      <c r="M107" s="63" t="s">
        <v>1859</v>
      </c>
      <c r="N107" s="63" t="s">
        <v>1595</v>
      </c>
      <c r="O107" s="63" t="s">
        <v>1604</v>
      </c>
      <c r="P107" s="63" t="s">
        <v>1860</v>
      </c>
      <c r="Q107" s="63" t="s">
        <v>2124</v>
      </c>
      <c r="R107" s="63" t="s">
        <v>2121</v>
      </c>
      <c r="S107" s="63" t="s">
        <v>1616</v>
      </c>
      <c r="T107" s="63"/>
      <c r="U107" s="63"/>
      <c r="V107" s="63"/>
      <c r="W107" s="63"/>
      <c r="X107" s="63"/>
      <c r="Y107" s="63"/>
      <c r="Z107" s="63"/>
    </row>
    <row r="108" spans="1:26" ht="15.75" customHeight="1" x14ac:dyDescent="0.25">
      <c r="A108" s="63" t="s">
        <v>762</v>
      </c>
      <c r="B108" s="63" t="s">
        <v>723</v>
      </c>
      <c r="C108" s="63" t="s">
        <v>26</v>
      </c>
      <c r="D108" s="63" t="s">
        <v>2077</v>
      </c>
      <c r="E108" s="63" t="s">
        <v>2125</v>
      </c>
      <c r="F108" s="63" t="s">
        <v>1597</v>
      </c>
      <c r="G108" s="63" t="s">
        <v>2126</v>
      </c>
      <c r="H108" s="63" t="s">
        <v>1610</v>
      </c>
      <c r="I108" s="63" t="s">
        <v>2127</v>
      </c>
      <c r="J108" s="63" t="s">
        <v>556</v>
      </c>
      <c r="K108" s="63" t="s">
        <v>1601</v>
      </c>
      <c r="L108" s="63" t="s">
        <v>1822</v>
      </c>
      <c r="M108" s="63" t="s">
        <v>1613</v>
      </c>
      <c r="N108" s="63" t="s">
        <v>1595</v>
      </c>
      <c r="O108" s="63" t="s">
        <v>1604</v>
      </c>
      <c r="P108" s="63" t="s">
        <v>2128</v>
      </c>
      <c r="Q108" s="63" t="s">
        <v>2129</v>
      </c>
      <c r="R108" s="63" t="s">
        <v>2130</v>
      </c>
      <c r="S108" s="63" t="s">
        <v>538</v>
      </c>
      <c r="T108" s="63"/>
      <c r="U108" s="63"/>
      <c r="V108" s="63"/>
      <c r="W108" s="63"/>
      <c r="X108" s="63"/>
      <c r="Y108" s="63"/>
      <c r="Z108" s="63"/>
    </row>
    <row r="109" spans="1:26" ht="15.75" customHeight="1" x14ac:dyDescent="0.25">
      <c r="A109" s="63" t="s">
        <v>764</v>
      </c>
      <c r="B109" s="63" t="s">
        <v>1327</v>
      </c>
      <c r="C109" s="63" t="s">
        <v>261</v>
      </c>
      <c r="D109" s="63" t="s">
        <v>1595</v>
      </c>
      <c r="E109" s="63" t="s">
        <v>2131</v>
      </c>
      <c r="F109" s="63" t="s">
        <v>1597</v>
      </c>
      <c r="G109" s="63" t="s">
        <v>2132</v>
      </c>
      <c r="H109" s="63" t="s">
        <v>1610</v>
      </c>
      <c r="I109" s="63" t="s">
        <v>2133</v>
      </c>
      <c r="J109" s="63" t="s">
        <v>556</v>
      </c>
      <c r="K109" s="63" t="s">
        <v>1601</v>
      </c>
      <c r="L109" s="63" t="s">
        <v>1952</v>
      </c>
      <c r="M109" s="63" t="s">
        <v>1952</v>
      </c>
      <c r="N109" s="63" t="s">
        <v>1595</v>
      </c>
      <c r="O109" s="63" t="s">
        <v>1604</v>
      </c>
      <c r="P109" s="63" t="s">
        <v>2134</v>
      </c>
      <c r="Q109" s="63" t="s">
        <v>2135</v>
      </c>
      <c r="R109" s="63" t="s">
        <v>2136</v>
      </c>
      <c r="S109" s="63" t="s">
        <v>1633</v>
      </c>
      <c r="T109" s="63"/>
      <c r="U109" s="63"/>
      <c r="V109" s="63"/>
      <c r="W109" s="63"/>
      <c r="X109" s="63"/>
      <c r="Y109" s="63"/>
      <c r="Z109" s="63"/>
    </row>
    <row r="110" spans="1:26" ht="15.75" customHeight="1" x14ac:dyDescent="0.25">
      <c r="A110" s="63" t="s">
        <v>766</v>
      </c>
      <c r="B110" s="63" t="s">
        <v>923</v>
      </c>
      <c r="C110" s="63" t="s">
        <v>373</v>
      </c>
      <c r="D110" s="63" t="s">
        <v>1595</v>
      </c>
      <c r="E110" s="63" t="s">
        <v>2137</v>
      </c>
      <c r="F110" s="63" t="s">
        <v>1597</v>
      </c>
      <c r="G110" s="63" t="s">
        <v>2138</v>
      </c>
      <c r="H110" s="63" t="s">
        <v>1610</v>
      </c>
      <c r="I110" s="63" t="s">
        <v>2139</v>
      </c>
      <c r="J110" s="63" t="s">
        <v>556</v>
      </c>
      <c r="K110" s="63" t="s">
        <v>1601</v>
      </c>
      <c r="L110" s="63" t="s">
        <v>1646</v>
      </c>
      <c r="M110" s="63" t="s">
        <v>1647</v>
      </c>
      <c r="N110" s="63" t="s">
        <v>1595</v>
      </c>
      <c r="O110" s="63" t="s">
        <v>1604</v>
      </c>
      <c r="P110" s="63" t="s">
        <v>1648</v>
      </c>
      <c r="Q110" s="63" t="s">
        <v>2140</v>
      </c>
      <c r="R110" s="63" t="s">
        <v>2121</v>
      </c>
      <c r="S110" s="63" t="s">
        <v>1616</v>
      </c>
      <c r="T110" s="63"/>
      <c r="U110" s="63"/>
      <c r="V110" s="63"/>
      <c r="W110" s="63"/>
      <c r="X110" s="63"/>
      <c r="Y110" s="63"/>
      <c r="Z110" s="63"/>
    </row>
    <row r="111" spans="1:26" ht="15.75" customHeight="1" x14ac:dyDescent="0.25">
      <c r="A111" s="63" t="s">
        <v>768</v>
      </c>
      <c r="B111" s="63" t="s">
        <v>579</v>
      </c>
      <c r="C111" s="63" t="s">
        <v>458</v>
      </c>
      <c r="D111" s="63" t="s">
        <v>1595</v>
      </c>
      <c r="E111" s="63" t="s">
        <v>2141</v>
      </c>
      <c r="F111" s="63" t="s">
        <v>2079</v>
      </c>
      <c r="G111" s="63" t="s">
        <v>2142</v>
      </c>
      <c r="H111" s="63" t="s">
        <v>1610</v>
      </c>
      <c r="I111" s="63" t="s">
        <v>2143</v>
      </c>
      <c r="J111" s="63" t="s">
        <v>552</v>
      </c>
      <c r="K111" s="63" t="s">
        <v>1601</v>
      </c>
      <c r="L111" s="63" t="s">
        <v>2144</v>
      </c>
      <c r="M111" s="63" t="s">
        <v>2145</v>
      </c>
      <c r="N111" s="63" t="s">
        <v>1595</v>
      </c>
      <c r="O111" s="63" t="s">
        <v>1604</v>
      </c>
      <c r="P111" s="63" t="s">
        <v>5041</v>
      </c>
      <c r="Q111" s="63" t="s">
        <v>2147</v>
      </c>
      <c r="R111" s="63" t="s">
        <v>2135</v>
      </c>
      <c r="S111" s="63" t="s">
        <v>1607</v>
      </c>
      <c r="T111" s="63"/>
      <c r="U111" s="63"/>
      <c r="V111" s="63"/>
      <c r="W111" s="63"/>
      <c r="X111" s="63"/>
      <c r="Y111" s="63"/>
      <c r="Z111" s="63"/>
    </row>
    <row r="112" spans="1:26" ht="15.75" customHeight="1" x14ac:dyDescent="0.25">
      <c r="A112" s="63" t="s">
        <v>770</v>
      </c>
      <c r="B112" s="63" t="s">
        <v>1547</v>
      </c>
      <c r="C112" s="63" t="s">
        <v>130</v>
      </c>
      <c r="D112" s="63" t="s">
        <v>1595</v>
      </c>
      <c r="E112" s="63" t="s">
        <v>2148</v>
      </c>
      <c r="F112" s="63" t="s">
        <v>1597</v>
      </c>
      <c r="G112" s="63" t="s">
        <v>2149</v>
      </c>
      <c r="H112" s="63" t="s">
        <v>1619</v>
      </c>
      <c r="I112" s="63" t="s">
        <v>2150</v>
      </c>
      <c r="J112" s="63" t="s">
        <v>722</v>
      </c>
      <c r="K112" s="63" t="s">
        <v>1601</v>
      </c>
      <c r="L112" s="63" t="s">
        <v>1695</v>
      </c>
      <c r="M112" s="63" t="s">
        <v>1696</v>
      </c>
      <c r="N112" s="63" t="s">
        <v>1595</v>
      </c>
      <c r="O112" s="63" t="s">
        <v>1604</v>
      </c>
      <c r="P112" s="63" t="s">
        <v>1697</v>
      </c>
      <c r="Q112" s="63" t="s">
        <v>2151</v>
      </c>
      <c r="R112" s="63" t="s">
        <v>2121</v>
      </c>
      <c r="S112" s="63" t="s">
        <v>1723</v>
      </c>
      <c r="T112" s="63"/>
      <c r="U112" s="63"/>
      <c r="V112" s="63"/>
      <c r="W112" s="63"/>
      <c r="X112" s="63"/>
      <c r="Y112" s="63"/>
      <c r="Z112" s="63"/>
    </row>
    <row r="113" spans="1:26" ht="15.75" customHeight="1" x14ac:dyDescent="0.25">
      <c r="A113" s="63" t="s">
        <v>772</v>
      </c>
      <c r="B113" s="63" t="s">
        <v>1259</v>
      </c>
      <c r="C113" s="63" t="s">
        <v>229</v>
      </c>
      <c r="D113" s="63" t="s">
        <v>1595</v>
      </c>
      <c r="E113" s="63" t="s">
        <v>2152</v>
      </c>
      <c r="F113" s="63" t="s">
        <v>1597</v>
      </c>
      <c r="G113" s="63" t="s">
        <v>2153</v>
      </c>
      <c r="H113" s="63" t="s">
        <v>1627</v>
      </c>
      <c r="I113" s="63" t="s">
        <v>2154</v>
      </c>
      <c r="J113" s="63" t="s">
        <v>562</v>
      </c>
      <c r="K113" s="63" t="s">
        <v>1601</v>
      </c>
      <c r="L113" s="63" t="s">
        <v>1621</v>
      </c>
      <c r="M113" s="63" t="s">
        <v>1622</v>
      </c>
      <c r="N113" s="63" t="s">
        <v>1595</v>
      </c>
      <c r="O113" s="63" t="s">
        <v>1604</v>
      </c>
      <c r="P113" s="63" t="s">
        <v>1833</v>
      </c>
      <c r="Q113" s="63" t="s">
        <v>2155</v>
      </c>
      <c r="R113" s="63" t="s">
        <v>2121</v>
      </c>
      <c r="S113" s="63" t="s">
        <v>1633</v>
      </c>
      <c r="T113" s="63"/>
      <c r="U113" s="63"/>
      <c r="V113" s="63"/>
      <c r="W113" s="63"/>
      <c r="X113" s="63"/>
      <c r="Y113" s="63"/>
      <c r="Z113" s="63"/>
    </row>
    <row r="114" spans="1:26" ht="15.75" customHeight="1" x14ac:dyDescent="0.25">
      <c r="A114" s="63" t="s">
        <v>774</v>
      </c>
      <c r="B114" s="63" t="s">
        <v>1537</v>
      </c>
      <c r="C114" s="63" t="s">
        <v>125</v>
      </c>
      <c r="D114" s="63" t="s">
        <v>1595</v>
      </c>
      <c r="E114" s="63" t="s">
        <v>1871</v>
      </c>
      <c r="F114" s="63" t="s">
        <v>1597</v>
      </c>
      <c r="G114" s="63" t="s">
        <v>2156</v>
      </c>
      <c r="H114" s="63" t="s">
        <v>1619</v>
      </c>
      <c r="I114" s="63" t="s">
        <v>2157</v>
      </c>
      <c r="J114" s="63" t="s">
        <v>556</v>
      </c>
      <c r="K114" s="63" t="s">
        <v>1601</v>
      </c>
      <c r="L114" s="63" t="s">
        <v>1938</v>
      </c>
      <c r="M114" s="63" t="s">
        <v>1603</v>
      </c>
      <c r="N114" s="63" t="s">
        <v>1595</v>
      </c>
      <c r="O114" s="63" t="s">
        <v>1604</v>
      </c>
      <c r="P114" s="63" t="s">
        <v>2158</v>
      </c>
      <c r="Q114" s="63" t="s">
        <v>2159</v>
      </c>
      <c r="R114" s="63" t="s">
        <v>2121</v>
      </c>
      <c r="S114" s="63" t="s">
        <v>1723</v>
      </c>
      <c r="T114" s="63"/>
      <c r="U114" s="63"/>
      <c r="V114" s="63"/>
      <c r="W114" s="63"/>
      <c r="X114" s="63"/>
      <c r="Y114" s="63"/>
      <c r="Z114" s="63"/>
    </row>
    <row r="115" spans="1:26" ht="15.75" customHeight="1" x14ac:dyDescent="0.25">
      <c r="A115" s="63" t="s">
        <v>776</v>
      </c>
      <c r="B115" s="63" t="s">
        <v>1209</v>
      </c>
      <c r="C115" s="63" t="s">
        <v>205</v>
      </c>
      <c r="D115" s="63" t="s">
        <v>1595</v>
      </c>
      <c r="E115" s="63" t="s">
        <v>2160</v>
      </c>
      <c r="F115" s="63" t="s">
        <v>1597</v>
      </c>
      <c r="G115" s="63" t="s">
        <v>2161</v>
      </c>
      <c r="H115" s="63" t="s">
        <v>1610</v>
      </c>
      <c r="I115" s="63" t="s">
        <v>1932</v>
      </c>
      <c r="J115" s="63" t="s">
        <v>2121</v>
      </c>
      <c r="K115" s="63" t="s">
        <v>1601</v>
      </c>
      <c r="L115" s="63" t="s">
        <v>1933</v>
      </c>
      <c r="M115" s="63" t="s">
        <v>1687</v>
      </c>
      <c r="N115" s="63" t="s">
        <v>1595</v>
      </c>
      <c r="O115" s="63" t="s">
        <v>1604</v>
      </c>
      <c r="P115" s="63" t="s">
        <v>1751</v>
      </c>
      <c r="Q115" s="63" t="s">
        <v>2162</v>
      </c>
      <c r="R115" s="63" t="s">
        <v>2121</v>
      </c>
      <c r="S115" s="63" t="s">
        <v>1633</v>
      </c>
      <c r="T115" s="63"/>
      <c r="U115" s="63"/>
      <c r="V115" s="63"/>
      <c r="W115" s="63"/>
      <c r="X115" s="63"/>
      <c r="Y115" s="63"/>
      <c r="Z115" s="63"/>
    </row>
    <row r="116" spans="1:26" ht="15.75" customHeight="1" x14ac:dyDescent="0.25">
      <c r="A116" s="63" t="s">
        <v>778</v>
      </c>
      <c r="B116" s="63" t="s">
        <v>1047</v>
      </c>
      <c r="C116" s="63" t="s">
        <v>434</v>
      </c>
      <c r="D116" s="63" t="s">
        <v>1595</v>
      </c>
      <c r="E116" s="63" t="s">
        <v>2163</v>
      </c>
      <c r="F116" s="63" t="s">
        <v>1597</v>
      </c>
      <c r="G116" s="63" t="s">
        <v>2164</v>
      </c>
      <c r="H116" s="63" t="s">
        <v>1627</v>
      </c>
      <c r="I116" s="63" t="s">
        <v>2165</v>
      </c>
      <c r="J116" s="63" t="s">
        <v>560</v>
      </c>
      <c r="K116" s="63" t="s">
        <v>1601</v>
      </c>
      <c r="L116" s="63" t="s">
        <v>2166</v>
      </c>
      <c r="M116" s="63" t="s">
        <v>1603</v>
      </c>
      <c r="N116" s="63" t="s">
        <v>1595</v>
      </c>
      <c r="O116" s="63" t="s">
        <v>1604</v>
      </c>
      <c r="P116" s="63" t="s">
        <v>1790</v>
      </c>
      <c r="Q116" s="63" t="s">
        <v>2167</v>
      </c>
      <c r="R116" s="63" t="s">
        <v>2121</v>
      </c>
      <c r="S116" s="63" t="s">
        <v>1616</v>
      </c>
      <c r="T116" s="63"/>
      <c r="U116" s="63"/>
      <c r="V116" s="63"/>
      <c r="W116" s="63"/>
      <c r="X116" s="63"/>
      <c r="Y116" s="63"/>
      <c r="Z116" s="63"/>
    </row>
    <row r="117" spans="1:26" ht="15.75" customHeight="1" x14ac:dyDescent="0.25">
      <c r="A117" s="63" t="s">
        <v>780</v>
      </c>
      <c r="B117" s="63" t="s">
        <v>879</v>
      </c>
      <c r="C117" s="63" t="s">
        <v>352</v>
      </c>
      <c r="D117" s="63" t="s">
        <v>1595</v>
      </c>
      <c r="E117" s="63" t="s">
        <v>2168</v>
      </c>
      <c r="F117" s="63" t="s">
        <v>1597</v>
      </c>
      <c r="G117" s="63" t="s">
        <v>2169</v>
      </c>
      <c r="H117" s="63" t="s">
        <v>1610</v>
      </c>
      <c r="I117" s="63" t="s">
        <v>1937</v>
      </c>
      <c r="J117" s="63" t="s">
        <v>564</v>
      </c>
      <c r="K117" s="63" t="s">
        <v>1601</v>
      </c>
      <c r="L117" s="63" t="s">
        <v>1938</v>
      </c>
      <c r="M117" s="63" t="s">
        <v>1603</v>
      </c>
      <c r="N117" s="63" t="s">
        <v>1595</v>
      </c>
      <c r="O117" s="63" t="s">
        <v>1604</v>
      </c>
      <c r="P117" s="63" t="s">
        <v>1790</v>
      </c>
      <c r="Q117" s="63" t="s">
        <v>2170</v>
      </c>
      <c r="R117" s="63" t="s">
        <v>2121</v>
      </c>
      <c r="S117" s="63" t="s">
        <v>1616</v>
      </c>
      <c r="T117" s="63"/>
      <c r="U117" s="63"/>
      <c r="V117" s="63"/>
      <c r="W117" s="63"/>
      <c r="X117" s="63"/>
      <c r="Y117" s="63"/>
      <c r="Z117" s="63"/>
    </row>
    <row r="118" spans="1:26" ht="15.75" customHeight="1" x14ac:dyDescent="0.25">
      <c r="A118" s="63" t="s">
        <v>782</v>
      </c>
      <c r="B118" s="63" t="s">
        <v>2171</v>
      </c>
      <c r="C118" s="63" t="s">
        <v>2172</v>
      </c>
      <c r="D118" s="63" t="s">
        <v>1595</v>
      </c>
      <c r="E118" s="63" t="s">
        <v>2173</v>
      </c>
      <c r="F118" s="63" t="s">
        <v>1597</v>
      </c>
      <c r="G118" s="63" t="s">
        <v>2174</v>
      </c>
      <c r="H118" s="63" t="s">
        <v>1619</v>
      </c>
      <c r="I118" s="63" t="s">
        <v>2175</v>
      </c>
      <c r="J118" s="63" t="s">
        <v>554</v>
      </c>
      <c r="K118" s="63" t="s">
        <v>1601</v>
      </c>
      <c r="L118" s="63" t="s">
        <v>1910</v>
      </c>
      <c r="M118" s="63" t="s">
        <v>1595</v>
      </c>
      <c r="N118" s="63" t="s">
        <v>1595</v>
      </c>
      <c r="O118" s="63" t="s">
        <v>1604</v>
      </c>
      <c r="P118" s="63" t="s">
        <v>2176</v>
      </c>
      <c r="Q118" s="63" t="s">
        <v>2177</v>
      </c>
      <c r="R118" s="63" t="s">
        <v>2121</v>
      </c>
      <c r="S118" s="63" t="s">
        <v>1723</v>
      </c>
      <c r="T118" s="63"/>
      <c r="U118" s="63"/>
      <c r="V118" s="63"/>
      <c r="W118" s="63"/>
      <c r="X118" s="63"/>
      <c r="Y118" s="63"/>
      <c r="Z118" s="63"/>
    </row>
    <row r="119" spans="1:26" ht="15.75" customHeight="1" x14ac:dyDescent="0.25">
      <c r="A119" s="63" t="s">
        <v>784</v>
      </c>
      <c r="B119" s="63" t="s">
        <v>969</v>
      </c>
      <c r="C119" s="63" t="s">
        <v>395</v>
      </c>
      <c r="D119" s="63" t="s">
        <v>1595</v>
      </c>
      <c r="E119" s="63" t="s">
        <v>2178</v>
      </c>
      <c r="F119" s="63" t="s">
        <v>1597</v>
      </c>
      <c r="G119" s="63" t="s">
        <v>2179</v>
      </c>
      <c r="H119" s="63" t="s">
        <v>1610</v>
      </c>
      <c r="I119" s="63" t="s">
        <v>1654</v>
      </c>
      <c r="J119" s="63" t="s">
        <v>552</v>
      </c>
      <c r="K119" s="63" t="s">
        <v>1601</v>
      </c>
      <c r="L119" s="63" t="s">
        <v>1670</v>
      </c>
      <c r="M119" s="63" t="s">
        <v>1654</v>
      </c>
      <c r="N119" s="63" t="s">
        <v>1595</v>
      </c>
      <c r="O119" s="63" t="s">
        <v>1604</v>
      </c>
      <c r="P119" s="63" t="s">
        <v>1671</v>
      </c>
      <c r="Q119" s="63" t="s">
        <v>2180</v>
      </c>
      <c r="R119" s="63" t="s">
        <v>2121</v>
      </c>
      <c r="S119" s="63" t="s">
        <v>1616</v>
      </c>
      <c r="T119" s="63"/>
      <c r="U119" s="63"/>
      <c r="V119" s="63"/>
      <c r="W119" s="63"/>
      <c r="X119" s="63"/>
      <c r="Y119" s="63"/>
      <c r="Z119" s="63"/>
    </row>
    <row r="120" spans="1:26" ht="15.75" customHeight="1" x14ac:dyDescent="0.25">
      <c r="A120" s="63" t="s">
        <v>786</v>
      </c>
      <c r="B120" s="63" t="s">
        <v>2181</v>
      </c>
      <c r="C120" s="63" t="s">
        <v>2182</v>
      </c>
      <c r="D120" s="63" t="s">
        <v>1595</v>
      </c>
      <c r="E120" s="63" t="s">
        <v>2183</v>
      </c>
      <c r="F120" s="63" t="s">
        <v>1597</v>
      </c>
      <c r="G120" s="63" t="s">
        <v>2184</v>
      </c>
      <c r="H120" s="63" t="s">
        <v>1610</v>
      </c>
      <c r="I120" s="63" t="s">
        <v>2185</v>
      </c>
      <c r="J120" s="63" t="s">
        <v>558</v>
      </c>
      <c r="K120" s="63" t="s">
        <v>1601</v>
      </c>
      <c r="L120" s="63" t="s">
        <v>1637</v>
      </c>
      <c r="M120" s="63" t="s">
        <v>1595</v>
      </c>
      <c r="N120" s="63" t="s">
        <v>1595</v>
      </c>
      <c r="O120" s="63" t="s">
        <v>1604</v>
      </c>
      <c r="P120" s="63" t="s">
        <v>1638</v>
      </c>
      <c r="Q120" s="63" t="s">
        <v>2186</v>
      </c>
      <c r="R120" s="63" t="s">
        <v>2187</v>
      </c>
      <c r="S120" s="63" t="s">
        <v>1633</v>
      </c>
      <c r="T120" s="63"/>
      <c r="U120" s="63"/>
      <c r="V120" s="63"/>
      <c r="W120" s="63"/>
      <c r="X120" s="63"/>
      <c r="Y120" s="63"/>
      <c r="Z120" s="63"/>
    </row>
    <row r="121" spans="1:26" ht="15.75" customHeight="1" x14ac:dyDescent="0.25">
      <c r="A121" s="63" t="s">
        <v>788</v>
      </c>
      <c r="B121" s="63" t="s">
        <v>1373</v>
      </c>
      <c r="C121" s="63" t="s">
        <v>284</v>
      </c>
      <c r="D121" s="63" t="s">
        <v>1595</v>
      </c>
      <c r="E121" s="63" t="s">
        <v>2188</v>
      </c>
      <c r="F121" s="63" t="s">
        <v>1597</v>
      </c>
      <c r="G121" s="63" t="s">
        <v>1999</v>
      </c>
      <c r="H121" s="63" t="s">
        <v>1610</v>
      </c>
      <c r="I121" s="63" t="s">
        <v>2189</v>
      </c>
      <c r="J121" s="63" t="s">
        <v>568</v>
      </c>
      <c r="K121" s="63" t="s">
        <v>1601</v>
      </c>
      <c r="L121" s="63" t="s">
        <v>2190</v>
      </c>
      <c r="M121" s="63" t="s">
        <v>1603</v>
      </c>
      <c r="N121" s="63" t="s">
        <v>1595</v>
      </c>
      <c r="O121" s="63" t="s">
        <v>1604</v>
      </c>
      <c r="P121" s="63" t="s">
        <v>2158</v>
      </c>
      <c r="Q121" s="63" t="s">
        <v>2191</v>
      </c>
      <c r="R121" s="63" t="s">
        <v>2121</v>
      </c>
      <c r="S121" s="63" t="s">
        <v>1633</v>
      </c>
      <c r="T121" s="63"/>
      <c r="U121" s="63"/>
      <c r="V121" s="63"/>
      <c r="W121" s="63"/>
      <c r="X121" s="63"/>
      <c r="Y121" s="63"/>
      <c r="Z121" s="63"/>
    </row>
    <row r="122" spans="1:26" ht="15.75" customHeight="1" x14ac:dyDescent="0.25">
      <c r="A122" s="63" t="s">
        <v>790</v>
      </c>
      <c r="B122" s="63" t="s">
        <v>997</v>
      </c>
      <c r="C122" s="63" t="s">
        <v>409</v>
      </c>
      <c r="D122" s="63" t="s">
        <v>1595</v>
      </c>
      <c r="E122" s="63" t="s">
        <v>2192</v>
      </c>
      <c r="F122" s="63" t="s">
        <v>1597</v>
      </c>
      <c r="G122" s="63" t="s">
        <v>2193</v>
      </c>
      <c r="H122" s="63" t="s">
        <v>1610</v>
      </c>
      <c r="I122" s="63" t="s">
        <v>2194</v>
      </c>
      <c r="J122" s="63" t="s">
        <v>554</v>
      </c>
      <c r="K122" s="63" t="s">
        <v>1601</v>
      </c>
      <c r="L122" s="63" t="s">
        <v>1637</v>
      </c>
      <c r="M122" s="63" t="s">
        <v>1595</v>
      </c>
      <c r="N122" s="63" t="s">
        <v>1595</v>
      </c>
      <c r="O122" s="63" t="s">
        <v>1604</v>
      </c>
      <c r="P122" s="63" t="s">
        <v>2195</v>
      </c>
      <c r="Q122" s="63" t="s">
        <v>2196</v>
      </c>
      <c r="R122" s="63" t="s">
        <v>2121</v>
      </c>
      <c r="S122" s="63" t="s">
        <v>1616</v>
      </c>
      <c r="T122" s="63"/>
      <c r="U122" s="63"/>
      <c r="V122" s="63"/>
      <c r="W122" s="63"/>
      <c r="X122" s="63"/>
      <c r="Y122" s="63"/>
      <c r="Z122" s="63"/>
    </row>
    <row r="123" spans="1:26" ht="15.75" customHeight="1" x14ac:dyDescent="0.25">
      <c r="A123" s="63" t="s">
        <v>792</v>
      </c>
      <c r="B123" s="63" t="s">
        <v>1531</v>
      </c>
      <c r="C123" s="63" t="s">
        <v>122</v>
      </c>
      <c r="D123" s="63" t="s">
        <v>1595</v>
      </c>
      <c r="E123" s="63" t="s">
        <v>2197</v>
      </c>
      <c r="F123" s="63" t="s">
        <v>1597</v>
      </c>
      <c r="G123" s="63" t="s">
        <v>2198</v>
      </c>
      <c r="H123" s="63" t="s">
        <v>1619</v>
      </c>
      <c r="I123" s="63" t="s">
        <v>2199</v>
      </c>
      <c r="J123" s="63" t="s">
        <v>558</v>
      </c>
      <c r="K123" s="63" t="s">
        <v>1601</v>
      </c>
      <c r="L123" s="63" t="s">
        <v>1670</v>
      </c>
      <c r="M123" s="63" t="s">
        <v>1654</v>
      </c>
      <c r="N123" s="63" t="s">
        <v>1595</v>
      </c>
      <c r="O123" s="63" t="s">
        <v>1604</v>
      </c>
      <c r="P123" s="63" t="s">
        <v>2200</v>
      </c>
      <c r="Q123" s="63" t="s">
        <v>2201</v>
      </c>
      <c r="R123" s="63" t="s">
        <v>2121</v>
      </c>
      <c r="S123" s="63" t="s">
        <v>1723</v>
      </c>
      <c r="T123" s="63"/>
      <c r="U123" s="63"/>
      <c r="V123" s="63"/>
      <c r="W123" s="63"/>
      <c r="X123" s="63"/>
      <c r="Y123" s="63"/>
      <c r="Z123" s="63"/>
    </row>
    <row r="124" spans="1:26" ht="15.75" customHeight="1" x14ac:dyDescent="0.25">
      <c r="A124" s="63" t="s">
        <v>794</v>
      </c>
      <c r="B124" s="63" t="s">
        <v>1299</v>
      </c>
      <c r="C124" s="63" t="s">
        <v>5095</v>
      </c>
      <c r="D124" s="63" t="s">
        <v>1595</v>
      </c>
      <c r="E124" s="63" t="s">
        <v>2202</v>
      </c>
      <c r="F124" s="63" t="s">
        <v>1597</v>
      </c>
      <c r="G124" s="63" t="s">
        <v>2203</v>
      </c>
      <c r="H124" s="63" t="s">
        <v>1610</v>
      </c>
      <c r="I124" s="63" t="s">
        <v>2008</v>
      </c>
      <c r="J124" s="63" t="s">
        <v>2204</v>
      </c>
      <c r="K124" s="63"/>
      <c r="L124" s="63" t="s">
        <v>1646</v>
      </c>
      <c r="M124" s="63" t="s">
        <v>1647</v>
      </c>
      <c r="N124" s="63" t="s">
        <v>1595</v>
      </c>
      <c r="O124" s="63" t="s">
        <v>1604</v>
      </c>
      <c r="P124" s="63" t="s">
        <v>1745</v>
      </c>
      <c r="Q124" s="63" t="s">
        <v>2205</v>
      </c>
      <c r="R124" s="63" t="s">
        <v>2121</v>
      </c>
      <c r="S124" s="63" t="s">
        <v>1616</v>
      </c>
      <c r="T124" s="63"/>
      <c r="U124" s="63"/>
      <c r="V124" s="63"/>
      <c r="W124" s="63"/>
      <c r="X124" s="63"/>
      <c r="Y124" s="63"/>
      <c r="Z124" s="63"/>
    </row>
    <row r="125" spans="1:26" ht="15.75" customHeight="1" x14ac:dyDescent="0.25">
      <c r="A125" s="63" t="s">
        <v>796</v>
      </c>
      <c r="B125" s="63" t="s">
        <v>853</v>
      </c>
      <c r="C125" s="63" t="s">
        <v>1717</v>
      </c>
      <c r="D125" s="63" t="s">
        <v>1595</v>
      </c>
      <c r="E125" s="63" t="s">
        <v>2206</v>
      </c>
      <c r="F125" s="63" t="s">
        <v>1597</v>
      </c>
      <c r="G125" s="63" t="s">
        <v>1718</v>
      </c>
      <c r="H125" s="63" t="s">
        <v>1610</v>
      </c>
      <c r="I125" s="63" t="s">
        <v>1719</v>
      </c>
      <c r="J125" s="63" t="s">
        <v>556</v>
      </c>
      <c r="K125" s="63" t="s">
        <v>2121</v>
      </c>
      <c r="L125" s="63" t="s">
        <v>1665</v>
      </c>
      <c r="M125" s="63" t="s">
        <v>1613</v>
      </c>
      <c r="N125" s="63" t="s">
        <v>1595</v>
      </c>
      <c r="O125" s="63" t="s">
        <v>1604</v>
      </c>
      <c r="P125" s="63" t="s">
        <v>1666</v>
      </c>
      <c r="Q125" s="63" t="s">
        <v>5058</v>
      </c>
      <c r="R125" s="63" t="s">
        <v>2207</v>
      </c>
      <c r="S125" s="63" t="s">
        <v>1616</v>
      </c>
      <c r="T125" s="63"/>
      <c r="U125" s="63"/>
      <c r="V125" s="63"/>
      <c r="W125" s="63"/>
      <c r="X125" s="63"/>
      <c r="Y125" s="63"/>
      <c r="Z125" s="63"/>
    </row>
    <row r="126" spans="1:26" ht="15.75" customHeight="1" x14ac:dyDescent="0.25">
      <c r="A126" s="63" t="s">
        <v>798</v>
      </c>
      <c r="B126" s="63" t="s">
        <v>1487</v>
      </c>
      <c r="C126" s="63" t="s">
        <v>101</v>
      </c>
      <c r="D126" s="63" t="s">
        <v>2084</v>
      </c>
      <c r="E126" s="63" t="s">
        <v>2208</v>
      </c>
      <c r="F126" s="63" t="s">
        <v>1597</v>
      </c>
      <c r="G126" s="63" t="s">
        <v>2209</v>
      </c>
      <c r="H126" s="63" t="s">
        <v>2210</v>
      </c>
      <c r="I126" s="63" t="s">
        <v>2211</v>
      </c>
      <c r="J126" s="63" t="s">
        <v>602</v>
      </c>
      <c r="K126" s="63" t="s">
        <v>574</v>
      </c>
      <c r="L126" s="63" t="s">
        <v>2212</v>
      </c>
      <c r="M126" s="63" t="s">
        <v>2213</v>
      </c>
      <c r="N126" s="63" t="s">
        <v>2084</v>
      </c>
      <c r="O126" s="63" t="s">
        <v>1604</v>
      </c>
      <c r="P126" s="63" t="s">
        <v>2214</v>
      </c>
      <c r="Q126" s="63" t="s">
        <v>2215</v>
      </c>
      <c r="R126" s="63" t="s">
        <v>2216</v>
      </c>
      <c r="S126" s="63" t="s">
        <v>538</v>
      </c>
      <c r="T126" s="63"/>
      <c r="U126" s="63"/>
      <c r="V126" s="63"/>
      <c r="W126" s="63"/>
      <c r="X126" s="63"/>
      <c r="Y126" s="63"/>
      <c r="Z126" s="63"/>
    </row>
    <row r="127" spans="1:26" ht="15.75" customHeight="1" x14ac:dyDescent="0.25">
      <c r="A127" s="63" t="s">
        <v>800</v>
      </c>
      <c r="B127" s="63" t="s">
        <v>635</v>
      </c>
      <c r="C127" s="63" t="s">
        <v>486</v>
      </c>
      <c r="D127" s="63" t="s">
        <v>1595</v>
      </c>
      <c r="E127" s="63" t="s">
        <v>2217</v>
      </c>
      <c r="F127" s="63" t="s">
        <v>1597</v>
      </c>
      <c r="G127" s="63" t="s">
        <v>2218</v>
      </c>
      <c r="H127" s="63" t="s">
        <v>1619</v>
      </c>
      <c r="I127" s="63" t="s">
        <v>1914</v>
      </c>
      <c r="J127" s="63" t="s">
        <v>2204</v>
      </c>
      <c r="K127" s="63" t="s">
        <v>1601</v>
      </c>
      <c r="L127" s="63" t="s">
        <v>1758</v>
      </c>
      <c r="M127" s="63" t="s">
        <v>1613</v>
      </c>
      <c r="N127" s="63" t="s">
        <v>1595</v>
      </c>
      <c r="O127" s="63" t="s">
        <v>1604</v>
      </c>
      <c r="P127" s="63" t="s">
        <v>1915</v>
      </c>
      <c r="Q127" s="63" t="s">
        <v>2219</v>
      </c>
      <c r="R127" s="63" t="s">
        <v>2220</v>
      </c>
      <c r="S127" s="63" t="s">
        <v>538</v>
      </c>
      <c r="T127" s="63"/>
      <c r="U127" s="63"/>
      <c r="V127" s="63"/>
      <c r="W127" s="63"/>
      <c r="X127" s="63"/>
      <c r="Y127" s="63"/>
      <c r="Z127" s="63"/>
    </row>
    <row r="128" spans="1:26" ht="15.75" customHeight="1" x14ac:dyDescent="0.25">
      <c r="A128" s="63" t="s">
        <v>802</v>
      </c>
      <c r="B128" s="63" t="s">
        <v>1017</v>
      </c>
      <c r="C128" s="63" t="s">
        <v>419</v>
      </c>
      <c r="D128" s="63" t="s">
        <v>1595</v>
      </c>
      <c r="E128" s="63" t="s">
        <v>2221</v>
      </c>
      <c r="F128" s="63" t="s">
        <v>1597</v>
      </c>
      <c r="G128" s="63" t="s">
        <v>2222</v>
      </c>
      <c r="H128" s="63" t="s">
        <v>2223</v>
      </c>
      <c r="I128" s="63" t="s">
        <v>2224</v>
      </c>
      <c r="J128" s="63" t="s">
        <v>2225</v>
      </c>
      <c r="K128" s="63"/>
      <c r="L128" s="63" t="s">
        <v>1595</v>
      </c>
      <c r="M128" s="63" t="s">
        <v>1595</v>
      </c>
      <c r="N128" s="63" t="s">
        <v>1595</v>
      </c>
      <c r="O128" s="63" t="s">
        <v>1604</v>
      </c>
      <c r="P128" s="63" t="s">
        <v>2128</v>
      </c>
      <c r="Q128" s="63" t="s">
        <v>2226</v>
      </c>
      <c r="R128" s="63" t="s">
        <v>2227</v>
      </c>
      <c r="S128" s="63" t="s">
        <v>1616</v>
      </c>
      <c r="T128" s="63"/>
      <c r="U128" s="63"/>
      <c r="V128" s="63"/>
      <c r="W128" s="63"/>
      <c r="X128" s="63"/>
      <c r="Y128" s="63"/>
      <c r="Z128" s="63"/>
    </row>
    <row r="129" spans="1:26" ht="15.75" customHeight="1" x14ac:dyDescent="0.25">
      <c r="A129" s="63" t="s">
        <v>804</v>
      </c>
      <c r="B129" s="63" t="s">
        <v>989</v>
      </c>
      <c r="C129" s="63" t="s">
        <v>405</v>
      </c>
      <c r="D129" s="63" t="s">
        <v>2228</v>
      </c>
      <c r="E129" s="63" t="s">
        <v>2229</v>
      </c>
      <c r="F129" s="63" t="s">
        <v>1597</v>
      </c>
      <c r="G129" s="63" t="s">
        <v>2230</v>
      </c>
      <c r="H129" s="63" t="s">
        <v>1610</v>
      </c>
      <c r="I129" s="63" t="s">
        <v>1636</v>
      </c>
      <c r="J129" s="63" t="s">
        <v>2225</v>
      </c>
      <c r="K129" s="63" t="s">
        <v>1601</v>
      </c>
      <c r="L129" s="63" t="s">
        <v>1637</v>
      </c>
      <c r="M129" s="63" t="s">
        <v>1595</v>
      </c>
      <c r="N129" s="63" t="s">
        <v>1595</v>
      </c>
      <c r="O129" s="63" t="s">
        <v>1604</v>
      </c>
      <c r="P129" s="63" t="s">
        <v>1790</v>
      </c>
      <c r="Q129" s="63" t="s">
        <v>2231</v>
      </c>
      <c r="R129" s="63" t="s">
        <v>2232</v>
      </c>
      <c r="S129" s="63" t="s">
        <v>1616</v>
      </c>
      <c r="T129" s="63"/>
      <c r="U129" s="63"/>
      <c r="V129" s="63"/>
      <c r="W129" s="63"/>
      <c r="X129" s="63"/>
      <c r="Y129" s="63"/>
      <c r="Z129" s="63"/>
    </row>
    <row r="130" spans="1:26" ht="15.75" customHeight="1" x14ac:dyDescent="0.25">
      <c r="A130" s="63" t="s">
        <v>806</v>
      </c>
      <c r="B130" s="63" t="s">
        <v>1055</v>
      </c>
      <c r="C130" s="63" t="s">
        <v>438</v>
      </c>
      <c r="D130" s="63" t="s">
        <v>1595</v>
      </c>
      <c r="E130" s="63" t="s">
        <v>2233</v>
      </c>
      <c r="F130" s="63" t="s">
        <v>1597</v>
      </c>
      <c r="G130" s="63" t="s">
        <v>2234</v>
      </c>
      <c r="H130" s="63" t="s">
        <v>1610</v>
      </c>
      <c r="I130" s="63" t="s">
        <v>2235</v>
      </c>
      <c r="J130" s="63" t="s">
        <v>552</v>
      </c>
      <c r="K130" s="63" t="s">
        <v>1601</v>
      </c>
      <c r="L130" s="63" t="s">
        <v>1858</v>
      </c>
      <c r="M130" s="63" t="s">
        <v>1859</v>
      </c>
      <c r="N130" s="63" t="s">
        <v>1595</v>
      </c>
      <c r="O130" s="63" t="s">
        <v>1604</v>
      </c>
      <c r="P130" s="63" t="s">
        <v>1860</v>
      </c>
      <c r="Q130" s="63" t="s">
        <v>2236</v>
      </c>
      <c r="R130" s="63" t="s">
        <v>2121</v>
      </c>
      <c r="S130" s="63" t="s">
        <v>1616</v>
      </c>
      <c r="T130" s="63"/>
      <c r="U130" s="63"/>
      <c r="V130" s="63"/>
      <c r="W130" s="63"/>
      <c r="X130" s="63"/>
      <c r="Y130" s="63"/>
      <c r="Z130" s="63"/>
    </row>
    <row r="131" spans="1:26" ht="15.75" customHeight="1" x14ac:dyDescent="0.25">
      <c r="A131" s="63" t="s">
        <v>808</v>
      </c>
      <c r="B131" s="63" t="s">
        <v>1041</v>
      </c>
      <c r="C131" s="63" t="s">
        <v>431</v>
      </c>
      <c r="D131" s="63" t="s">
        <v>1595</v>
      </c>
      <c r="E131" s="63" t="s">
        <v>2237</v>
      </c>
      <c r="F131" s="63" t="s">
        <v>1597</v>
      </c>
      <c r="G131" s="63" t="s">
        <v>2238</v>
      </c>
      <c r="H131" s="63" t="s">
        <v>1610</v>
      </c>
      <c r="I131" s="63" t="s">
        <v>2239</v>
      </c>
      <c r="J131" s="63" t="s">
        <v>566</v>
      </c>
      <c r="K131" s="63" t="s">
        <v>1601</v>
      </c>
      <c r="L131" s="63" t="s">
        <v>1800</v>
      </c>
      <c r="M131" s="63" t="s">
        <v>1595</v>
      </c>
      <c r="N131" s="63" t="s">
        <v>1595</v>
      </c>
      <c r="O131" s="63" t="s">
        <v>1604</v>
      </c>
      <c r="P131" s="63" t="s">
        <v>1731</v>
      </c>
      <c r="Q131" s="63" t="s">
        <v>2240</v>
      </c>
      <c r="R131" s="63" t="s">
        <v>2121</v>
      </c>
      <c r="S131" s="63" t="s">
        <v>1616</v>
      </c>
      <c r="T131" s="63"/>
      <c r="U131" s="63"/>
      <c r="V131" s="63"/>
      <c r="W131" s="63"/>
      <c r="X131" s="63"/>
      <c r="Y131" s="63"/>
      <c r="Z131" s="63"/>
    </row>
    <row r="132" spans="1:26" ht="15.75" customHeight="1" x14ac:dyDescent="0.25">
      <c r="A132" s="63" t="s">
        <v>810</v>
      </c>
      <c r="B132" s="63" t="s">
        <v>873</v>
      </c>
      <c r="C132" s="63" t="s">
        <v>349</v>
      </c>
      <c r="D132" s="63" t="s">
        <v>1595</v>
      </c>
      <c r="E132" s="63" t="s">
        <v>2241</v>
      </c>
      <c r="F132" s="63" t="s">
        <v>1597</v>
      </c>
      <c r="G132" s="63" t="s">
        <v>2242</v>
      </c>
      <c r="H132" s="63" t="s">
        <v>1619</v>
      </c>
      <c r="I132" s="63" t="s">
        <v>1799</v>
      </c>
      <c r="J132" s="63" t="s">
        <v>552</v>
      </c>
      <c r="K132" s="63" t="s">
        <v>1601</v>
      </c>
      <c r="L132" s="63" t="s">
        <v>1800</v>
      </c>
      <c r="M132" s="63" t="s">
        <v>1595</v>
      </c>
      <c r="N132" s="63" t="s">
        <v>1595</v>
      </c>
      <c r="O132" s="63" t="s">
        <v>1604</v>
      </c>
      <c r="P132" s="63" t="s">
        <v>1745</v>
      </c>
      <c r="Q132" s="63" t="s">
        <v>2243</v>
      </c>
      <c r="R132" s="63" t="s">
        <v>2121</v>
      </c>
      <c r="S132" s="63" t="s">
        <v>1616</v>
      </c>
      <c r="T132" s="63"/>
      <c r="U132" s="63"/>
      <c r="V132" s="63"/>
      <c r="W132" s="63"/>
      <c r="X132" s="63"/>
      <c r="Y132" s="63"/>
      <c r="Z132" s="63"/>
    </row>
    <row r="133" spans="1:26" ht="15.75" customHeight="1" x14ac:dyDescent="0.25">
      <c r="A133" s="63" t="s">
        <v>812</v>
      </c>
      <c r="B133" s="63" t="s">
        <v>745</v>
      </c>
      <c r="C133" s="63" t="s">
        <v>37</v>
      </c>
      <c r="D133" s="63" t="s">
        <v>1595</v>
      </c>
      <c r="E133" s="63" t="s">
        <v>2244</v>
      </c>
      <c r="F133" s="63" t="s">
        <v>1597</v>
      </c>
      <c r="G133" s="63" t="s">
        <v>2245</v>
      </c>
      <c r="H133" s="63" t="s">
        <v>1610</v>
      </c>
      <c r="I133" s="63" t="s">
        <v>2246</v>
      </c>
      <c r="J133" s="63" t="s">
        <v>556</v>
      </c>
      <c r="K133" s="63" t="s">
        <v>1601</v>
      </c>
      <c r="L133" s="63" t="s">
        <v>1637</v>
      </c>
      <c r="M133" s="63" t="s">
        <v>1595</v>
      </c>
      <c r="N133" s="63" t="s">
        <v>1595</v>
      </c>
      <c r="O133" s="63" t="s">
        <v>1604</v>
      </c>
      <c r="P133" s="63" t="s">
        <v>1790</v>
      </c>
      <c r="Q133" s="63" t="s">
        <v>2247</v>
      </c>
      <c r="R133" s="63" t="s">
        <v>2121</v>
      </c>
      <c r="S133" s="63" t="s">
        <v>1616</v>
      </c>
      <c r="T133" s="63"/>
      <c r="U133" s="63"/>
      <c r="V133" s="63"/>
      <c r="W133" s="63"/>
      <c r="X133" s="63"/>
      <c r="Y133" s="63"/>
      <c r="Z133" s="63"/>
    </row>
    <row r="134" spans="1:26" ht="15.75" customHeight="1" x14ac:dyDescent="0.25">
      <c r="A134" s="63" t="s">
        <v>814</v>
      </c>
      <c r="B134" s="63" t="s">
        <v>2248</v>
      </c>
      <c r="C134" s="63" t="s">
        <v>2249</v>
      </c>
      <c r="D134" s="63" t="s">
        <v>1595</v>
      </c>
      <c r="E134" s="63" t="s">
        <v>2250</v>
      </c>
      <c r="F134" s="63" t="s">
        <v>1597</v>
      </c>
      <c r="G134" s="63" t="s">
        <v>2251</v>
      </c>
      <c r="H134" s="63" t="s">
        <v>1742</v>
      </c>
      <c r="I134" s="63" t="s">
        <v>2252</v>
      </c>
      <c r="J134" s="63" t="s">
        <v>636</v>
      </c>
      <c r="K134" s="63" t="s">
        <v>1601</v>
      </c>
      <c r="L134" s="63" t="s">
        <v>1750</v>
      </c>
      <c r="M134" s="63" t="s">
        <v>1687</v>
      </c>
      <c r="N134" s="63" t="s">
        <v>1595</v>
      </c>
      <c r="O134" s="63" t="s">
        <v>1604</v>
      </c>
      <c r="P134" s="63" t="s">
        <v>1751</v>
      </c>
      <c r="Q134" s="63" t="s">
        <v>2253</v>
      </c>
      <c r="R134" s="63" t="s">
        <v>2254</v>
      </c>
      <c r="S134" s="63" t="s">
        <v>538</v>
      </c>
      <c r="T134" s="63"/>
      <c r="U134" s="63"/>
      <c r="V134" s="63"/>
      <c r="W134" s="63"/>
      <c r="X134" s="63"/>
      <c r="Y134" s="63"/>
      <c r="Z134" s="63"/>
    </row>
    <row r="135" spans="1:26" ht="15.75" customHeight="1" x14ac:dyDescent="0.25">
      <c r="A135" s="63" t="s">
        <v>816</v>
      </c>
      <c r="B135" s="63" t="s">
        <v>1137</v>
      </c>
      <c r="C135" s="63" t="s">
        <v>169</v>
      </c>
      <c r="D135" s="63" t="s">
        <v>1595</v>
      </c>
      <c r="E135" s="63" t="s">
        <v>2255</v>
      </c>
      <c r="F135" s="63" t="s">
        <v>1597</v>
      </c>
      <c r="G135" s="63" t="s">
        <v>2256</v>
      </c>
      <c r="H135" s="63" t="s">
        <v>1610</v>
      </c>
      <c r="I135" s="63" t="s">
        <v>2257</v>
      </c>
      <c r="J135" s="63" t="s">
        <v>560</v>
      </c>
      <c r="K135" s="63" t="s">
        <v>1601</v>
      </c>
      <c r="L135" s="63" t="s">
        <v>1822</v>
      </c>
      <c r="M135" s="63" t="s">
        <v>1613</v>
      </c>
      <c r="N135" s="63" t="s">
        <v>1595</v>
      </c>
      <c r="O135" s="63" t="s">
        <v>1604</v>
      </c>
      <c r="P135" s="63" t="s">
        <v>1701</v>
      </c>
      <c r="Q135" s="63" t="s">
        <v>2258</v>
      </c>
      <c r="R135" s="63" t="s">
        <v>2121</v>
      </c>
      <c r="S135" s="63" t="s">
        <v>1633</v>
      </c>
      <c r="T135" s="63"/>
      <c r="U135" s="63"/>
      <c r="V135" s="63"/>
      <c r="W135" s="63"/>
      <c r="X135" s="63"/>
      <c r="Y135" s="63"/>
      <c r="Z135" s="63"/>
    </row>
    <row r="136" spans="1:26" ht="15.75" customHeight="1" x14ac:dyDescent="0.25">
      <c r="A136" s="63" t="s">
        <v>818</v>
      </c>
      <c r="B136" s="63" t="s">
        <v>1159</v>
      </c>
      <c r="C136" s="63" t="s">
        <v>180</v>
      </c>
      <c r="D136" s="63" t="s">
        <v>1595</v>
      </c>
      <c r="E136" s="63" t="s">
        <v>2259</v>
      </c>
      <c r="F136" s="63" t="s">
        <v>1597</v>
      </c>
      <c r="G136" s="63" t="s">
        <v>2260</v>
      </c>
      <c r="H136" s="63" t="s">
        <v>1619</v>
      </c>
      <c r="I136" s="63" t="s">
        <v>1873</v>
      </c>
      <c r="J136" s="63" t="s">
        <v>1601</v>
      </c>
      <c r="K136" s="63" t="s">
        <v>1601</v>
      </c>
      <c r="L136" s="63" t="s">
        <v>1706</v>
      </c>
      <c r="M136" s="63" t="s">
        <v>1696</v>
      </c>
      <c r="N136" s="63" t="s">
        <v>1595</v>
      </c>
      <c r="O136" s="63" t="s">
        <v>1604</v>
      </c>
      <c r="P136" s="63" t="s">
        <v>2261</v>
      </c>
      <c r="Q136" s="63" t="s">
        <v>2262</v>
      </c>
      <c r="R136" s="63" t="s">
        <v>2121</v>
      </c>
      <c r="S136" s="63" t="s">
        <v>1633</v>
      </c>
      <c r="T136" s="63"/>
      <c r="U136" s="63"/>
      <c r="V136" s="63"/>
      <c r="W136" s="63"/>
      <c r="X136" s="63"/>
      <c r="Y136" s="63"/>
      <c r="Z136" s="63"/>
    </row>
    <row r="137" spans="1:26" ht="15.75" customHeight="1" x14ac:dyDescent="0.25">
      <c r="A137" s="63" t="s">
        <v>820</v>
      </c>
      <c r="B137" s="63" t="s">
        <v>2263</v>
      </c>
      <c r="C137" s="63" t="s">
        <v>2264</v>
      </c>
      <c r="D137" s="63" t="s">
        <v>1595</v>
      </c>
      <c r="E137" s="63" t="s">
        <v>2265</v>
      </c>
      <c r="F137" s="63" t="s">
        <v>1597</v>
      </c>
      <c r="G137" s="63" t="s">
        <v>2266</v>
      </c>
      <c r="H137" s="63" t="s">
        <v>1610</v>
      </c>
      <c r="I137" s="63" t="s">
        <v>2267</v>
      </c>
      <c r="J137" s="63" t="s">
        <v>558</v>
      </c>
      <c r="K137" s="63" t="s">
        <v>1601</v>
      </c>
      <c r="L137" s="63" t="s">
        <v>2268</v>
      </c>
      <c r="M137" s="63" t="s">
        <v>1812</v>
      </c>
      <c r="N137" s="63" t="s">
        <v>1595</v>
      </c>
      <c r="O137" s="63" t="s">
        <v>1604</v>
      </c>
      <c r="P137" s="63" t="s">
        <v>2269</v>
      </c>
      <c r="Q137" s="63" t="s">
        <v>2270</v>
      </c>
      <c r="R137" s="63" t="s">
        <v>2271</v>
      </c>
      <c r="S137" s="63" t="s">
        <v>1616</v>
      </c>
      <c r="T137" s="63"/>
      <c r="U137" s="63"/>
      <c r="V137" s="63"/>
      <c r="W137" s="63"/>
      <c r="X137" s="63"/>
      <c r="Y137" s="63"/>
      <c r="Z137" s="63"/>
    </row>
    <row r="138" spans="1:26" ht="15.75" customHeight="1" x14ac:dyDescent="0.25">
      <c r="A138" s="63" t="s">
        <v>822</v>
      </c>
      <c r="B138" s="63" t="s">
        <v>979</v>
      </c>
      <c r="C138" s="63" t="s">
        <v>400</v>
      </c>
      <c r="D138" s="63" t="s">
        <v>2272</v>
      </c>
      <c r="E138" s="63" t="s">
        <v>2273</v>
      </c>
      <c r="F138" s="63" t="s">
        <v>1597</v>
      </c>
      <c r="G138" s="63" t="s">
        <v>2274</v>
      </c>
      <c r="H138" s="63" t="s">
        <v>1610</v>
      </c>
      <c r="I138" s="63" t="s">
        <v>2275</v>
      </c>
      <c r="J138" s="63" t="s">
        <v>566</v>
      </c>
      <c r="K138" s="63" t="s">
        <v>1601</v>
      </c>
      <c r="L138" s="63" t="s">
        <v>1637</v>
      </c>
      <c r="M138" s="63" t="s">
        <v>1595</v>
      </c>
      <c r="N138" s="63" t="s">
        <v>1595</v>
      </c>
      <c r="O138" s="63" t="s">
        <v>1604</v>
      </c>
      <c r="P138" s="63" t="s">
        <v>5059</v>
      </c>
      <c r="Q138" s="63" t="s">
        <v>2276</v>
      </c>
      <c r="R138" s="63" t="s">
        <v>2121</v>
      </c>
      <c r="S138" s="63" t="s">
        <v>1616</v>
      </c>
      <c r="T138" s="63"/>
      <c r="U138" s="63"/>
      <c r="V138" s="63"/>
      <c r="W138" s="63"/>
      <c r="X138" s="63"/>
      <c r="Y138" s="63"/>
      <c r="Z138" s="63"/>
    </row>
    <row r="139" spans="1:26" ht="15.75" customHeight="1" x14ac:dyDescent="0.25">
      <c r="A139" s="63" t="s">
        <v>824</v>
      </c>
      <c r="B139" s="63" t="s">
        <v>2277</v>
      </c>
      <c r="C139" s="63" t="s">
        <v>2278</v>
      </c>
      <c r="D139" s="63" t="s">
        <v>1595</v>
      </c>
      <c r="E139" s="63" t="s">
        <v>2279</v>
      </c>
      <c r="F139" s="63" t="s">
        <v>1597</v>
      </c>
      <c r="G139" s="63" t="s">
        <v>2280</v>
      </c>
      <c r="H139" s="63" t="s">
        <v>1619</v>
      </c>
      <c r="I139" s="63" t="s">
        <v>2281</v>
      </c>
      <c r="J139" s="63" t="s">
        <v>556</v>
      </c>
      <c r="K139" s="63" t="s">
        <v>1601</v>
      </c>
      <c r="L139" s="63" t="s">
        <v>2282</v>
      </c>
      <c r="M139" s="63" t="s">
        <v>2283</v>
      </c>
      <c r="N139" s="63" t="s">
        <v>1595</v>
      </c>
      <c r="O139" s="63" t="s">
        <v>1604</v>
      </c>
      <c r="P139" s="63" t="s">
        <v>2134</v>
      </c>
      <c r="Q139" s="63" t="s">
        <v>2284</v>
      </c>
      <c r="R139" s="63" t="s">
        <v>2285</v>
      </c>
      <c r="S139" s="63" t="s">
        <v>1616</v>
      </c>
      <c r="T139" s="63"/>
      <c r="U139" s="63"/>
      <c r="V139" s="63"/>
      <c r="W139" s="63"/>
      <c r="X139" s="63"/>
      <c r="Y139" s="63"/>
      <c r="Z139" s="63"/>
    </row>
    <row r="140" spans="1:26" ht="15.75" customHeight="1" x14ac:dyDescent="0.25">
      <c r="A140" s="63" t="s">
        <v>826</v>
      </c>
      <c r="B140" s="63" t="s">
        <v>1113</v>
      </c>
      <c r="C140" s="63" t="s">
        <v>158</v>
      </c>
      <c r="D140" s="63" t="s">
        <v>1595</v>
      </c>
      <c r="E140" s="63" t="s">
        <v>2286</v>
      </c>
      <c r="F140" s="63" t="s">
        <v>1597</v>
      </c>
      <c r="G140" s="63" t="s">
        <v>2287</v>
      </c>
      <c r="H140" s="63" t="s">
        <v>1610</v>
      </c>
      <c r="I140" s="63" t="s">
        <v>2288</v>
      </c>
      <c r="J140" s="63" t="s">
        <v>570</v>
      </c>
      <c r="K140" s="63" t="s">
        <v>1601</v>
      </c>
      <c r="L140" s="63" t="s">
        <v>2166</v>
      </c>
      <c r="M140" s="63" t="s">
        <v>1603</v>
      </c>
      <c r="N140" s="63" t="s">
        <v>1595</v>
      </c>
      <c r="O140" s="63" t="s">
        <v>1604</v>
      </c>
      <c r="P140" s="63" t="s">
        <v>2108</v>
      </c>
      <c r="Q140" s="63" t="s">
        <v>2289</v>
      </c>
      <c r="R140" s="63" t="s">
        <v>2121</v>
      </c>
      <c r="S140" s="63" t="s">
        <v>1633</v>
      </c>
      <c r="T140" s="63"/>
      <c r="U140" s="63"/>
      <c r="V140" s="63"/>
      <c r="W140" s="63"/>
      <c r="X140" s="63"/>
      <c r="Y140" s="63"/>
      <c r="Z140" s="63"/>
    </row>
    <row r="141" spans="1:26" ht="15.75" customHeight="1" x14ac:dyDescent="0.25">
      <c r="A141" s="63" t="s">
        <v>828</v>
      </c>
      <c r="B141" s="63" t="s">
        <v>1293</v>
      </c>
      <c r="C141" s="63" t="s">
        <v>246</v>
      </c>
      <c r="D141" s="63" t="s">
        <v>1595</v>
      </c>
      <c r="E141" s="63" t="s">
        <v>2290</v>
      </c>
      <c r="F141" s="63" t="s">
        <v>1597</v>
      </c>
      <c r="G141" s="63" t="s">
        <v>2291</v>
      </c>
      <c r="H141" s="63" t="s">
        <v>1619</v>
      </c>
      <c r="I141" s="63" t="s">
        <v>1842</v>
      </c>
      <c r="J141" s="63" t="s">
        <v>552</v>
      </c>
      <c r="K141" s="63" t="s">
        <v>1601</v>
      </c>
      <c r="L141" s="63" t="s">
        <v>1706</v>
      </c>
      <c r="M141" s="63" t="s">
        <v>1696</v>
      </c>
      <c r="N141" s="63" t="s">
        <v>1595</v>
      </c>
      <c r="O141" s="63" t="s">
        <v>1604</v>
      </c>
      <c r="P141" s="63" t="s">
        <v>1817</v>
      </c>
      <c r="Q141" s="63" t="s">
        <v>2292</v>
      </c>
      <c r="R141" s="63" t="s">
        <v>2121</v>
      </c>
      <c r="S141" s="63" t="s">
        <v>1633</v>
      </c>
      <c r="T141" s="63"/>
      <c r="U141" s="63"/>
      <c r="V141" s="63"/>
      <c r="W141" s="63"/>
      <c r="X141" s="63"/>
      <c r="Y141" s="63"/>
      <c r="Z141" s="63"/>
    </row>
    <row r="142" spans="1:26" ht="15.75" customHeight="1" x14ac:dyDescent="0.25">
      <c r="A142" s="63" t="s">
        <v>830</v>
      </c>
      <c r="B142" s="63" t="s">
        <v>799</v>
      </c>
      <c r="C142" s="63" t="s">
        <v>316</v>
      </c>
      <c r="D142" s="63" t="s">
        <v>1595</v>
      </c>
      <c r="E142" s="63" t="s">
        <v>2293</v>
      </c>
      <c r="F142" s="63" t="s">
        <v>1597</v>
      </c>
      <c r="G142" s="63" t="s">
        <v>2294</v>
      </c>
      <c r="H142" s="63" t="s">
        <v>1610</v>
      </c>
      <c r="I142" s="63" t="s">
        <v>2295</v>
      </c>
      <c r="J142" s="63" t="s">
        <v>556</v>
      </c>
      <c r="K142" s="63" t="s">
        <v>1601</v>
      </c>
      <c r="L142" s="63" t="s">
        <v>1653</v>
      </c>
      <c r="M142" s="63" t="s">
        <v>1654</v>
      </c>
      <c r="N142" s="63" t="s">
        <v>1595</v>
      </c>
      <c r="O142" s="63" t="s">
        <v>1604</v>
      </c>
      <c r="P142" s="63" t="s">
        <v>1671</v>
      </c>
      <c r="Q142" s="63" t="s">
        <v>2296</v>
      </c>
      <c r="R142" s="63" t="s">
        <v>2121</v>
      </c>
      <c r="S142" s="63" t="s">
        <v>1616</v>
      </c>
      <c r="T142" s="63"/>
      <c r="U142" s="63"/>
      <c r="V142" s="63"/>
      <c r="W142" s="63"/>
      <c r="X142" s="63"/>
      <c r="Y142" s="63"/>
      <c r="Z142" s="63"/>
    </row>
    <row r="143" spans="1:26" ht="15.75" customHeight="1" x14ac:dyDescent="0.25">
      <c r="A143" s="63" t="s">
        <v>832</v>
      </c>
      <c r="B143" s="63" t="s">
        <v>1311</v>
      </c>
      <c r="C143" s="63" t="s">
        <v>254</v>
      </c>
      <c r="D143" s="63" t="s">
        <v>1595</v>
      </c>
      <c r="E143" s="63" t="s">
        <v>2297</v>
      </c>
      <c r="F143" s="63" t="s">
        <v>1597</v>
      </c>
      <c r="G143" s="63" t="s">
        <v>2298</v>
      </c>
      <c r="H143" s="63" t="s">
        <v>1610</v>
      </c>
      <c r="I143" s="63" t="s">
        <v>2299</v>
      </c>
      <c r="J143" s="63" t="s">
        <v>554</v>
      </c>
      <c r="K143" s="63" t="s">
        <v>1601</v>
      </c>
      <c r="L143" s="63" t="s">
        <v>1758</v>
      </c>
      <c r="M143" s="63" t="s">
        <v>1613</v>
      </c>
      <c r="N143" s="63" t="s">
        <v>1595</v>
      </c>
      <c r="O143" s="63" t="s">
        <v>1604</v>
      </c>
      <c r="P143" s="63" t="s">
        <v>1897</v>
      </c>
      <c r="Q143" s="63" t="s">
        <v>2300</v>
      </c>
      <c r="R143" s="63" t="s">
        <v>2121</v>
      </c>
      <c r="S143" s="63" t="s">
        <v>1633</v>
      </c>
      <c r="T143" s="63"/>
      <c r="U143" s="63"/>
      <c r="V143" s="63"/>
      <c r="W143" s="63"/>
      <c r="X143" s="63"/>
      <c r="Y143" s="63"/>
      <c r="Z143" s="63"/>
    </row>
    <row r="144" spans="1:26" ht="15.75" customHeight="1" x14ac:dyDescent="0.25">
      <c r="A144" s="63" t="s">
        <v>834</v>
      </c>
      <c r="B144" s="63" t="s">
        <v>889</v>
      </c>
      <c r="C144" s="63" t="s">
        <v>357</v>
      </c>
      <c r="D144" s="63" t="s">
        <v>1595</v>
      </c>
      <c r="E144" s="63" t="s">
        <v>2301</v>
      </c>
      <c r="F144" s="63" t="s">
        <v>1597</v>
      </c>
      <c r="G144" s="63" t="s">
        <v>2302</v>
      </c>
      <c r="H144" s="63" t="s">
        <v>1619</v>
      </c>
      <c r="I144" s="63" t="s">
        <v>2303</v>
      </c>
      <c r="J144" s="63" t="s">
        <v>558</v>
      </c>
      <c r="K144" s="63" t="s">
        <v>1601</v>
      </c>
      <c r="L144" s="63" t="s">
        <v>1637</v>
      </c>
      <c r="M144" s="63" t="s">
        <v>1595</v>
      </c>
      <c r="N144" s="63" t="s">
        <v>1595</v>
      </c>
      <c r="O144" s="63" t="s">
        <v>1604</v>
      </c>
      <c r="P144" s="63" t="s">
        <v>1790</v>
      </c>
      <c r="Q144" s="63" t="s">
        <v>2304</v>
      </c>
      <c r="R144" s="63" t="s">
        <v>2121</v>
      </c>
      <c r="S144" s="63" t="s">
        <v>1616</v>
      </c>
      <c r="T144" s="63"/>
      <c r="U144" s="63"/>
      <c r="V144" s="63"/>
      <c r="W144" s="63"/>
      <c r="X144" s="63"/>
      <c r="Y144" s="63"/>
      <c r="Z144" s="63"/>
    </row>
    <row r="145" spans="1:26" ht="15.75" customHeight="1" x14ac:dyDescent="0.25">
      <c r="A145" s="63" t="s">
        <v>836</v>
      </c>
      <c r="B145" s="63" t="s">
        <v>1013</v>
      </c>
      <c r="C145" s="63" t="s">
        <v>417</v>
      </c>
      <c r="D145" s="63" t="s">
        <v>1595</v>
      </c>
      <c r="E145" s="63" t="s">
        <v>2305</v>
      </c>
      <c r="F145" s="63" t="s">
        <v>1597</v>
      </c>
      <c r="G145" s="63" t="s">
        <v>2306</v>
      </c>
      <c r="H145" s="63" t="s">
        <v>1610</v>
      </c>
      <c r="I145" s="63" t="s">
        <v>1611</v>
      </c>
      <c r="J145" s="63" t="s">
        <v>552</v>
      </c>
      <c r="K145" s="63" t="s">
        <v>1601</v>
      </c>
      <c r="L145" s="63" t="s">
        <v>1758</v>
      </c>
      <c r="M145" s="63" t="s">
        <v>1613</v>
      </c>
      <c r="N145" s="63" t="s">
        <v>1595</v>
      </c>
      <c r="O145" s="63" t="s">
        <v>1604</v>
      </c>
      <c r="P145" s="63" t="s">
        <v>1915</v>
      </c>
      <c r="Q145" s="63" t="s">
        <v>2307</v>
      </c>
      <c r="R145" s="63" t="s">
        <v>2121</v>
      </c>
      <c r="S145" s="63" t="s">
        <v>1616</v>
      </c>
      <c r="T145" s="63"/>
      <c r="U145" s="63"/>
      <c r="V145" s="63"/>
      <c r="W145" s="63"/>
      <c r="X145" s="63"/>
      <c r="Y145" s="63"/>
      <c r="Z145" s="63"/>
    </row>
    <row r="146" spans="1:26" ht="15.75" customHeight="1" x14ac:dyDescent="0.25">
      <c r="A146" s="63" t="s">
        <v>838</v>
      </c>
      <c r="B146" s="63" t="s">
        <v>1093</v>
      </c>
      <c r="C146" s="63" t="s">
        <v>148</v>
      </c>
      <c r="D146" s="63" t="s">
        <v>1595</v>
      </c>
      <c r="E146" s="63" t="s">
        <v>2160</v>
      </c>
      <c r="F146" s="63" t="s">
        <v>1597</v>
      </c>
      <c r="G146" s="63" t="s">
        <v>2308</v>
      </c>
      <c r="H146" s="63" t="s">
        <v>1619</v>
      </c>
      <c r="I146" s="63" t="s">
        <v>2309</v>
      </c>
      <c r="J146" s="63" t="s">
        <v>554</v>
      </c>
      <c r="K146" s="63" t="s">
        <v>1601</v>
      </c>
      <c r="L146" s="63" t="s">
        <v>2310</v>
      </c>
      <c r="M146" s="63" t="s">
        <v>1647</v>
      </c>
      <c r="N146" s="63" t="s">
        <v>1595</v>
      </c>
      <c r="O146" s="63" t="s">
        <v>1604</v>
      </c>
      <c r="P146" s="63" t="s">
        <v>1745</v>
      </c>
      <c r="Q146" s="63" t="s">
        <v>2311</v>
      </c>
      <c r="R146" s="63" t="s">
        <v>2121</v>
      </c>
      <c r="S146" s="63" t="s">
        <v>1633</v>
      </c>
      <c r="T146" s="63"/>
      <c r="U146" s="63"/>
      <c r="V146" s="63"/>
      <c r="W146" s="63"/>
      <c r="X146" s="63"/>
      <c r="Y146" s="63"/>
      <c r="Z146" s="63"/>
    </row>
    <row r="147" spans="1:26" ht="15.75" customHeight="1" x14ac:dyDescent="0.25">
      <c r="A147" s="63" t="s">
        <v>840</v>
      </c>
      <c r="B147" s="63" t="s">
        <v>919</v>
      </c>
      <c r="C147" s="63" t="s">
        <v>371</v>
      </c>
      <c r="D147" s="63" t="s">
        <v>1595</v>
      </c>
      <c r="E147" s="63" t="s">
        <v>2312</v>
      </c>
      <c r="F147" s="63" t="s">
        <v>1597</v>
      </c>
      <c r="G147" s="63" t="s">
        <v>2313</v>
      </c>
      <c r="H147" s="63" t="s">
        <v>1610</v>
      </c>
      <c r="I147" s="63" t="s">
        <v>1738</v>
      </c>
      <c r="J147" s="63" t="s">
        <v>556</v>
      </c>
      <c r="K147" s="63" t="s">
        <v>1601</v>
      </c>
      <c r="L147" s="63" t="s">
        <v>1612</v>
      </c>
      <c r="M147" s="63" t="s">
        <v>1613</v>
      </c>
      <c r="N147" s="63" t="s">
        <v>1595</v>
      </c>
      <c r="O147" s="63" t="s">
        <v>1604</v>
      </c>
      <c r="P147" s="63" t="s">
        <v>1915</v>
      </c>
      <c r="Q147" s="63" t="s">
        <v>2314</v>
      </c>
      <c r="R147" s="63" t="s">
        <v>2314</v>
      </c>
      <c r="S147" s="63" t="s">
        <v>1616</v>
      </c>
      <c r="T147" s="63"/>
      <c r="U147" s="63"/>
      <c r="V147" s="63"/>
      <c r="W147" s="63"/>
      <c r="X147" s="63"/>
      <c r="Y147" s="63"/>
      <c r="Z147" s="63"/>
    </row>
    <row r="148" spans="1:26" ht="15.75" customHeight="1" x14ac:dyDescent="0.25">
      <c r="A148" s="63" t="s">
        <v>842</v>
      </c>
      <c r="B148" s="63" t="s">
        <v>1009</v>
      </c>
      <c r="C148" s="63" t="s">
        <v>415</v>
      </c>
      <c r="D148" s="63" t="s">
        <v>1595</v>
      </c>
      <c r="E148" s="63" t="s">
        <v>2315</v>
      </c>
      <c r="F148" s="63" t="s">
        <v>1597</v>
      </c>
      <c r="G148" s="63" t="s">
        <v>2316</v>
      </c>
      <c r="H148" s="63" t="s">
        <v>1610</v>
      </c>
      <c r="I148" s="63" t="s">
        <v>2317</v>
      </c>
      <c r="J148" s="63" t="s">
        <v>2318</v>
      </c>
      <c r="K148" s="63" t="s">
        <v>2319</v>
      </c>
      <c r="L148" s="63" t="s">
        <v>2320</v>
      </c>
      <c r="M148" s="63" t="s">
        <v>1622</v>
      </c>
      <c r="N148" s="63" t="s">
        <v>1595</v>
      </c>
      <c r="O148" s="63" t="s">
        <v>1604</v>
      </c>
      <c r="P148" s="63" t="s">
        <v>2108</v>
      </c>
      <c r="Q148" s="63" t="s">
        <v>2321</v>
      </c>
      <c r="R148" s="63" t="s">
        <v>2322</v>
      </c>
      <c r="S148" s="63" t="s">
        <v>1616</v>
      </c>
      <c r="T148" s="63"/>
      <c r="U148" s="63"/>
      <c r="V148" s="63"/>
      <c r="W148" s="63"/>
      <c r="X148" s="63"/>
      <c r="Y148" s="63"/>
      <c r="Z148" s="63"/>
    </row>
    <row r="149" spans="1:26" ht="15.75" customHeight="1" x14ac:dyDescent="0.25">
      <c r="A149" s="63" t="s">
        <v>844</v>
      </c>
      <c r="B149" s="63" t="s">
        <v>1405</v>
      </c>
      <c r="C149" s="63" t="s">
        <v>299</v>
      </c>
      <c r="D149" s="63" t="s">
        <v>1595</v>
      </c>
      <c r="E149" s="63" t="s">
        <v>2323</v>
      </c>
      <c r="F149" s="63" t="s">
        <v>1597</v>
      </c>
      <c r="G149" s="63" t="s">
        <v>2324</v>
      </c>
      <c r="H149" s="63" t="s">
        <v>1610</v>
      </c>
      <c r="I149" s="63" t="s">
        <v>2325</v>
      </c>
      <c r="J149" s="63" t="s">
        <v>554</v>
      </c>
      <c r="K149" s="63" t="s">
        <v>1601</v>
      </c>
      <c r="L149" s="63" t="s">
        <v>1938</v>
      </c>
      <c r="M149" s="63" t="s">
        <v>1603</v>
      </c>
      <c r="N149" s="63" t="s">
        <v>1595</v>
      </c>
      <c r="O149" s="63" t="s">
        <v>1604</v>
      </c>
      <c r="P149" s="63" t="s">
        <v>2158</v>
      </c>
      <c r="Q149" s="63" t="s">
        <v>2326</v>
      </c>
      <c r="R149" s="63" t="s">
        <v>2121</v>
      </c>
      <c r="S149" s="63" t="s">
        <v>1633</v>
      </c>
      <c r="T149" s="63"/>
      <c r="U149" s="63"/>
      <c r="V149" s="63"/>
      <c r="W149" s="63"/>
      <c r="X149" s="63"/>
      <c r="Y149" s="63"/>
      <c r="Z149" s="63"/>
    </row>
    <row r="150" spans="1:26" ht="15.75" customHeight="1" x14ac:dyDescent="0.25">
      <c r="A150" s="63" t="s">
        <v>846</v>
      </c>
      <c r="B150" s="63" t="s">
        <v>1011</v>
      </c>
      <c r="C150" s="63" t="s">
        <v>416</v>
      </c>
      <c r="D150" s="63" t="s">
        <v>1595</v>
      </c>
      <c r="E150" s="63" t="s">
        <v>1862</v>
      </c>
      <c r="F150" s="63" t="s">
        <v>1597</v>
      </c>
      <c r="G150" s="63" t="s">
        <v>2327</v>
      </c>
      <c r="H150" s="63" t="s">
        <v>2328</v>
      </c>
      <c r="I150" s="63" t="s">
        <v>2329</v>
      </c>
      <c r="J150" s="63" t="s">
        <v>554</v>
      </c>
      <c r="K150" s="63" t="s">
        <v>1601</v>
      </c>
      <c r="L150" s="63" t="s">
        <v>1686</v>
      </c>
      <c r="M150" s="63" t="s">
        <v>1687</v>
      </c>
      <c r="N150" s="63" t="s">
        <v>1595</v>
      </c>
      <c r="O150" s="63" t="s">
        <v>1604</v>
      </c>
      <c r="P150" s="63" t="s">
        <v>1751</v>
      </c>
      <c r="Q150" s="63" t="s">
        <v>2330</v>
      </c>
      <c r="R150" s="63" t="s">
        <v>2121</v>
      </c>
      <c r="S150" s="63" t="s">
        <v>1616</v>
      </c>
      <c r="T150" s="63"/>
      <c r="U150" s="63"/>
      <c r="V150" s="63"/>
      <c r="W150" s="63"/>
      <c r="X150" s="63"/>
      <c r="Y150" s="63"/>
      <c r="Z150" s="63"/>
    </row>
    <row r="151" spans="1:26" ht="15.75" customHeight="1" x14ac:dyDescent="0.25">
      <c r="A151" s="63" t="s">
        <v>848</v>
      </c>
      <c r="B151" s="63" t="s">
        <v>1201</v>
      </c>
      <c r="C151" s="63" t="s">
        <v>200</v>
      </c>
      <c r="D151" s="63" t="s">
        <v>1595</v>
      </c>
      <c r="E151" s="63" t="s">
        <v>2331</v>
      </c>
      <c r="F151" s="63" t="s">
        <v>1597</v>
      </c>
      <c r="G151" s="63" t="s">
        <v>2332</v>
      </c>
      <c r="H151" s="63" t="s">
        <v>1610</v>
      </c>
      <c r="I151" s="63" t="s">
        <v>1867</v>
      </c>
      <c r="J151" s="63" t="s">
        <v>558</v>
      </c>
      <c r="K151" s="63" t="s">
        <v>1601</v>
      </c>
      <c r="L151" s="63" t="s">
        <v>1868</v>
      </c>
      <c r="M151" s="63" t="s">
        <v>1859</v>
      </c>
      <c r="N151" s="63" t="s">
        <v>1595</v>
      </c>
      <c r="O151" s="63" t="s">
        <v>1604</v>
      </c>
      <c r="P151" s="63" t="s">
        <v>1869</v>
      </c>
      <c r="Q151" s="63" t="s">
        <v>2333</v>
      </c>
      <c r="R151" s="63" t="s">
        <v>2121</v>
      </c>
      <c r="S151" s="63" t="s">
        <v>1633</v>
      </c>
      <c r="T151" s="63"/>
      <c r="U151" s="63"/>
      <c r="V151" s="63"/>
      <c r="W151" s="63"/>
      <c r="X151" s="63"/>
      <c r="Y151" s="63"/>
      <c r="Z151" s="63"/>
    </row>
    <row r="152" spans="1:26" ht="15.75" customHeight="1" x14ac:dyDescent="0.25">
      <c r="A152" s="63" t="s">
        <v>850</v>
      </c>
      <c r="B152" s="63" t="s">
        <v>2334</v>
      </c>
      <c r="C152" s="63" t="s">
        <v>2335</v>
      </c>
      <c r="D152" s="63" t="s">
        <v>1595</v>
      </c>
      <c r="E152" s="63" t="s">
        <v>1862</v>
      </c>
      <c r="F152" s="63" t="s">
        <v>1597</v>
      </c>
      <c r="G152" s="63" t="s">
        <v>2336</v>
      </c>
      <c r="H152" s="63" t="s">
        <v>1619</v>
      </c>
      <c r="I152" s="63" t="s">
        <v>2337</v>
      </c>
      <c r="J152" s="63" t="s">
        <v>614</v>
      </c>
      <c r="K152" s="63" t="s">
        <v>1601</v>
      </c>
      <c r="L152" s="63" t="s">
        <v>2338</v>
      </c>
      <c r="M152" s="63" t="s">
        <v>1859</v>
      </c>
      <c r="N152" s="63" t="s">
        <v>1595</v>
      </c>
      <c r="O152" s="63" t="s">
        <v>1604</v>
      </c>
      <c r="P152" s="63" t="s">
        <v>1623</v>
      </c>
      <c r="Q152" s="63" t="s">
        <v>2339</v>
      </c>
      <c r="R152" s="63" t="s">
        <v>2121</v>
      </c>
      <c r="S152" s="63" t="s">
        <v>1616</v>
      </c>
      <c r="T152" s="63"/>
      <c r="U152" s="63"/>
      <c r="V152" s="63"/>
      <c r="W152" s="63"/>
      <c r="X152" s="63"/>
      <c r="Y152" s="63"/>
      <c r="Z152" s="63"/>
    </row>
    <row r="153" spans="1:26" ht="15.75" customHeight="1" x14ac:dyDescent="0.25">
      <c r="A153" s="63" t="s">
        <v>852</v>
      </c>
      <c r="B153" s="63" t="s">
        <v>1111</v>
      </c>
      <c r="C153" s="63" t="s">
        <v>157</v>
      </c>
      <c r="D153" s="63" t="s">
        <v>1595</v>
      </c>
      <c r="E153" s="63" t="s">
        <v>2340</v>
      </c>
      <c r="F153" s="63" t="s">
        <v>1597</v>
      </c>
      <c r="G153" s="63" t="s">
        <v>2341</v>
      </c>
      <c r="H153" s="63" t="s">
        <v>1742</v>
      </c>
      <c r="I153" s="63" t="s">
        <v>2342</v>
      </c>
      <c r="J153" s="63" t="s">
        <v>606</v>
      </c>
      <c r="K153" s="63" t="s">
        <v>1601</v>
      </c>
      <c r="L153" s="63" t="s">
        <v>2065</v>
      </c>
      <c r="M153" s="63" t="s">
        <v>1622</v>
      </c>
      <c r="N153" s="63" t="s">
        <v>1595</v>
      </c>
      <c r="O153" s="63" t="s">
        <v>1604</v>
      </c>
      <c r="P153" s="63" t="s">
        <v>1790</v>
      </c>
      <c r="Q153" s="63" t="s">
        <v>2343</v>
      </c>
      <c r="R153" s="63" t="s">
        <v>2121</v>
      </c>
      <c r="S153" s="63" t="s">
        <v>1616</v>
      </c>
      <c r="T153" s="63"/>
      <c r="U153" s="63"/>
      <c r="V153" s="63"/>
      <c r="W153" s="63"/>
      <c r="X153" s="63"/>
      <c r="Y153" s="63"/>
      <c r="Z153" s="63"/>
    </row>
    <row r="154" spans="1:26" ht="15.75" customHeight="1" x14ac:dyDescent="0.25">
      <c r="A154" s="63" t="s">
        <v>854</v>
      </c>
      <c r="B154" s="63" t="s">
        <v>1347</v>
      </c>
      <c r="C154" s="63" t="s">
        <v>271</v>
      </c>
      <c r="D154" s="63" t="s">
        <v>1595</v>
      </c>
      <c r="E154" s="63" t="s">
        <v>2344</v>
      </c>
      <c r="F154" s="63" t="s">
        <v>1597</v>
      </c>
      <c r="G154" s="63" t="s">
        <v>2345</v>
      </c>
      <c r="H154" s="63" t="s">
        <v>1610</v>
      </c>
      <c r="I154" s="63" t="s">
        <v>1983</v>
      </c>
      <c r="J154" s="63" t="s">
        <v>554</v>
      </c>
      <c r="K154" s="63" t="s">
        <v>1601</v>
      </c>
      <c r="L154" s="63" t="s">
        <v>1744</v>
      </c>
      <c r="M154" s="63" t="s">
        <v>1647</v>
      </c>
      <c r="N154" s="63" t="s">
        <v>1595</v>
      </c>
      <c r="O154" s="63" t="s">
        <v>1604</v>
      </c>
      <c r="P154" s="63" t="s">
        <v>1745</v>
      </c>
      <c r="Q154" s="63" t="s">
        <v>2346</v>
      </c>
      <c r="R154" s="63" t="s">
        <v>2121</v>
      </c>
      <c r="S154" s="63" t="s">
        <v>1633</v>
      </c>
      <c r="T154" s="63"/>
      <c r="U154" s="63"/>
      <c r="V154" s="63"/>
      <c r="W154" s="63"/>
      <c r="X154" s="63"/>
      <c r="Y154" s="63"/>
      <c r="Z154" s="63"/>
    </row>
    <row r="155" spans="1:26" ht="15.75" customHeight="1" x14ac:dyDescent="0.25">
      <c r="A155" s="63" t="s">
        <v>856</v>
      </c>
      <c r="B155" s="63" t="s">
        <v>2347</v>
      </c>
      <c r="C155" s="63" t="s">
        <v>2348</v>
      </c>
      <c r="D155" s="63" t="s">
        <v>1595</v>
      </c>
      <c r="E155" s="63" t="s">
        <v>2349</v>
      </c>
      <c r="F155" s="63" t="s">
        <v>1597</v>
      </c>
      <c r="G155" s="63" t="s">
        <v>2350</v>
      </c>
      <c r="H155" s="63" t="s">
        <v>1742</v>
      </c>
      <c r="I155" s="63" t="s">
        <v>1859</v>
      </c>
      <c r="J155" s="63" t="s">
        <v>562</v>
      </c>
      <c r="K155" s="63" t="s">
        <v>1601</v>
      </c>
      <c r="L155" s="63" t="s">
        <v>2351</v>
      </c>
      <c r="M155" s="63" t="s">
        <v>1859</v>
      </c>
      <c r="N155" s="63" t="s">
        <v>1595</v>
      </c>
      <c r="O155" s="63" t="s">
        <v>1604</v>
      </c>
      <c r="P155" s="63" t="s">
        <v>2352</v>
      </c>
      <c r="Q155" s="63" t="s">
        <v>2353</v>
      </c>
      <c r="R155" s="63" t="s">
        <v>2121</v>
      </c>
      <c r="S155" s="63" t="s">
        <v>1616</v>
      </c>
      <c r="T155" s="63"/>
      <c r="U155" s="63"/>
      <c r="V155" s="63"/>
      <c r="W155" s="63"/>
      <c r="X155" s="63"/>
      <c r="Y155" s="63"/>
      <c r="Z155" s="63"/>
    </row>
    <row r="156" spans="1:26" ht="15.75" customHeight="1" x14ac:dyDescent="0.25">
      <c r="A156" s="63" t="s">
        <v>858</v>
      </c>
      <c r="B156" s="63" t="s">
        <v>1233</v>
      </c>
      <c r="C156" s="63" t="s">
        <v>216</v>
      </c>
      <c r="D156" s="63" t="s">
        <v>1595</v>
      </c>
      <c r="E156" s="63" t="s">
        <v>2354</v>
      </c>
      <c r="F156" s="63" t="s">
        <v>1597</v>
      </c>
      <c r="G156" s="63" t="s">
        <v>2355</v>
      </c>
      <c r="H156" s="63" t="s">
        <v>1619</v>
      </c>
      <c r="I156" s="63" t="s">
        <v>2356</v>
      </c>
      <c r="J156" s="63" t="s">
        <v>2204</v>
      </c>
      <c r="K156" s="63" t="s">
        <v>1601</v>
      </c>
      <c r="L156" s="63" t="s">
        <v>2282</v>
      </c>
      <c r="M156" s="63" t="s">
        <v>2283</v>
      </c>
      <c r="N156" s="63" t="s">
        <v>1595</v>
      </c>
      <c r="O156" s="63" t="s">
        <v>1604</v>
      </c>
      <c r="P156" s="63" t="s">
        <v>2357</v>
      </c>
      <c r="Q156" s="63" t="s">
        <v>2358</v>
      </c>
      <c r="R156" s="63" t="s">
        <v>2121</v>
      </c>
      <c r="S156" s="63" t="s">
        <v>1633</v>
      </c>
      <c r="T156" s="63"/>
      <c r="U156" s="63"/>
      <c r="V156" s="63"/>
      <c r="W156" s="63"/>
      <c r="X156" s="63"/>
      <c r="Y156" s="63"/>
      <c r="Z156" s="63"/>
    </row>
    <row r="157" spans="1:26" ht="15.75" customHeight="1" x14ac:dyDescent="0.25">
      <c r="A157" s="63" t="s">
        <v>860</v>
      </c>
      <c r="B157" s="63" t="s">
        <v>899</v>
      </c>
      <c r="C157" s="63" t="s">
        <v>362</v>
      </c>
      <c r="D157" s="63" t="s">
        <v>1595</v>
      </c>
      <c r="E157" s="63" t="s">
        <v>2359</v>
      </c>
      <c r="F157" s="63" t="s">
        <v>1597</v>
      </c>
      <c r="G157" s="63" t="s">
        <v>2360</v>
      </c>
      <c r="H157" s="63" t="s">
        <v>1619</v>
      </c>
      <c r="I157" s="63" t="s">
        <v>2361</v>
      </c>
      <c r="J157" s="63" t="s">
        <v>558</v>
      </c>
      <c r="K157" s="63" t="s">
        <v>1601</v>
      </c>
      <c r="L157" s="63" t="s">
        <v>1766</v>
      </c>
      <c r="M157" s="63" t="s">
        <v>1595</v>
      </c>
      <c r="N157" s="63" t="s">
        <v>1595</v>
      </c>
      <c r="O157" s="63" t="s">
        <v>1604</v>
      </c>
      <c r="P157" s="63" t="s">
        <v>1833</v>
      </c>
      <c r="Q157" s="63" t="s">
        <v>2362</v>
      </c>
      <c r="R157" s="63" t="s">
        <v>2363</v>
      </c>
      <c r="S157" s="63" t="s">
        <v>1616</v>
      </c>
      <c r="T157" s="63"/>
      <c r="U157" s="63"/>
      <c r="V157" s="63"/>
      <c r="W157" s="63"/>
      <c r="X157" s="63"/>
      <c r="Y157" s="63"/>
      <c r="Z157" s="63"/>
    </row>
    <row r="158" spans="1:26" ht="15.75" customHeight="1" x14ac:dyDescent="0.25">
      <c r="A158" s="63" t="s">
        <v>862</v>
      </c>
      <c r="B158" s="63" t="s">
        <v>1125</v>
      </c>
      <c r="C158" s="63" t="s">
        <v>164</v>
      </c>
      <c r="D158" s="63" t="s">
        <v>2084</v>
      </c>
      <c r="E158" s="63" t="s">
        <v>2364</v>
      </c>
      <c r="F158" s="63" t="s">
        <v>1597</v>
      </c>
      <c r="G158" s="63" t="s">
        <v>2365</v>
      </c>
      <c r="H158" s="63" t="s">
        <v>1619</v>
      </c>
      <c r="I158" s="63" t="s">
        <v>2366</v>
      </c>
      <c r="J158" s="63" t="s">
        <v>572</v>
      </c>
      <c r="K158" s="63" t="s">
        <v>1601</v>
      </c>
      <c r="L158" s="63" t="s">
        <v>2367</v>
      </c>
      <c r="M158" s="63" t="s">
        <v>2083</v>
      </c>
      <c r="N158" s="63" t="s">
        <v>2084</v>
      </c>
      <c r="O158" s="63" t="s">
        <v>1604</v>
      </c>
      <c r="P158" s="63" t="s">
        <v>2085</v>
      </c>
      <c r="Q158" s="63" t="s">
        <v>2368</v>
      </c>
      <c r="R158" s="63" t="s">
        <v>2121</v>
      </c>
      <c r="S158" s="63" t="s">
        <v>1633</v>
      </c>
      <c r="T158" s="63"/>
      <c r="U158" s="63"/>
      <c r="V158" s="63"/>
      <c r="W158" s="63"/>
      <c r="X158" s="63"/>
      <c r="Y158" s="63"/>
      <c r="Z158" s="63"/>
    </row>
    <row r="159" spans="1:26" ht="15.75" customHeight="1" x14ac:dyDescent="0.25">
      <c r="A159" s="63" t="s">
        <v>864</v>
      </c>
      <c r="B159" s="63" t="s">
        <v>1033</v>
      </c>
      <c r="C159" s="63" t="s">
        <v>427</v>
      </c>
      <c r="D159" s="63" t="s">
        <v>1595</v>
      </c>
      <c r="E159" s="63" t="s">
        <v>2369</v>
      </c>
      <c r="F159" s="63" t="s">
        <v>1597</v>
      </c>
      <c r="G159" s="63" t="s">
        <v>2370</v>
      </c>
      <c r="H159" s="63" t="s">
        <v>1627</v>
      </c>
      <c r="I159" s="63" t="s">
        <v>2371</v>
      </c>
      <c r="J159" s="63" t="s">
        <v>558</v>
      </c>
      <c r="K159" s="63" t="s">
        <v>1601</v>
      </c>
      <c r="L159" s="63" t="s">
        <v>2320</v>
      </c>
      <c r="M159" s="63" t="s">
        <v>1622</v>
      </c>
      <c r="N159" s="63" t="s">
        <v>1595</v>
      </c>
      <c r="O159" s="63" t="s">
        <v>1604</v>
      </c>
      <c r="P159" s="63" t="s">
        <v>2095</v>
      </c>
      <c r="Q159" s="63" t="s">
        <v>2372</v>
      </c>
      <c r="R159" s="63" t="s">
        <v>2121</v>
      </c>
      <c r="S159" s="63" t="s">
        <v>1616</v>
      </c>
      <c r="T159" s="63"/>
      <c r="U159" s="63"/>
      <c r="V159" s="63"/>
      <c r="W159" s="63"/>
      <c r="X159" s="63"/>
      <c r="Y159" s="63"/>
      <c r="Z159" s="63"/>
    </row>
    <row r="160" spans="1:26" ht="15.75" customHeight="1" x14ac:dyDescent="0.25">
      <c r="A160" s="63" t="s">
        <v>866</v>
      </c>
      <c r="B160" s="63" t="s">
        <v>2373</v>
      </c>
      <c r="C160" s="63" t="s">
        <v>2374</v>
      </c>
      <c r="D160" s="63" t="s">
        <v>1595</v>
      </c>
      <c r="E160" s="63" t="s">
        <v>2375</v>
      </c>
      <c r="F160" s="63" t="s">
        <v>1597</v>
      </c>
      <c r="G160" s="63" t="s">
        <v>2376</v>
      </c>
      <c r="H160" s="63" t="s">
        <v>2121</v>
      </c>
      <c r="I160" s="63" t="s">
        <v>2377</v>
      </c>
      <c r="J160" s="63" t="s">
        <v>564</v>
      </c>
      <c r="K160" s="63" t="s">
        <v>1601</v>
      </c>
      <c r="L160" s="63" t="s">
        <v>2320</v>
      </c>
      <c r="M160" s="63" t="s">
        <v>1622</v>
      </c>
      <c r="N160" s="63" t="s">
        <v>1595</v>
      </c>
      <c r="O160" s="63" t="s">
        <v>1604</v>
      </c>
      <c r="P160" s="63" t="s">
        <v>2378</v>
      </c>
      <c r="Q160" s="63" t="s">
        <v>2379</v>
      </c>
      <c r="R160" s="63" t="s">
        <v>2121</v>
      </c>
      <c r="S160" s="63" t="s">
        <v>1633</v>
      </c>
      <c r="T160" s="63"/>
      <c r="U160" s="63"/>
      <c r="V160" s="63"/>
      <c r="W160" s="63"/>
      <c r="X160" s="63"/>
      <c r="Y160" s="63"/>
      <c r="Z160" s="63"/>
    </row>
    <row r="161" spans="1:26" ht="15.75" customHeight="1" x14ac:dyDescent="0.25">
      <c r="A161" s="63" t="s">
        <v>868</v>
      </c>
      <c r="B161" s="63" t="s">
        <v>827</v>
      </c>
      <c r="C161" s="63" t="s">
        <v>5091</v>
      </c>
      <c r="D161" s="63" t="s">
        <v>1595</v>
      </c>
      <c r="E161" s="63" t="s">
        <v>2380</v>
      </c>
      <c r="F161" s="63" t="s">
        <v>1597</v>
      </c>
      <c r="G161" s="63" t="s">
        <v>2381</v>
      </c>
      <c r="H161" s="63" t="s">
        <v>1610</v>
      </c>
      <c r="I161" s="63" t="s">
        <v>2000</v>
      </c>
      <c r="J161" s="63" t="s">
        <v>558</v>
      </c>
      <c r="K161" s="63" t="s">
        <v>1601</v>
      </c>
      <c r="L161" s="63" t="s">
        <v>1744</v>
      </c>
      <c r="M161" s="63" t="s">
        <v>1647</v>
      </c>
      <c r="N161" s="63" t="s">
        <v>1595</v>
      </c>
      <c r="O161" s="63" t="s">
        <v>1604</v>
      </c>
      <c r="P161" s="63" t="s">
        <v>1648</v>
      </c>
      <c r="Q161" s="63" t="s">
        <v>2382</v>
      </c>
      <c r="R161" s="63" t="s">
        <v>2121</v>
      </c>
      <c r="S161" s="63" t="s">
        <v>1616</v>
      </c>
      <c r="T161" s="63"/>
      <c r="U161" s="63"/>
      <c r="V161" s="63"/>
      <c r="W161" s="63"/>
      <c r="X161" s="63"/>
      <c r="Y161" s="63"/>
      <c r="Z161" s="63"/>
    </row>
    <row r="162" spans="1:26" ht="15.75" customHeight="1" x14ac:dyDescent="0.25">
      <c r="A162" s="63" t="s">
        <v>870</v>
      </c>
      <c r="B162" s="63" t="s">
        <v>687</v>
      </c>
      <c r="C162" s="63" t="s">
        <v>511</v>
      </c>
      <c r="D162" s="63" t="s">
        <v>1595</v>
      </c>
      <c r="E162" s="63" t="s">
        <v>1840</v>
      </c>
      <c r="F162" s="63" t="s">
        <v>1597</v>
      </c>
      <c r="G162" s="63" t="s">
        <v>2383</v>
      </c>
      <c r="H162" s="63" t="s">
        <v>1610</v>
      </c>
      <c r="I162" s="63" t="s">
        <v>2384</v>
      </c>
      <c r="J162" s="63" t="s">
        <v>558</v>
      </c>
      <c r="K162" s="63" t="s">
        <v>1601</v>
      </c>
      <c r="L162" s="63" t="s">
        <v>1595</v>
      </c>
      <c r="M162" s="63" t="s">
        <v>1595</v>
      </c>
      <c r="N162" s="63" t="s">
        <v>1595</v>
      </c>
      <c r="O162" s="63" t="s">
        <v>1604</v>
      </c>
      <c r="P162" s="63" t="s">
        <v>1638</v>
      </c>
      <c r="Q162" s="63" t="s">
        <v>2385</v>
      </c>
      <c r="R162" s="63" t="s">
        <v>2121</v>
      </c>
      <c r="S162" s="63" t="s">
        <v>1607</v>
      </c>
      <c r="T162" s="63"/>
      <c r="U162" s="63"/>
      <c r="V162" s="63"/>
      <c r="W162" s="63"/>
      <c r="X162" s="63"/>
      <c r="Y162" s="63"/>
      <c r="Z162" s="63"/>
    </row>
    <row r="163" spans="1:26" ht="15.75" customHeight="1" x14ac:dyDescent="0.25">
      <c r="A163" s="63" t="s">
        <v>872</v>
      </c>
      <c r="B163" s="63" t="s">
        <v>1443</v>
      </c>
      <c r="C163" s="63" t="s">
        <v>79</v>
      </c>
      <c r="D163" s="63" t="s">
        <v>1595</v>
      </c>
      <c r="E163" s="63" t="s">
        <v>2386</v>
      </c>
      <c r="F163" s="63" t="s">
        <v>1597</v>
      </c>
      <c r="G163" s="63" t="s">
        <v>2387</v>
      </c>
      <c r="H163" s="63" t="s">
        <v>1619</v>
      </c>
      <c r="I163" s="63" t="s">
        <v>2388</v>
      </c>
      <c r="J163" s="63" t="s">
        <v>558</v>
      </c>
      <c r="K163" s="63" t="s">
        <v>1601</v>
      </c>
      <c r="L163" s="63" t="s">
        <v>1910</v>
      </c>
      <c r="M163" s="63" t="s">
        <v>1595</v>
      </c>
      <c r="N163" s="63" t="s">
        <v>1595</v>
      </c>
      <c r="O163" s="63" t="s">
        <v>1604</v>
      </c>
      <c r="P163" s="63" t="s">
        <v>2389</v>
      </c>
      <c r="Q163" s="63" t="s">
        <v>2390</v>
      </c>
      <c r="R163" s="63" t="s">
        <v>2121</v>
      </c>
      <c r="S163" s="63" t="s">
        <v>1616</v>
      </c>
      <c r="T163" s="63"/>
      <c r="U163" s="63"/>
      <c r="V163" s="63"/>
      <c r="W163" s="63"/>
      <c r="X163" s="63"/>
      <c r="Y163" s="63"/>
      <c r="Z163" s="63"/>
    </row>
    <row r="164" spans="1:26" ht="15.75" customHeight="1" x14ac:dyDescent="0.25">
      <c r="A164" s="63" t="s">
        <v>874</v>
      </c>
      <c r="B164" s="63" t="s">
        <v>2391</v>
      </c>
      <c r="C164" s="63" t="s">
        <v>2392</v>
      </c>
      <c r="D164" s="63" t="s">
        <v>1885</v>
      </c>
      <c r="E164" s="63" t="s">
        <v>2393</v>
      </c>
      <c r="F164" s="63" t="s">
        <v>1597</v>
      </c>
      <c r="G164" s="63" t="s">
        <v>2394</v>
      </c>
      <c r="H164" s="63" t="s">
        <v>1619</v>
      </c>
      <c r="I164" s="63" t="s">
        <v>2395</v>
      </c>
      <c r="J164" s="63" t="s">
        <v>570</v>
      </c>
      <c r="K164" s="63" t="s">
        <v>558</v>
      </c>
      <c r="L164" s="63" t="s">
        <v>2396</v>
      </c>
      <c r="M164" s="63" t="s">
        <v>2397</v>
      </c>
      <c r="N164" s="63" t="s">
        <v>2398</v>
      </c>
      <c r="O164" s="63" t="s">
        <v>1604</v>
      </c>
      <c r="P164" s="63" t="s">
        <v>2378</v>
      </c>
      <c r="Q164" s="63" t="s">
        <v>2399</v>
      </c>
      <c r="R164" s="63" t="s">
        <v>2121</v>
      </c>
      <c r="S164" s="63" t="s">
        <v>538</v>
      </c>
      <c r="T164" s="63"/>
      <c r="U164" s="63"/>
      <c r="V164" s="63"/>
      <c r="W164" s="63"/>
      <c r="X164" s="63"/>
      <c r="Y164" s="63"/>
      <c r="Z164" s="63"/>
    </row>
    <row r="165" spans="1:26" ht="15.75" customHeight="1" x14ac:dyDescent="0.25">
      <c r="A165" s="63" t="s">
        <v>876</v>
      </c>
      <c r="B165" s="63" t="s">
        <v>1045</v>
      </c>
      <c r="C165" s="63" t="s">
        <v>433</v>
      </c>
      <c r="D165" s="63" t="s">
        <v>1595</v>
      </c>
      <c r="E165" s="63" t="s">
        <v>2400</v>
      </c>
      <c r="F165" s="63" t="s">
        <v>1597</v>
      </c>
      <c r="G165" s="63" t="s">
        <v>2401</v>
      </c>
      <c r="H165" s="63" t="s">
        <v>1619</v>
      </c>
      <c r="I165" s="63" t="s">
        <v>2402</v>
      </c>
      <c r="J165" s="63" t="s">
        <v>556</v>
      </c>
      <c r="K165" s="63" t="s">
        <v>1601</v>
      </c>
      <c r="L165" s="63" t="s">
        <v>1621</v>
      </c>
      <c r="M165" s="63" t="s">
        <v>1622</v>
      </c>
      <c r="N165" s="63" t="s">
        <v>1595</v>
      </c>
      <c r="O165" s="63" t="s">
        <v>1604</v>
      </c>
      <c r="P165" s="63" t="s">
        <v>2095</v>
      </c>
      <c r="Q165" s="63" t="s">
        <v>2403</v>
      </c>
      <c r="R165" s="63" t="s">
        <v>2404</v>
      </c>
      <c r="S165" s="63" t="s">
        <v>1633</v>
      </c>
      <c r="T165" s="63"/>
      <c r="U165" s="63"/>
      <c r="V165" s="63"/>
      <c r="W165" s="63"/>
      <c r="X165" s="63"/>
      <c r="Y165" s="63"/>
      <c r="Z165" s="63"/>
    </row>
    <row r="166" spans="1:26" ht="15.75" customHeight="1" x14ac:dyDescent="0.25">
      <c r="A166" s="63" t="s">
        <v>878</v>
      </c>
      <c r="B166" s="63" t="s">
        <v>1407</v>
      </c>
      <c r="C166" s="63" t="s">
        <v>300</v>
      </c>
      <c r="D166" s="63" t="s">
        <v>2405</v>
      </c>
      <c r="E166" s="63" t="s">
        <v>2406</v>
      </c>
      <c r="F166" s="63" t="s">
        <v>1597</v>
      </c>
      <c r="G166" s="63" t="s">
        <v>2407</v>
      </c>
      <c r="H166" s="63" t="s">
        <v>1627</v>
      </c>
      <c r="I166" s="63" t="s">
        <v>2408</v>
      </c>
      <c r="J166" s="63" t="s">
        <v>560</v>
      </c>
      <c r="K166" s="63" t="s">
        <v>554</v>
      </c>
      <c r="L166" s="63" t="s">
        <v>2409</v>
      </c>
      <c r="M166" s="63" t="s">
        <v>2409</v>
      </c>
      <c r="N166" s="63" t="s">
        <v>2410</v>
      </c>
      <c r="O166" s="63" t="s">
        <v>2411</v>
      </c>
      <c r="P166" s="63" t="s">
        <v>2412</v>
      </c>
      <c r="Q166" s="63" t="s">
        <v>2413</v>
      </c>
      <c r="R166" s="63" t="s">
        <v>2121</v>
      </c>
      <c r="S166" s="63" t="s">
        <v>1633</v>
      </c>
      <c r="T166" s="63"/>
      <c r="U166" s="63"/>
      <c r="V166" s="63"/>
      <c r="W166" s="63"/>
      <c r="X166" s="63"/>
      <c r="Y166" s="63"/>
      <c r="Z166" s="63"/>
    </row>
    <row r="167" spans="1:26" ht="15.75" customHeight="1" x14ac:dyDescent="0.25">
      <c r="A167" s="63" t="s">
        <v>880</v>
      </c>
      <c r="B167" s="63" t="s">
        <v>653</v>
      </c>
      <c r="C167" s="63" t="s">
        <v>495</v>
      </c>
      <c r="D167" s="63" t="s">
        <v>1885</v>
      </c>
      <c r="E167" s="63" t="s">
        <v>2414</v>
      </c>
      <c r="F167" s="63" t="s">
        <v>1597</v>
      </c>
      <c r="G167" s="63" t="s">
        <v>2415</v>
      </c>
      <c r="H167" s="63" t="s">
        <v>1610</v>
      </c>
      <c r="I167" s="63" t="s">
        <v>2416</v>
      </c>
      <c r="J167" s="63" t="s">
        <v>556</v>
      </c>
      <c r="K167" s="63" t="s">
        <v>1601</v>
      </c>
      <c r="L167" s="63" t="s">
        <v>2166</v>
      </c>
      <c r="M167" s="63" t="s">
        <v>1603</v>
      </c>
      <c r="N167" s="63" t="s">
        <v>1595</v>
      </c>
      <c r="O167" s="63" t="s">
        <v>1604</v>
      </c>
      <c r="P167" s="63" t="s">
        <v>2417</v>
      </c>
      <c r="Q167" s="63" t="s">
        <v>2418</v>
      </c>
      <c r="R167" s="63" t="s">
        <v>2419</v>
      </c>
      <c r="S167" s="63" t="s">
        <v>1607</v>
      </c>
      <c r="T167" s="63"/>
      <c r="U167" s="63"/>
      <c r="V167" s="63"/>
      <c r="W167" s="63"/>
      <c r="X167" s="63"/>
      <c r="Y167" s="63"/>
      <c r="Z167" s="63"/>
    </row>
    <row r="168" spans="1:26" ht="15.75" customHeight="1" x14ac:dyDescent="0.25">
      <c r="A168" s="63" t="s">
        <v>882</v>
      </c>
      <c r="B168" s="63" t="s">
        <v>683</v>
      </c>
      <c r="C168" s="63" t="s">
        <v>509</v>
      </c>
      <c r="D168" s="63" t="s">
        <v>1595</v>
      </c>
      <c r="E168" s="63" t="s">
        <v>2420</v>
      </c>
      <c r="F168" s="63" t="s">
        <v>1597</v>
      </c>
      <c r="G168" s="63" t="s">
        <v>2421</v>
      </c>
      <c r="H168" s="63" t="s">
        <v>1619</v>
      </c>
      <c r="I168" s="63" t="s">
        <v>2422</v>
      </c>
      <c r="J168" s="63" t="s">
        <v>554</v>
      </c>
      <c r="K168" s="63" t="s">
        <v>1601</v>
      </c>
      <c r="L168" s="63" t="s">
        <v>1637</v>
      </c>
      <c r="M168" s="63" t="s">
        <v>1595</v>
      </c>
      <c r="N168" s="63" t="s">
        <v>1595</v>
      </c>
      <c r="O168" s="63" t="s">
        <v>1604</v>
      </c>
      <c r="P168" s="63" t="s">
        <v>2423</v>
      </c>
      <c r="Q168" s="63" t="s">
        <v>2424</v>
      </c>
      <c r="R168" s="63" t="s">
        <v>2121</v>
      </c>
      <c r="S168" s="63" t="s">
        <v>1607</v>
      </c>
      <c r="T168" s="63"/>
      <c r="U168" s="63"/>
      <c r="V168" s="63"/>
      <c r="W168" s="63"/>
      <c r="X168" s="63"/>
      <c r="Y168" s="63"/>
      <c r="Z168" s="63"/>
    </row>
    <row r="169" spans="1:26" ht="15.75" customHeight="1" x14ac:dyDescent="0.25">
      <c r="A169" s="63" t="s">
        <v>884</v>
      </c>
      <c r="B169" s="63" t="s">
        <v>1521</v>
      </c>
      <c r="C169" s="63" t="s">
        <v>117</v>
      </c>
      <c r="D169" s="63" t="s">
        <v>1595</v>
      </c>
      <c r="E169" s="63" t="s">
        <v>2425</v>
      </c>
      <c r="F169" s="63" t="s">
        <v>1597</v>
      </c>
      <c r="G169" s="63" t="s">
        <v>2426</v>
      </c>
      <c r="H169" s="63" t="s">
        <v>1627</v>
      </c>
      <c r="I169" s="63" t="s">
        <v>2427</v>
      </c>
      <c r="J169" s="63" t="s">
        <v>2428</v>
      </c>
      <c r="K169" s="63"/>
      <c r="L169" s="63" t="s">
        <v>1612</v>
      </c>
      <c r="M169" s="63" t="s">
        <v>2429</v>
      </c>
      <c r="N169" s="63" t="s">
        <v>1595</v>
      </c>
      <c r="O169" s="63" t="s">
        <v>1604</v>
      </c>
      <c r="P169" s="63" t="s">
        <v>1790</v>
      </c>
      <c r="Q169" s="63" t="s">
        <v>2430</v>
      </c>
      <c r="R169" s="63" t="s">
        <v>2431</v>
      </c>
      <c r="S169" s="63" t="s">
        <v>1723</v>
      </c>
      <c r="T169" s="63"/>
      <c r="U169" s="63"/>
      <c r="V169" s="63"/>
      <c r="W169" s="63"/>
      <c r="X169" s="63"/>
      <c r="Y169" s="63"/>
      <c r="Z169" s="63"/>
    </row>
    <row r="170" spans="1:26" ht="15.75" customHeight="1" x14ac:dyDescent="0.25">
      <c r="A170" s="63" t="s">
        <v>886</v>
      </c>
      <c r="B170" s="63" t="s">
        <v>1421</v>
      </c>
      <c r="C170" s="63" t="s">
        <v>67</v>
      </c>
      <c r="D170" s="63" t="s">
        <v>1595</v>
      </c>
      <c r="E170" s="63" t="s">
        <v>1699</v>
      </c>
      <c r="F170" s="63" t="s">
        <v>1597</v>
      </c>
      <c r="G170" s="63" t="s">
        <v>2432</v>
      </c>
      <c r="H170" s="63" t="s">
        <v>1619</v>
      </c>
      <c r="I170" s="63" t="s">
        <v>2433</v>
      </c>
      <c r="J170" s="63" t="s">
        <v>562</v>
      </c>
      <c r="K170" s="63" t="s">
        <v>1601</v>
      </c>
      <c r="L170" s="63" t="s">
        <v>2190</v>
      </c>
      <c r="M170" s="63" t="s">
        <v>1603</v>
      </c>
      <c r="N170" s="63" t="s">
        <v>1595</v>
      </c>
      <c r="O170" s="63" t="s">
        <v>1604</v>
      </c>
      <c r="P170" s="63" t="s">
        <v>2158</v>
      </c>
      <c r="Q170" s="63" t="s">
        <v>2434</v>
      </c>
      <c r="R170" s="63" t="s">
        <v>2431</v>
      </c>
      <c r="S170" s="63" t="s">
        <v>1723</v>
      </c>
      <c r="T170" s="63"/>
      <c r="U170" s="63"/>
      <c r="V170" s="63"/>
      <c r="W170" s="63"/>
      <c r="X170" s="63"/>
      <c r="Y170" s="63"/>
      <c r="Z170" s="63"/>
    </row>
    <row r="171" spans="1:26" ht="15.75" customHeight="1" x14ac:dyDescent="0.25">
      <c r="A171" s="63" t="s">
        <v>888</v>
      </c>
      <c r="B171" s="63" t="s">
        <v>2435</v>
      </c>
      <c r="C171" s="63" t="s">
        <v>2436</v>
      </c>
      <c r="D171" s="63" t="s">
        <v>2437</v>
      </c>
      <c r="E171" s="63" t="s">
        <v>2438</v>
      </c>
      <c r="F171" s="63" t="s">
        <v>1597</v>
      </c>
      <c r="G171" s="63" t="s">
        <v>2439</v>
      </c>
      <c r="H171" s="63" t="s">
        <v>1610</v>
      </c>
      <c r="I171" s="63" t="s">
        <v>1965</v>
      </c>
      <c r="J171" s="63" t="s">
        <v>552</v>
      </c>
      <c r="K171" s="63" t="s">
        <v>1601</v>
      </c>
      <c r="L171" s="63" t="s">
        <v>2190</v>
      </c>
      <c r="M171" s="63" t="s">
        <v>1603</v>
      </c>
      <c r="N171" s="63" t="s">
        <v>1595</v>
      </c>
      <c r="O171" s="63" t="s">
        <v>1604</v>
      </c>
      <c r="P171" s="63" t="s">
        <v>2158</v>
      </c>
      <c r="Q171" s="63" t="s">
        <v>2440</v>
      </c>
      <c r="R171" s="63" t="s">
        <v>2431</v>
      </c>
      <c r="S171" s="63" t="s">
        <v>1723</v>
      </c>
      <c r="T171" s="63"/>
      <c r="U171" s="63"/>
      <c r="V171" s="63"/>
      <c r="W171" s="63"/>
      <c r="X171" s="63"/>
      <c r="Y171" s="63"/>
      <c r="Z171" s="63"/>
    </row>
    <row r="172" spans="1:26" ht="15.75" customHeight="1" x14ac:dyDescent="0.25">
      <c r="A172" s="63" t="s">
        <v>890</v>
      </c>
      <c r="B172" s="63" t="s">
        <v>1043</v>
      </c>
      <c r="C172" s="63" t="s">
        <v>432</v>
      </c>
      <c r="D172" s="63" t="s">
        <v>1595</v>
      </c>
      <c r="E172" s="63" t="s">
        <v>2441</v>
      </c>
      <c r="F172" s="63" t="s">
        <v>1597</v>
      </c>
      <c r="G172" s="63" t="s">
        <v>2442</v>
      </c>
      <c r="H172" s="63" t="s">
        <v>1619</v>
      </c>
      <c r="I172" s="63" t="s">
        <v>2443</v>
      </c>
      <c r="J172" s="63" t="s">
        <v>558</v>
      </c>
      <c r="K172" s="63" t="s">
        <v>1601</v>
      </c>
      <c r="L172" s="63" t="s">
        <v>2444</v>
      </c>
      <c r="M172" s="63" t="s">
        <v>2283</v>
      </c>
      <c r="N172" s="63" t="s">
        <v>1595</v>
      </c>
      <c r="O172" s="63" t="s">
        <v>1604</v>
      </c>
      <c r="P172" s="63" t="s">
        <v>2445</v>
      </c>
      <c r="Q172" s="63" t="s">
        <v>2446</v>
      </c>
      <c r="R172" s="63" t="s">
        <v>2431</v>
      </c>
      <c r="S172" s="63" t="s">
        <v>1616</v>
      </c>
      <c r="T172" s="63"/>
      <c r="U172" s="63"/>
      <c r="V172" s="63"/>
      <c r="W172" s="63"/>
      <c r="X172" s="63"/>
      <c r="Y172" s="63"/>
      <c r="Z172" s="63"/>
    </row>
    <row r="173" spans="1:26" ht="15.75" customHeight="1" x14ac:dyDescent="0.25">
      <c r="A173" s="63" t="s">
        <v>892</v>
      </c>
      <c r="B173" s="63" t="s">
        <v>1071</v>
      </c>
      <c r="C173" s="63" t="s">
        <v>137</v>
      </c>
      <c r="D173" s="63" t="s">
        <v>1595</v>
      </c>
      <c r="E173" s="63" t="s">
        <v>2447</v>
      </c>
      <c r="F173" s="63" t="s">
        <v>1597</v>
      </c>
      <c r="G173" s="63" t="s">
        <v>2448</v>
      </c>
      <c r="H173" s="63" t="s">
        <v>1610</v>
      </c>
      <c r="I173" s="63" t="s">
        <v>2449</v>
      </c>
      <c r="J173" s="63" t="s">
        <v>552</v>
      </c>
      <c r="K173" s="63" t="s">
        <v>1601</v>
      </c>
      <c r="L173" s="63" t="s">
        <v>1637</v>
      </c>
      <c r="M173" s="63" t="s">
        <v>1595</v>
      </c>
      <c r="N173" s="63" t="s">
        <v>1595</v>
      </c>
      <c r="O173" s="63" t="s">
        <v>1604</v>
      </c>
      <c r="P173" s="63" t="s">
        <v>1745</v>
      </c>
      <c r="Q173" s="63" t="s">
        <v>2450</v>
      </c>
      <c r="R173" s="63" t="s">
        <v>2431</v>
      </c>
      <c r="S173" s="63" t="s">
        <v>1633</v>
      </c>
      <c r="T173" s="63"/>
      <c r="U173" s="63"/>
      <c r="V173" s="63"/>
      <c r="W173" s="63"/>
      <c r="X173" s="63"/>
      <c r="Y173" s="63"/>
      <c r="Z173" s="63"/>
    </row>
    <row r="174" spans="1:26" ht="15.75" customHeight="1" x14ac:dyDescent="0.25">
      <c r="A174" s="63" t="s">
        <v>894</v>
      </c>
      <c r="B174" s="63" t="s">
        <v>1363</v>
      </c>
      <c r="C174" s="63" t="s">
        <v>279</v>
      </c>
      <c r="D174" s="63" t="s">
        <v>1595</v>
      </c>
      <c r="E174" s="63" t="s">
        <v>2451</v>
      </c>
      <c r="F174" s="63" t="s">
        <v>1597</v>
      </c>
      <c r="G174" s="63" t="s">
        <v>2452</v>
      </c>
      <c r="H174" s="63" t="s">
        <v>2453</v>
      </c>
      <c r="I174" s="63" t="s">
        <v>2454</v>
      </c>
      <c r="J174" s="63" t="s">
        <v>556</v>
      </c>
      <c r="K174" s="63" t="s">
        <v>1601</v>
      </c>
      <c r="L174" s="63" t="s">
        <v>2310</v>
      </c>
      <c r="M174" s="63" t="s">
        <v>1647</v>
      </c>
      <c r="N174" s="63" t="s">
        <v>1595</v>
      </c>
      <c r="O174" s="63" t="s">
        <v>1604</v>
      </c>
      <c r="P174" s="63" t="s">
        <v>1648</v>
      </c>
      <c r="Q174" s="63" t="s">
        <v>2455</v>
      </c>
      <c r="R174" s="63" t="s">
        <v>2431</v>
      </c>
      <c r="S174" s="63" t="s">
        <v>1633</v>
      </c>
      <c r="T174" s="63"/>
      <c r="U174" s="63"/>
      <c r="V174" s="63"/>
      <c r="W174" s="63"/>
      <c r="X174" s="63"/>
      <c r="Y174" s="63"/>
      <c r="Z174" s="63"/>
    </row>
    <row r="175" spans="1:26" ht="15.75" customHeight="1" x14ac:dyDescent="0.25">
      <c r="A175" s="63" t="s">
        <v>896</v>
      </c>
      <c r="B175" s="63" t="s">
        <v>1031</v>
      </c>
      <c r="C175" s="63" t="s">
        <v>426</v>
      </c>
      <c r="D175" s="63" t="s">
        <v>1595</v>
      </c>
      <c r="E175" s="63" t="s">
        <v>2456</v>
      </c>
      <c r="F175" s="63" t="s">
        <v>1597</v>
      </c>
      <c r="G175" s="63" t="s">
        <v>2457</v>
      </c>
      <c r="H175" s="63" t="s">
        <v>2458</v>
      </c>
      <c r="I175" s="63" t="s">
        <v>2459</v>
      </c>
      <c r="J175" s="63" t="s">
        <v>556</v>
      </c>
      <c r="K175" s="63" t="s">
        <v>1601</v>
      </c>
      <c r="L175" s="63" t="s">
        <v>1612</v>
      </c>
      <c r="M175" s="63" t="s">
        <v>1613</v>
      </c>
      <c r="N175" s="63" t="s">
        <v>1595</v>
      </c>
      <c r="O175" s="63" t="s">
        <v>1604</v>
      </c>
      <c r="P175" s="63" t="s">
        <v>1897</v>
      </c>
      <c r="Q175" s="63" t="s">
        <v>2460</v>
      </c>
      <c r="R175" s="63" t="s">
        <v>2431</v>
      </c>
      <c r="S175" s="63" t="s">
        <v>1616</v>
      </c>
      <c r="T175" s="63"/>
      <c r="U175" s="63"/>
      <c r="V175" s="63"/>
      <c r="W175" s="63"/>
      <c r="X175" s="63"/>
      <c r="Y175" s="63"/>
      <c r="Z175" s="63"/>
    </row>
    <row r="176" spans="1:26" ht="15.75" customHeight="1" x14ac:dyDescent="0.25">
      <c r="A176" s="63" t="s">
        <v>898</v>
      </c>
      <c r="B176" s="63" t="s">
        <v>1083</v>
      </c>
      <c r="C176" s="63" t="s">
        <v>143</v>
      </c>
      <c r="D176" s="63" t="s">
        <v>1595</v>
      </c>
      <c r="E176" s="63" t="s">
        <v>2461</v>
      </c>
      <c r="F176" s="63" t="s">
        <v>1597</v>
      </c>
      <c r="G176" s="63" t="s">
        <v>2462</v>
      </c>
      <c r="H176" s="63" t="s">
        <v>1619</v>
      </c>
      <c r="I176" s="63" t="s">
        <v>2463</v>
      </c>
      <c r="J176" s="63" t="s">
        <v>560</v>
      </c>
      <c r="K176" s="63" t="s">
        <v>1601</v>
      </c>
      <c r="L176" s="63" t="s">
        <v>1758</v>
      </c>
      <c r="M176" s="63" t="s">
        <v>1613</v>
      </c>
      <c r="N176" s="63" t="s">
        <v>1595</v>
      </c>
      <c r="O176" s="63" t="s">
        <v>1604</v>
      </c>
      <c r="P176" s="63" t="s">
        <v>1823</v>
      </c>
      <c r="Q176" s="63" t="s">
        <v>2464</v>
      </c>
      <c r="R176" s="63" t="s">
        <v>2121</v>
      </c>
      <c r="S176" s="63" t="s">
        <v>1633</v>
      </c>
      <c r="T176" s="63"/>
      <c r="U176" s="63"/>
      <c r="V176" s="63"/>
      <c r="W176" s="63"/>
      <c r="X176" s="63"/>
      <c r="Y176" s="63"/>
      <c r="Z176" s="63"/>
    </row>
    <row r="177" spans="1:26" ht="15.75" customHeight="1" x14ac:dyDescent="0.25">
      <c r="A177" s="63" t="s">
        <v>900</v>
      </c>
      <c r="B177" s="63" t="s">
        <v>1249</v>
      </c>
      <c r="C177" s="63" t="s">
        <v>224</v>
      </c>
      <c r="D177" s="63" t="s">
        <v>1595</v>
      </c>
      <c r="E177" s="63" t="s">
        <v>2465</v>
      </c>
      <c r="F177" s="63" t="s">
        <v>1597</v>
      </c>
      <c r="G177" s="63" t="s">
        <v>2466</v>
      </c>
      <c r="H177" s="63" t="s">
        <v>2467</v>
      </c>
      <c r="I177" s="63" t="s">
        <v>2325</v>
      </c>
      <c r="J177" s="63" t="s">
        <v>2225</v>
      </c>
      <c r="K177" s="63" t="s">
        <v>2468</v>
      </c>
      <c r="L177" s="63" t="s">
        <v>1938</v>
      </c>
      <c r="M177" s="63" t="s">
        <v>1603</v>
      </c>
      <c r="N177" s="63" t="s">
        <v>1595</v>
      </c>
      <c r="O177" s="63" t="s">
        <v>1604</v>
      </c>
      <c r="P177" s="63" t="s">
        <v>2469</v>
      </c>
      <c r="Q177" s="63" t="s">
        <v>2470</v>
      </c>
      <c r="R177" s="63" t="s">
        <v>2471</v>
      </c>
      <c r="S177" s="63" t="s">
        <v>1633</v>
      </c>
      <c r="T177" s="63"/>
      <c r="U177" s="63"/>
      <c r="V177" s="63"/>
      <c r="W177" s="63"/>
      <c r="X177" s="63"/>
      <c r="Y177" s="63"/>
      <c r="Z177" s="63"/>
    </row>
    <row r="178" spans="1:26" ht="15.75" customHeight="1" x14ac:dyDescent="0.25">
      <c r="A178" s="63" t="s">
        <v>902</v>
      </c>
      <c r="B178" s="63" t="s">
        <v>2472</v>
      </c>
      <c r="C178" s="63" t="s">
        <v>2473</v>
      </c>
      <c r="D178" s="63" t="s">
        <v>1595</v>
      </c>
      <c r="E178" s="63" t="s">
        <v>1978</v>
      </c>
      <c r="F178" s="63" t="s">
        <v>1597</v>
      </c>
      <c r="G178" s="63" t="s">
        <v>2474</v>
      </c>
      <c r="H178" s="63" t="s">
        <v>1610</v>
      </c>
      <c r="I178" s="63" t="s">
        <v>2475</v>
      </c>
      <c r="J178" s="63" t="s">
        <v>2476</v>
      </c>
      <c r="K178" s="63" t="s">
        <v>612</v>
      </c>
      <c r="L178" s="63" t="s">
        <v>2282</v>
      </c>
      <c r="M178" s="63" t="s">
        <v>2283</v>
      </c>
      <c r="N178" s="63" t="s">
        <v>1595</v>
      </c>
      <c r="O178" s="63" t="s">
        <v>1604</v>
      </c>
      <c r="P178" s="63" t="s">
        <v>2477</v>
      </c>
      <c r="Q178" s="63" t="s">
        <v>2478</v>
      </c>
      <c r="R178" s="63" t="s">
        <v>2479</v>
      </c>
      <c r="S178" s="63" t="s">
        <v>1616</v>
      </c>
      <c r="T178" s="63"/>
      <c r="U178" s="63"/>
      <c r="V178" s="63"/>
      <c r="W178" s="63"/>
      <c r="X178" s="63"/>
      <c r="Y178" s="63"/>
      <c r="Z178" s="63"/>
    </row>
    <row r="179" spans="1:26" ht="15.75" customHeight="1" x14ac:dyDescent="0.25">
      <c r="A179" s="63" t="s">
        <v>904</v>
      </c>
      <c r="B179" s="63" t="s">
        <v>1319</v>
      </c>
      <c r="C179" s="63" t="s">
        <v>258</v>
      </c>
      <c r="D179" s="63" t="s">
        <v>1595</v>
      </c>
      <c r="E179" s="63" t="s">
        <v>2480</v>
      </c>
      <c r="F179" s="63" t="s">
        <v>1597</v>
      </c>
      <c r="G179" s="63" t="s">
        <v>2481</v>
      </c>
      <c r="H179" s="63" t="s">
        <v>1619</v>
      </c>
      <c r="I179" s="63" t="s">
        <v>2482</v>
      </c>
      <c r="J179" s="63" t="s">
        <v>2483</v>
      </c>
      <c r="K179" s="63" t="s">
        <v>2121</v>
      </c>
      <c r="L179" s="63" t="s">
        <v>1621</v>
      </c>
      <c r="M179" s="63" t="s">
        <v>1622</v>
      </c>
      <c r="N179" s="63" t="s">
        <v>1595</v>
      </c>
      <c r="O179" s="63" t="s">
        <v>1604</v>
      </c>
      <c r="P179" s="63" t="s">
        <v>1623</v>
      </c>
      <c r="Q179" s="63" t="s">
        <v>2484</v>
      </c>
      <c r="R179" s="63" t="s">
        <v>2485</v>
      </c>
      <c r="S179" s="63" t="s">
        <v>1633</v>
      </c>
      <c r="T179" s="63"/>
      <c r="U179" s="63"/>
      <c r="V179" s="63"/>
      <c r="W179" s="63"/>
      <c r="X179" s="63"/>
      <c r="Y179" s="63"/>
      <c r="Z179" s="63"/>
    </row>
    <row r="180" spans="1:26" ht="15.75" customHeight="1" x14ac:dyDescent="0.25">
      <c r="A180" s="63" t="s">
        <v>906</v>
      </c>
      <c r="B180" s="63" t="s">
        <v>1003</v>
      </c>
      <c r="C180" s="63" t="s">
        <v>412</v>
      </c>
      <c r="D180" s="63" t="s">
        <v>1595</v>
      </c>
      <c r="E180" s="63" t="s">
        <v>2486</v>
      </c>
      <c r="F180" s="63" t="s">
        <v>1597</v>
      </c>
      <c r="G180" s="63" t="s">
        <v>2487</v>
      </c>
      <c r="H180" s="63" t="s">
        <v>1610</v>
      </c>
      <c r="I180" s="63" t="s">
        <v>2488</v>
      </c>
      <c r="J180" s="63" t="s">
        <v>1601</v>
      </c>
      <c r="K180" s="63" t="s">
        <v>1601</v>
      </c>
      <c r="L180" s="63" t="s">
        <v>2489</v>
      </c>
      <c r="M180" s="63" t="s">
        <v>2283</v>
      </c>
      <c r="N180" s="63" t="s">
        <v>1595</v>
      </c>
      <c r="O180" s="63" t="s">
        <v>1604</v>
      </c>
      <c r="P180" s="63" t="s">
        <v>2490</v>
      </c>
      <c r="Q180" s="63" t="s">
        <v>2491</v>
      </c>
      <c r="R180" s="63" t="s">
        <v>2492</v>
      </c>
      <c r="S180" s="63" t="s">
        <v>1616</v>
      </c>
      <c r="T180" s="63"/>
      <c r="U180" s="63"/>
      <c r="V180" s="63"/>
      <c r="W180" s="63"/>
      <c r="X180" s="63"/>
      <c r="Y180" s="63"/>
      <c r="Z180" s="63"/>
    </row>
    <row r="181" spans="1:26" ht="15.75" customHeight="1" x14ac:dyDescent="0.25">
      <c r="A181" s="63" t="s">
        <v>908</v>
      </c>
      <c r="B181" s="63" t="s">
        <v>837</v>
      </c>
      <c r="C181" s="63" t="s">
        <v>334</v>
      </c>
      <c r="D181" s="63" t="s">
        <v>1595</v>
      </c>
      <c r="E181" s="63" t="s">
        <v>2015</v>
      </c>
      <c r="F181" s="63" t="s">
        <v>1597</v>
      </c>
      <c r="G181" s="63" t="s">
        <v>2493</v>
      </c>
      <c r="H181" s="63" t="s">
        <v>1927</v>
      </c>
      <c r="I181" s="63" t="s">
        <v>2494</v>
      </c>
      <c r="J181" s="63" t="s">
        <v>604</v>
      </c>
      <c r="K181" s="63"/>
      <c r="L181" s="63" t="s">
        <v>2065</v>
      </c>
      <c r="M181" s="63" t="s">
        <v>1622</v>
      </c>
      <c r="N181" s="63" t="s">
        <v>1595</v>
      </c>
      <c r="O181" s="63" t="s">
        <v>1604</v>
      </c>
      <c r="P181" s="63" t="s">
        <v>2108</v>
      </c>
      <c r="Q181" s="63" t="s">
        <v>2495</v>
      </c>
      <c r="R181" s="63" t="s">
        <v>2496</v>
      </c>
      <c r="S181" s="63" t="s">
        <v>1616</v>
      </c>
      <c r="T181" s="63"/>
      <c r="U181" s="63"/>
      <c r="V181" s="63"/>
      <c r="W181" s="63"/>
      <c r="X181" s="63"/>
      <c r="Y181" s="63"/>
      <c r="Z181" s="63"/>
    </row>
    <row r="182" spans="1:26" ht="15.75" customHeight="1" x14ac:dyDescent="0.25">
      <c r="A182" s="63" t="s">
        <v>910</v>
      </c>
      <c r="B182" s="63" t="s">
        <v>831</v>
      </c>
      <c r="C182" s="63" t="s">
        <v>331</v>
      </c>
      <c r="D182" s="63" t="s">
        <v>1595</v>
      </c>
      <c r="E182" s="63" t="s">
        <v>2497</v>
      </c>
      <c r="F182" s="63" t="s">
        <v>1597</v>
      </c>
      <c r="G182" s="63" t="s">
        <v>2498</v>
      </c>
      <c r="H182" s="63" t="s">
        <v>2499</v>
      </c>
      <c r="I182" s="63" t="s">
        <v>1854</v>
      </c>
      <c r="J182" s="63" t="s">
        <v>558</v>
      </c>
      <c r="K182" s="63" t="s">
        <v>2121</v>
      </c>
      <c r="L182" s="63" t="s">
        <v>1637</v>
      </c>
      <c r="M182" s="63" t="s">
        <v>1595</v>
      </c>
      <c r="N182" s="63" t="s">
        <v>1595</v>
      </c>
      <c r="O182" s="63" t="s">
        <v>1604</v>
      </c>
      <c r="P182" s="63" t="s">
        <v>1638</v>
      </c>
      <c r="Q182" s="63" t="s">
        <v>2500</v>
      </c>
      <c r="R182" s="63" t="s">
        <v>2501</v>
      </c>
      <c r="S182" s="63" t="s">
        <v>1616</v>
      </c>
      <c r="T182" s="63"/>
      <c r="U182" s="63"/>
      <c r="V182" s="63"/>
      <c r="W182" s="63"/>
      <c r="X182" s="63"/>
      <c r="Y182" s="63"/>
      <c r="Z182" s="63"/>
    </row>
    <row r="183" spans="1:26" ht="15.75" customHeight="1" x14ac:dyDescent="0.25">
      <c r="A183" s="63" t="s">
        <v>912</v>
      </c>
      <c r="B183" s="63" t="s">
        <v>1331</v>
      </c>
      <c r="C183" s="63" t="s">
        <v>263</v>
      </c>
      <c r="D183" s="63" t="s">
        <v>1595</v>
      </c>
      <c r="E183" s="63" t="s">
        <v>2502</v>
      </c>
      <c r="F183" s="63" t="s">
        <v>1597</v>
      </c>
      <c r="G183" s="63" t="s">
        <v>2503</v>
      </c>
      <c r="H183" s="63" t="s">
        <v>2499</v>
      </c>
      <c r="I183" s="63" t="s">
        <v>2189</v>
      </c>
      <c r="J183" s="63" t="s">
        <v>568</v>
      </c>
      <c r="K183" s="63" t="s">
        <v>2121</v>
      </c>
      <c r="L183" s="63" t="s">
        <v>2190</v>
      </c>
      <c r="M183" s="63" t="s">
        <v>1603</v>
      </c>
      <c r="N183" s="63" t="s">
        <v>1595</v>
      </c>
      <c r="O183" s="63" t="s">
        <v>1604</v>
      </c>
      <c r="P183" s="63" t="s">
        <v>2504</v>
      </c>
      <c r="Q183" s="63" t="s">
        <v>2505</v>
      </c>
      <c r="R183" s="63" t="s">
        <v>2506</v>
      </c>
      <c r="S183" s="63" t="s">
        <v>1633</v>
      </c>
      <c r="T183" s="63"/>
      <c r="U183" s="63"/>
      <c r="V183" s="63"/>
      <c r="W183" s="63"/>
      <c r="X183" s="63"/>
      <c r="Y183" s="63"/>
      <c r="Z183" s="63"/>
    </row>
    <row r="184" spans="1:26" ht="15.75" customHeight="1" x14ac:dyDescent="0.25">
      <c r="A184" s="63" t="s">
        <v>914</v>
      </c>
      <c r="B184" s="63" t="s">
        <v>1497</v>
      </c>
      <c r="C184" s="63" t="s">
        <v>106</v>
      </c>
      <c r="D184" s="63" t="s">
        <v>1595</v>
      </c>
      <c r="E184" s="63" t="s">
        <v>2183</v>
      </c>
      <c r="F184" s="63" t="s">
        <v>1597</v>
      </c>
      <c r="G184" s="63" t="s">
        <v>2507</v>
      </c>
      <c r="H184" s="63" t="s">
        <v>1610</v>
      </c>
      <c r="I184" s="63" t="s">
        <v>2508</v>
      </c>
      <c r="J184" s="63" t="s">
        <v>558</v>
      </c>
      <c r="K184" s="63" t="s">
        <v>1601</v>
      </c>
      <c r="L184" s="63" t="s">
        <v>1686</v>
      </c>
      <c r="M184" s="63" t="s">
        <v>1687</v>
      </c>
      <c r="N184" s="63" t="s">
        <v>1595</v>
      </c>
      <c r="O184" s="63" t="s">
        <v>1604</v>
      </c>
      <c r="P184" s="63" t="s">
        <v>1751</v>
      </c>
      <c r="Q184" s="63" t="s">
        <v>2509</v>
      </c>
      <c r="R184" s="63" t="s">
        <v>2510</v>
      </c>
      <c r="S184" s="63" t="s">
        <v>1723</v>
      </c>
      <c r="T184" s="63"/>
      <c r="U184" s="63"/>
      <c r="V184" s="63"/>
      <c r="W184" s="63"/>
      <c r="X184" s="63"/>
      <c r="Y184" s="63"/>
      <c r="Z184" s="63"/>
    </row>
    <row r="185" spans="1:26" ht="15.75" customHeight="1" x14ac:dyDescent="0.25">
      <c r="A185" s="63" t="s">
        <v>916</v>
      </c>
      <c r="B185" s="63" t="s">
        <v>1133</v>
      </c>
      <c r="C185" s="63" t="s">
        <v>167</v>
      </c>
      <c r="D185" s="63" t="s">
        <v>1885</v>
      </c>
      <c r="E185" s="63" t="s">
        <v>2511</v>
      </c>
      <c r="F185" s="63" t="s">
        <v>1597</v>
      </c>
      <c r="G185" s="63" t="s">
        <v>2512</v>
      </c>
      <c r="H185" s="63" t="s">
        <v>2121</v>
      </c>
      <c r="I185" s="63" t="s">
        <v>2513</v>
      </c>
      <c r="J185" s="63" t="s">
        <v>2483</v>
      </c>
      <c r="K185" s="63"/>
      <c r="L185" s="63" t="s">
        <v>2514</v>
      </c>
      <c r="M185" s="63" t="s">
        <v>2283</v>
      </c>
      <c r="N185" s="63" t="s">
        <v>1595</v>
      </c>
      <c r="O185" s="63" t="s">
        <v>1604</v>
      </c>
      <c r="P185" s="63" t="s">
        <v>5060</v>
      </c>
      <c r="Q185" s="63" t="s">
        <v>2515</v>
      </c>
      <c r="R185" s="63" t="s">
        <v>2516</v>
      </c>
      <c r="S185" s="63" t="s">
        <v>1633</v>
      </c>
      <c r="T185" s="63"/>
      <c r="U185" s="63"/>
      <c r="V185" s="63"/>
      <c r="W185" s="63"/>
      <c r="X185" s="63"/>
      <c r="Y185" s="63"/>
      <c r="Z185" s="63"/>
    </row>
    <row r="186" spans="1:26" ht="15.75" customHeight="1" x14ac:dyDescent="0.25">
      <c r="A186" s="63" t="s">
        <v>918</v>
      </c>
      <c r="B186" s="63" t="s">
        <v>1051</v>
      </c>
      <c r="C186" s="63" t="s">
        <v>436</v>
      </c>
      <c r="D186" s="63" t="s">
        <v>1595</v>
      </c>
      <c r="E186" s="63" t="s">
        <v>2517</v>
      </c>
      <c r="F186" s="63" t="s">
        <v>1597</v>
      </c>
      <c r="G186" s="63" t="s">
        <v>2518</v>
      </c>
      <c r="H186" s="63" t="s">
        <v>1927</v>
      </c>
      <c r="I186" s="63" t="s">
        <v>2519</v>
      </c>
      <c r="J186" s="63" t="s">
        <v>556</v>
      </c>
      <c r="K186" s="63" t="s">
        <v>1601</v>
      </c>
      <c r="L186" s="63" t="s">
        <v>1706</v>
      </c>
      <c r="M186" s="63" t="s">
        <v>1696</v>
      </c>
      <c r="N186" s="63" t="s">
        <v>1595</v>
      </c>
      <c r="O186" s="63" t="s">
        <v>1604</v>
      </c>
      <c r="P186" s="63" t="s">
        <v>2490</v>
      </c>
      <c r="Q186" s="63" t="s">
        <v>2520</v>
      </c>
      <c r="R186" s="63" t="s">
        <v>2521</v>
      </c>
      <c r="S186" s="63" t="s">
        <v>1723</v>
      </c>
      <c r="T186" s="63"/>
      <c r="U186" s="63"/>
      <c r="V186" s="63"/>
      <c r="W186" s="63"/>
      <c r="X186" s="63"/>
      <c r="Y186" s="63"/>
      <c r="Z186" s="63"/>
    </row>
    <row r="187" spans="1:26" ht="15.75" customHeight="1" x14ac:dyDescent="0.25">
      <c r="A187" s="63" t="s">
        <v>920</v>
      </c>
      <c r="B187" s="63" t="s">
        <v>1517</v>
      </c>
      <c r="C187" s="63" t="s">
        <v>115</v>
      </c>
      <c r="D187" s="63" t="s">
        <v>1885</v>
      </c>
      <c r="E187" s="63" t="s">
        <v>2522</v>
      </c>
      <c r="F187" s="63" t="s">
        <v>1597</v>
      </c>
      <c r="G187" s="63" t="s">
        <v>2523</v>
      </c>
      <c r="H187" s="63" t="s">
        <v>2524</v>
      </c>
      <c r="I187" s="63" t="s">
        <v>2525</v>
      </c>
      <c r="J187" s="63" t="s">
        <v>554</v>
      </c>
      <c r="K187" s="63" t="s">
        <v>1601</v>
      </c>
      <c r="L187" s="63" t="s">
        <v>2144</v>
      </c>
      <c r="M187" s="63" t="s">
        <v>2145</v>
      </c>
      <c r="N187" s="63" t="s">
        <v>1595</v>
      </c>
      <c r="O187" s="63" t="s">
        <v>1604</v>
      </c>
      <c r="P187" s="63" t="s">
        <v>2526</v>
      </c>
      <c r="Q187" s="63" t="s">
        <v>2527</v>
      </c>
      <c r="R187" s="63" t="s">
        <v>2527</v>
      </c>
      <c r="S187" s="63" t="s">
        <v>1723</v>
      </c>
      <c r="T187" s="63"/>
      <c r="U187" s="63"/>
      <c r="V187" s="63"/>
      <c r="W187" s="63"/>
      <c r="X187" s="63"/>
      <c r="Y187" s="63"/>
      <c r="Z187" s="63"/>
    </row>
    <row r="188" spans="1:26" ht="15.75" customHeight="1" x14ac:dyDescent="0.25">
      <c r="A188" s="63" t="s">
        <v>922</v>
      </c>
      <c r="B188" s="63" t="s">
        <v>649</v>
      </c>
      <c r="C188" s="63" t="s">
        <v>493</v>
      </c>
      <c r="D188" s="63" t="s">
        <v>1595</v>
      </c>
      <c r="E188" s="63" t="s">
        <v>2528</v>
      </c>
      <c r="F188" s="63" t="s">
        <v>1597</v>
      </c>
      <c r="G188" s="63" t="s">
        <v>2529</v>
      </c>
      <c r="H188" s="63" t="s">
        <v>1619</v>
      </c>
      <c r="I188" s="63" t="s">
        <v>2530</v>
      </c>
      <c r="J188" s="63" t="s">
        <v>552</v>
      </c>
      <c r="K188" s="63" t="s">
        <v>1601</v>
      </c>
      <c r="L188" s="63" t="s">
        <v>1800</v>
      </c>
      <c r="M188" s="63" t="s">
        <v>1595</v>
      </c>
      <c r="N188" s="63" t="s">
        <v>1595</v>
      </c>
      <c r="O188" s="63" t="s">
        <v>1604</v>
      </c>
      <c r="P188" s="63" t="s">
        <v>1767</v>
      </c>
      <c r="Q188" s="63" t="s">
        <v>2531</v>
      </c>
      <c r="R188" s="63" t="s">
        <v>2532</v>
      </c>
      <c r="S188" s="63" t="s">
        <v>1607</v>
      </c>
      <c r="T188" s="63"/>
      <c r="U188" s="63"/>
      <c r="V188" s="63"/>
      <c r="W188" s="63"/>
      <c r="X188" s="63"/>
      <c r="Y188" s="63"/>
      <c r="Z188" s="63"/>
    </row>
    <row r="189" spans="1:26" ht="15.75" customHeight="1" x14ac:dyDescent="0.25">
      <c r="A189" s="63" t="s">
        <v>924</v>
      </c>
      <c r="B189" s="63" t="s">
        <v>1359</v>
      </c>
      <c r="C189" s="63" t="s">
        <v>277</v>
      </c>
      <c r="D189" s="63" t="s">
        <v>1595</v>
      </c>
      <c r="E189" s="63" t="s">
        <v>1770</v>
      </c>
      <c r="F189" s="63" t="s">
        <v>1597</v>
      </c>
      <c r="G189" s="63" t="s">
        <v>2533</v>
      </c>
      <c r="H189" s="63" t="s">
        <v>1927</v>
      </c>
      <c r="I189" s="63" t="s">
        <v>2534</v>
      </c>
      <c r="J189" s="63" t="s">
        <v>562</v>
      </c>
      <c r="K189" s="63" t="s">
        <v>1601</v>
      </c>
      <c r="L189" s="63" t="s">
        <v>1646</v>
      </c>
      <c r="M189" s="63" t="s">
        <v>1647</v>
      </c>
      <c r="N189" s="63" t="s">
        <v>1595</v>
      </c>
      <c r="O189" s="63" t="s">
        <v>1604</v>
      </c>
      <c r="P189" s="63" t="s">
        <v>1745</v>
      </c>
      <c r="Q189" s="63" t="s">
        <v>2535</v>
      </c>
      <c r="R189" s="63" t="s">
        <v>2536</v>
      </c>
      <c r="S189" s="63" t="s">
        <v>1633</v>
      </c>
      <c r="T189" s="63"/>
      <c r="U189" s="63"/>
      <c r="V189" s="63"/>
      <c r="W189" s="63"/>
      <c r="X189" s="63"/>
      <c r="Y189" s="63"/>
      <c r="Z189" s="63"/>
    </row>
    <row r="190" spans="1:26" ht="15.75" customHeight="1" x14ac:dyDescent="0.25">
      <c r="A190" s="63" t="s">
        <v>926</v>
      </c>
      <c r="B190" s="63" t="s">
        <v>2537</v>
      </c>
      <c r="C190" s="63" t="s">
        <v>2538</v>
      </c>
      <c r="D190" s="63" t="s">
        <v>1595</v>
      </c>
      <c r="E190" s="63" t="s">
        <v>2539</v>
      </c>
      <c r="F190" s="63" t="s">
        <v>1597</v>
      </c>
      <c r="G190" s="63" t="s">
        <v>2540</v>
      </c>
      <c r="H190" s="63" t="s">
        <v>1610</v>
      </c>
      <c r="I190" s="63" t="s">
        <v>2541</v>
      </c>
      <c r="J190" s="63" t="s">
        <v>2318</v>
      </c>
      <c r="K190" s="63" t="s">
        <v>590</v>
      </c>
      <c r="L190" s="63" t="s">
        <v>2310</v>
      </c>
      <c r="M190" s="63" t="s">
        <v>1647</v>
      </c>
      <c r="N190" s="63" t="s">
        <v>1595</v>
      </c>
      <c r="O190" s="63" t="s">
        <v>1604</v>
      </c>
      <c r="P190" s="63" t="s">
        <v>1860</v>
      </c>
      <c r="Q190" s="63" t="s">
        <v>2542</v>
      </c>
      <c r="R190" s="63" t="s">
        <v>2543</v>
      </c>
      <c r="S190" s="63" t="s">
        <v>1633</v>
      </c>
      <c r="T190" s="63"/>
      <c r="U190" s="63"/>
      <c r="V190" s="63"/>
      <c r="W190" s="63"/>
      <c r="X190" s="63"/>
      <c r="Y190" s="63"/>
      <c r="Z190" s="63"/>
    </row>
    <row r="191" spans="1:26" ht="15.75" customHeight="1" x14ac:dyDescent="0.25">
      <c r="A191" s="63" t="s">
        <v>928</v>
      </c>
      <c r="B191" s="63" t="s">
        <v>2544</v>
      </c>
      <c r="C191" s="63" t="s">
        <v>2545</v>
      </c>
      <c r="D191" s="63" t="s">
        <v>1595</v>
      </c>
      <c r="E191" s="63" t="s">
        <v>1713</v>
      </c>
      <c r="F191" s="63" t="s">
        <v>1597</v>
      </c>
      <c r="G191" s="63" t="s">
        <v>2156</v>
      </c>
      <c r="H191" s="63" t="s">
        <v>1610</v>
      </c>
      <c r="I191" s="63" t="s">
        <v>2546</v>
      </c>
      <c r="J191" s="63" t="s">
        <v>2547</v>
      </c>
      <c r="K191" s="63"/>
      <c r="L191" s="63" t="s">
        <v>2166</v>
      </c>
      <c r="M191" s="63" t="s">
        <v>1603</v>
      </c>
      <c r="N191" s="63" t="s">
        <v>1595</v>
      </c>
      <c r="O191" s="63" t="s">
        <v>1604</v>
      </c>
      <c r="P191" s="63" t="s">
        <v>1623</v>
      </c>
      <c r="Q191" s="63" t="s">
        <v>2548</v>
      </c>
      <c r="R191" s="63" t="s">
        <v>2549</v>
      </c>
      <c r="S191" s="63" t="s">
        <v>1633</v>
      </c>
      <c r="T191" s="63"/>
      <c r="U191" s="63"/>
      <c r="V191" s="63"/>
      <c r="W191" s="63"/>
      <c r="X191" s="63"/>
      <c r="Y191" s="63"/>
      <c r="Z191" s="63"/>
    </row>
    <row r="192" spans="1:26" ht="15.75" customHeight="1" x14ac:dyDescent="0.25">
      <c r="A192" s="63" t="s">
        <v>930</v>
      </c>
      <c r="B192" s="63" t="s">
        <v>1345</v>
      </c>
      <c r="C192" s="63" t="s">
        <v>270</v>
      </c>
      <c r="D192" s="63" t="s">
        <v>1595</v>
      </c>
      <c r="E192" s="63" t="s">
        <v>2092</v>
      </c>
      <c r="F192" s="63" t="s">
        <v>1597</v>
      </c>
      <c r="G192" s="63" t="s">
        <v>2550</v>
      </c>
      <c r="H192" s="63" t="s">
        <v>2551</v>
      </c>
      <c r="I192" s="63" t="s">
        <v>2541</v>
      </c>
      <c r="J192" s="63" t="s">
        <v>2552</v>
      </c>
      <c r="K192" s="63"/>
      <c r="L192" s="63" t="s">
        <v>2310</v>
      </c>
      <c r="M192" s="63" t="s">
        <v>1647</v>
      </c>
      <c r="N192" s="63" t="s">
        <v>1595</v>
      </c>
      <c r="O192" s="63" t="s">
        <v>1604</v>
      </c>
      <c r="P192" s="63" t="s">
        <v>1745</v>
      </c>
      <c r="Q192" s="63" t="s">
        <v>2553</v>
      </c>
      <c r="R192" s="63" t="s">
        <v>2554</v>
      </c>
      <c r="S192" s="63" t="s">
        <v>1633</v>
      </c>
      <c r="T192" s="63"/>
      <c r="U192" s="63"/>
      <c r="V192" s="63"/>
      <c r="W192" s="63"/>
      <c r="X192" s="63"/>
      <c r="Y192" s="63"/>
      <c r="Z192" s="63"/>
    </row>
    <row r="193" spans="1:26" ht="15.75" customHeight="1" x14ac:dyDescent="0.25">
      <c r="A193" s="63" t="s">
        <v>932</v>
      </c>
      <c r="B193" s="63" t="s">
        <v>675</v>
      </c>
      <c r="C193" s="63" t="s">
        <v>505</v>
      </c>
      <c r="D193" s="63" t="s">
        <v>1885</v>
      </c>
      <c r="E193" s="63" t="s">
        <v>1948</v>
      </c>
      <c r="F193" s="63" t="s">
        <v>1597</v>
      </c>
      <c r="G193" s="63" t="s">
        <v>2555</v>
      </c>
      <c r="H193" s="63" t="s">
        <v>1619</v>
      </c>
      <c r="I193" s="63" t="s">
        <v>2064</v>
      </c>
      <c r="J193" s="63" t="s">
        <v>736</v>
      </c>
      <c r="K193" s="63" t="s">
        <v>2121</v>
      </c>
      <c r="L193" s="63" t="s">
        <v>2065</v>
      </c>
      <c r="M193" s="63" t="s">
        <v>1622</v>
      </c>
      <c r="N193" s="63" t="s">
        <v>1595</v>
      </c>
      <c r="O193" s="63" t="s">
        <v>1604</v>
      </c>
      <c r="P193" s="63" t="s">
        <v>2128</v>
      </c>
      <c r="Q193" s="63" t="s">
        <v>2556</v>
      </c>
      <c r="R193" s="63" t="s">
        <v>2557</v>
      </c>
      <c r="S193" s="63" t="s">
        <v>1607</v>
      </c>
      <c r="T193" s="63"/>
      <c r="U193" s="63"/>
      <c r="V193" s="63"/>
      <c r="W193" s="63"/>
      <c r="X193" s="63"/>
      <c r="Y193" s="63"/>
      <c r="Z193" s="63"/>
    </row>
    <row r="194" spans="1:26" ht="15.75" customHeight="1" x14ac:dyDescent="0.25">
      <c r="A194" s="63" t="s">
        <v>934</v>
      </c>
      <c r="B194" s="63" t="s">
        <v>2558</v>
      </c>
      <c r="C194" s="63" t="s">
        <v>2559</v>
      </c>
      <c r="D194" s="63" t="s">
        <v>1595</v>
      </c>
      <c r="E194" s="63" t="s">
        <v>2560</v>
      </c>
      <c r="F194" s="63" t="s">
        <v>1597</v>
      </c>
      <c r="G194" s="63" t="s">
        <v>2561</v>
      </c>
      <c r="H194" s="63" t="s">
        <v>1610</v>
      </c>
      <c r="I194" s="63" t="s">
        <v>2562</v>
      </c>
      <c r="J194" s="63" t="s">
        <v>556</v>
      </c>
      <c r="K194" s="63" t="s">
        <v>1601</v>
      </c>
      <c r="L194" s="63" t="s">
        <v>1832</v>
      </c>
      <c r="M194" s="63" t="s">
        <v>1630</v>
      </c>
      <c r="N194" s="63" t="s">
        <v>1595</v>
      </c>
      <c r="O194" s="63" t="s">
        <v>1604</v>
      </c>
      <c r="P194" s="63" t="s">
        <v>2061</v>
      </c>
      <c r="Q194" s="63" t="s">
        <v>2563</v>
      </c>
      <c r="R194" s="63" t="s">
        <v>2121</v>
      </c>
      <c r="S194" s="63" t="s">
        <v>1616</v>
      </c>
      <c r="T194" s="63"/>
      <c r="U194" s="63"/>
      <c r="V194" s="63"/>
      <c r="W194" s="63"/>
      <c r="X194" s="63"/>
      <c r="Y194" s="63"/>
      <c r="Z194" s="63"/>
    </row>
    <row r="195" spans="1:26" ht="15.75" customHeight="1" x14ac:dyDescent="0.25">
      <c r="A195" s="63" t="s">
        <v>936</v>
      </c>
      <c r="B195" s="63" t="s">
        <v>1551</v>
      </c>
      <c r="C195" s="63" t="s">
        <v>132</v>
      </c>
      <c r="D195" s="63" t="s">
        <v>1595</v>
      </c>
      <c r="E195" s="63" t="s">
        <v>2564</v>
      </c>
      <c r="F195" s="63" t="s">
        <v>1597</v>
      </c>
      <c r="G195" s="63" t="s">
        <v>2565</v>
      </c>
      <c r="H195" s="63" t="s">
        <v>1610</v>
      </c>
      <c r="I195" s="63" t="s">
        <v>2566</v>
      </c>
      <c r="J195" s="63" t="s">
        <v>2567</v>
      </c>
      <c r="K195" s="63"/>
      <c r="L195" s="63" t="s">
        <v>2568</v>
      </c>
      <c r="M195" s="63" t="s">
        <v>1952</v>
      </c>
      <c r="N195" s="63" t="s">
        <v>1595</v>
      </c>
      <c r="O195" s="63" t="s">
        <v>1604</v>
      </c>
      <c r="P195" s="63" t="s">
        <v>2569</v>
      </c>
      <c r="Q195" s="63" t="s">
        <v>2570</v>
      </c>
      <c r="R195" s="63" t="s">
        <v>2571</v>
      </c>
      <c r="S195" s="63" t="s">
        <v>1723</v>
      </c>
      <c r="T195" s="63"/>
      <c r="U195" s="63"/>
      <c r="V195" s="63"/>
      <c r="W195" s="63"/>
      <c r="X195" s="63"/>
      <c r="Y195" s="63"/>
      <c r="Z195" s="63"/>
    </row>
    <row r="196" spans="1:26" ht="15.75" customHeight="1" x14ac:dyDescent="0.25">
      <c r="A196" s="63" t="s">
        <v>938</v>
      </c>
      <c r="B196" s="63" t="s">
        <v>1555</v>
      </c>
      <c r="C196" s="63" t="s">
        <v>134</v>
      </c>
      <c r="D196" s="63" t="s">
        <v>1595</v>
      </c>
      <c r="E196" s="63" t="s">
        <v>2572</v>
      </c>
      <c r="F196" s="63" t="s">
        <v>1597</v>
      </c>
      <c r="G196" s="63" t="s">
        <v>2573</v>
      </c>
      <c r="H196" s="63" t="s">
        <v>1619</v>
      </c>
      <c r="I196" s="63" t="s">
        <v>2574</v>
      </c>
      <c r="J196" s="63" t="s">
        <v>2483</v>
      </c>
      <c r="K196" s="63" t="s">
        <v>2121</v>
      </c>
      <c r="L196" s="63" t="s">
        <v>1629</v>
      </c>
      <c r="M196" s="63" t="s">
        <v>1630</v>
      </c>
      <c r="N196" s="63" t="s">
        <v>1595</v>
      </c>
      <c r="O196" s="63" t="s">
        <v>1604</v>
      </c>
      <c r="P196" s="63" t="s">
        <v>1833</v>
      </c>
      <c r="Q196" s="63" t="s">
        <v>2575</v>
      </c>
      <c r="R196" s="63" t="s">
        <v>2575</v>
      </c>
      <c r="S196" s="63" t="s">
        <v>1723</v>
      </c>
      <c r="T196" s="63"/>
      <c r="U196" s="63"/>
      <c r="V196" s="63"/>
      <c r="W196" s="63"/>
      <c r="X196" s="63"/>
      <c r="Y196" s="63"/>
      <c r="Z196" s="63"/>
    </row>
    <row r="197" spans="1:26" ht="15.75" customHeight="1" x14ac:dyDescent="0.25">
      <c r="A197" s="63" t="s">
        <v>940</v>
      </c>
      <c r="B197" s="63" t="s">
        <v>1279</v>
      </c>
      <c r="C197" s="63" t="s">
        <v>239</v>
      </c>
      <c r="D197" s="63" t="s">
        <v>1595</v>
      </c>
      <c r="E197" s="63" t="s">
        <v>2576</v>
      </c>
      <c r="F197" s="63" t="s">
        <v>1597</v>
      </c>
      <c r="G197" s="63" t="s">
        <v>2577</v>
      </c>
      <c r="H197" s="63" t="s">
        <v>1627</v>
      </c>
      <c r="I197" s="63" t="s">
        <v>2578</v>
      </c>
      <c r="J197" s="63" t="s">
        <v>556</v>
      </c>
      <c r="K197" s="63" t="s">
        <v>1601</v>
      </c>
      <c r="L197" s="63" t="s">
        <v>1938</v>
      </c>
      <c r="M197" s="63" t="s">
        <v>1603</v>
      </c>
      <c r="N197" s="63" t="s">
        <v>1595</v>
      </c>
      <c r="O197" s="63" t="s">
        <v>1604</v>
      </c>
      <c r="P197" s="63" t="s">
        <v>2579</v>
      </c>
      <c r="Q197" s="63" t="s">
        <v>2580</v>
      </c>
      <c r="R197" s="63" t="s">
        <v>2121</v>
      </c>
      <c r="S197" s="63" t="s">
        <v>1633</v>
      </c>
      <c r="T197" s="63"/>
      <c r="U197" s="63"/>
      <c r="V197" s="63"/>
      <c r="W197" s="63"/>
      <c r="X197" s="63"/>
      <c r="Y197" s="63"/>
      <c r="Z197" s="63"/>
    </row>
    <row r="198" spans="1:26" ht="15.75" customHeight="1" x14ac:dyDescent="0.25">
      <c r="A198" s="63" t="s">
        <v>942</v>
      </c>
      <c r="B198" s="63" t="s">
        <v>1391</v>
      </c>
      <c r="C198" s="63" t="s">
        <v>293</v>
      </c>
      <c r="D198" s="63" t="s">
        <v>1595</v>
      </c>
      <c r="E198" s="63" t="s">
        <v>1891</v>
      </c>
      <c r="F198" s="63" t="s">
        <v>1597</v>
      </c>
      <c r="G198" s="63" t="s">
        <v>2581</v>
      </c>
      <c r="H198" s="63" t="s">
        <v>1610</v>
      </c>
      <c r="I198" s="63" t="s">
        <v>2582</v>
      </c>
      <c r="J198" s="63" t="s">
        <v>558</v>
      </c>
      <c r="K198" s="63" t="s">
        <v>1601</v>
      </c>
      <c r="L198" s="63" t="s">
        <v>1785</v>
      </c>
      <c r="M198" s="63" t="s">
        <v>1785</v>
      </c>
      <c r="N198" s="63" t="s">
        <v>1595</v>
      </c>
      <c r="O198" s="63" t="s">
        <v>1604</v>
      </c>
      <c r="P198" s="63" t="s">
        <v>2583</v>
      </c>
      <c r="Q198" s="63" t="s">
        <v>2584</v>
      </c>
      <c r="R198" s="63" t="s">
        <v>2121</v>
      </c>
      <c r="S198" s="63" t="s">
        <v>1633</v>
      </c>
      <c r="T198" s="63"/>
      <c r="U198" s="63"/>
      <c r="V198" s="63"/>
      <c r="W198" s="63"/>
      <c r="X198" s="63"/>
      <c r="Y198" s="63"/>
      <c r="Z198" s="63"/>
    </row>
    <row r="199" spans="1:26" ht="15.75" customHeight="1" x14ac:dyDescent="0.25">
      <c r="A199" s="63" t="s">
        <v>944</v>
      </c>
      <c r="B199" s="63" t="s">
        <v>1395</v>
      </c>
      <c r="C199" s="63" t="s">
        <v>295</v>
      </c>
      <c r="D199" s="63" t="s">
        <v>1595</v>
      </c>
      <c r="E199" s="63" t="s">
        <v>2585</v>
      </c>
      <c r="F199" s="63" t="s">
        <v>1597</v>
      </c>
      <c r="G199" s="63" t="s">
        <v>2586</v>
      </c>
      <c r="H199" s="63" t="s">
        <v>1610</v>
      </c>
      <c r="I199" s="63" t="s">
        <v>1854</v>
      </c>
      <c r="J199" s="63" t="s">
        <v>2225</v>
      </c>
      <c r="K199" s="63"/>
      <c r="L199" s="63" t="s">
        <v>1637</v>
      </c>
      <c r="M199" s="63" t="s">
        <v>1595</v>
      </c>
      <c r="N199" s="63" t="s">
        <v>1595</v>
      </c>
      <c r="O199" s="63" t="s">
        <v>1604</v>
      </c>
      <c r="P199" s="63" t="s">
        <v>1731</v>
      </c>
      <c r="Q199" s="63" t="s">
        <v>2587</v>
      </c>
      <c r="R199" s="63" t="s">
        <v>2587</v>
      </c>
      <c r="S199" s="63" t="s">
        <v>1633</v>
      </c>
      <c r="T199" s="63"/>
      <c r="U199" s="63"/>
      <c r="V199" s="63"/>
      <c r="W199" s="63"/>
      <c r="X199" s="63"/>
      <c r="Y199" s="63"/>
      <c r="Z199" s="63"/>
    </row>
    <row r="200" spans="1:26" ht="15.75" customHeight="1" x14ac:dyDescent="0.25">
      <c r="A200" s="63" t="s">
        <v>946</v>
      </c>
      <c r="B200" s="63" t="s">
        <v>1145</v>
      </c>
      <c r="C200" s="63" t="s">
        <v>173</v>
      </c>
      <c r="D200" s="63" t="s">
        <v>1885</v>
      </c>
      <c r="E200" s="63" t="s">
        <v>2237</v>
      </c>
      <c r="F200" s="63" t="s">
        <v>1597</v>
      </c>
      <c r="G200" s="63" t="s">
        <v>2588</v>
      </c>
      <c r="H200" s="63" t="s">
        <v>1610</v>
      </c>
      <c r="I200" s="63" t="s">
        <v>2589</v>
      </c>
      <c r="J200" s="63" t="s">
        <v>2483</v>
      </c>
      <c r="K200" s="63" t="s">
        <v>2121</v>
      </c>
      <c r="L200" s="63" t="s">
        <v>1621</v>
      </c>
      <c r="M200" s="63" t="s">
        <v>1622</v>
      </c>
      <c r="N200" s="63" t="s">
        <v>1595</v>
      </c>
      <c r="O200" s="63" t="s">
        <v>1604</v>
      </c>
      <c r="P200" s="63" t="s">
        <v>2417</v>
      </c>
      <c r="Q200" s="63" t="s">
        <v>2590</v>
      </c>
      <c r="R200" s="63" t="s">
        <v>2591</v>
      </c>
      <c r="S200" s="63" t="s">
        <v>1633</v>
      </c>
      <c r="T200" s="63"/>
      <c r="U200" s="63"/>
      <c r="V200" s="63"/>
      <c r="W200" s="63"/>
      <c r="X200" s="63"/>
      <c r="Y200" s="63"/>
      <c r="Z200" s="63"/>
    </row>
    <row r="201" spans="1:26" ht="15.75" customHeight="1" x14ac:dyDescent="0.25">
      <c r="A201" s="63" t="s">
        <v>948</v>
      </c>
      <c r="B201" s="63" t="s">
        <v>2592</v>
      </c>
      <c r="C201" s="63" t="s">
        <v>2593</v>
      </c>
      <c r="D201" s="63" t="s">
        <v>1595</v>
      </c>
      <c r="E201" s="63" t="s">
        <v>2594</v>
      </c>
      <c r="F201" s="63" t="s">
        <v>1597</v>
      </c>
      <c r="G201" s="63" t="s">
        <v>2595</v>
      </c>
      <c r="H201" s="63" t="s">
        <v>1610</v>
      </c>
      <c r="I201" s="63" t="s">
        <v>2596</v>
      </c>
      <c r="J201" s="63" t="s">
        <v>554</v>
      </c>
      <c r="K201" s="63" t="s">
        <v>2121</v>
      </c>
      <c r="L201" s="63" t="s">
        <v>1670</v>
      </c>
      <c r="M201" s="63" t="s">
        <v>1654</v>
      </c>
      <c r="N201" s="63" t="s">
        <v>1595</v>
      </c>
      <c r="O201" s="63" t="s">
        <v>1604</v>
      </c>
      <c r="P201" s="63" t="s">
        <v>1671</v>
      </c>
      <c r="Q201" s="63" t="s">
        <v>2597</v>
      </c>
      <c r="R201" s="63" t="s">
        <v>2597</v>
      </c>
      <c r="S201" s="63" t="s">
        <v>1633</v>
      </c>
      <c r="T201" s="63"/>
      <c r="U201" s="63"/>
      <c r="V201" s="63"/>
      <c r="W201" s="63"/>
      <c r="X201" s="63"/>
      <c r="Y201" s="63"/>
      <c r="Z201" s="63"/>
    </row>
    <row r="202" spans="1:26" ht="15.75" customHeight="1" x14ac:dyDescent="0.25">
      <c r="A202" s="63" t="s">
        <v>950</v>
      </c>
      <c r="B202" s="63" t="s">
        <v>661</v>
      </c>
      <c r="C202" s="63" t="s">
        <v>499</v>
      </c>
      <c r="D202" s="63" t="s">
        <v>1595</v>
      </c>
      <c r="E202" s="63" t="s">
        <v>2598</v>
      </c>
      <c r="F202" s="63" t="s">
        <v>1597</v>
      </c>
      <c r="G202" s="63" t="s">
        <v>2599</v>
      </c>
      <c r="H202" s="63" t="s">
        <v>1619</v>
      </c>
      <c r="I202" s="63" t="s">
        <v>2600</v>
      </c>
      <c r="J202" s="63" t="s">
        <v>562</v>
      </c>
      <c r="K202" s="63"/>
      <c r="L202" s="63" t="s">
        <v>1920</v>
      </c>
      <c r="M202" s="63" t="s">
        <v>1812</v>
      </c>
      <c r="N202" s="63" t="s">
        <v>1595</v>
      </c>
      <c r="O202" s="63" t="s">
        <v>1604</v>
      </c>
      <c r="P202" s="63" t="s">
        <v>2601</v>
      </c>
      <c r="Q202" s="63" t="s">
        <v>2602</v>
      </c>
      <c r="R202" s="63" t="s">
        <v>2603</v>
      </c>
      <c r="S202" s="63" t="s">
        <v>1607</v>
      </c>
      <c r="T202" s="63"/>
      <c r="U202" s="63"/>
      <c r="V202" s="63"/>
      <c r="W202" s="63"/>
      <c r="X202" s="63"/>
      <c r="Y202" s="63"/>
      <c r="Z202" s="63"/>
    </row>
    <row r="203" spans="1:26" ht="15.75" customHeight="1" x14ac:dyDescent="0.25">
      <c r="A203" s="63" t="s">
        <v>952</v>
      </c>
      <c r="B203" s="63" t="s">
        <v>1409</v>
      </c>
      <c r="C203" s="63" t="s">
        <v>301</v>
      </c>
      <c r="D203" s="63" t="s">
        <v>2604</v>
      </c>
      <c r="E203" s="63" t="s">
        <v>2605</v>
      </c>
      <c r="F203" s="63" t="s">
        <v>1597</v>
      </c>
      <c r="G203" s="63" t="s">
        <v>2606</v>
      </c>
      <c r="H203" s="63" t="s">
        <v>1610</v>
      </c>
      <c r="I203" s="63" t="s">
        <v>2607</v>
      </c>
      <c r="J203" s="63" t="s">
        <v>558</v>
      </c>
      <c r="K203" s="63" t="s">
        <v>1601</v>
      </c>
      <c r="L203" s="63" t="s">
        <v>1629</v>
      </c>
      <c r="M203" s="63" t="s">
        <v>1630</v>
      </c>
      <c r="N203" s="63" t="s">
        <v>1595</v>
      </c>
      <c r="O203" s="63" t="s">
        <v>1604</v>
      </c>
      <c r="P203" s="63" t="s">
        <v>1680</v>
      </c>
      <c r="Q203" s="63" t="s">
        <v>2608</v>
      </c>
      <c r="R203" s="63" t="s">
        <v>2121</v>
      </c>
      <c r="S203" s="63" t="s">
        <v>1723</v>
      </c>
      <c r="T203" s="63"/>
      <c r="U203" s="63"/>
      <c r="V203" s="63"/>
      <c r="W203" s="63"/>
      <c r="X203" s="63"/>
      <c r="Y203" s="63"/>
      <c r="Z203" s="63"/>
    </row>
    <row r="204" spans="1:26" ht="15.75" customHeight="1" x14ac:dyDescent="0.25">
      <c r="A204" s="63" t="s">
        <v>954</v>
      </c>
      <c r="B204" s="63" t="s">
        <v>1283</v>
      </c>
      <c r="C204" s="63" t="s">
        <v>241</v>
      </c>
      <c r="D204" s="63" t="s">
        <v>1595</v>
      </c>
      <c r="E204" s="63" t="s">
        <v>1764</v>
      </c>
      <c r="F204" s="63" t="s">
        <v>1597</v>
      </c>
      <c r="G204" s="63" t="s">
        <v>2609</v>
      </c>
      <c r="H204" s="63" t="s">
        <v>1610</v>
      </c>
      <c r="I204" s="63" t="s">
        <v>1986</v>
      </c>
      <c r="J204" s="63" t="s">
        <v>558</v>
      </c>
      <c r="K204" s="63" t="s">
        <v>1601</v>
      </c>
      <c r="L204" s="63" t="s">
        <v>2320</v>
      </c>
      <c r="M204" s="63" t="s">
        <v>1622</v>
      </c>
      <c r="N204" s="63" t="s">
        <v>1595</v>
      </c>
      <c r="O204" s="63" t="s">
        <v>1604</v>
      </c>
      <c r="P204" s="63" t="s">
        <v>2108</v>
      </c>
      <c r="Q204" s="63" t="s">
        <v>2610</v>
      </c>
      <c r="R204" s="63" t="s">
        <v>2121</v>
      </c>
      <c r="S204" s="63" t="s">
        <v>1633</v>
      </c>
      <c r="T204" s="63"/>
      <c r="U204" s="63"/>
      <c r="V204" s="63"/>
      <c r="W204" s="63"/>
      <c r="X204" s="63"/>
      <c r="Y204" s="63"/>
      <c r="Z204" s="63"/>
    </row>
    <row r="205" spans="1:26" ht="15.75" customHeight="1" x14ac:dyDescent="0.25">
      <c r="A205" s="63" t="s">
        <v>956</v>
      </c>
      <c r="B205" s="63" t="s">
        <v>913</v>
      </c>
      <c r="C205" s="63" t="s">
        <v>368</v>
      </c>
      <c r="D205" s="63" t="s">
        <v>1595</v>
      </c>
      <c r="E205" s="63" t="s">
        <v>2611</v>
      </c>
      <c r="F205" s="63" t="s">
        <v>1597</v>
      </c>
      <c r="G205" s="63" t="s">
        <v>2612</v>
      </c>
      <c r="H205" s="63" t="s">
        <v>1610</v>
      </c>
      <c r="I205" s="63" t="s">
        <v>2613</v>
      </c>
      <c r="J205" s="63" t="s">
        <v>570</v>
      </c>
      <c r="K205" s="63" t="s">
        <v>1601</v>
      </c>
      <c r="L205" s="63" t="s">
        <v>1646</v>
      </c>
      <c r="M205" s="63" t="s">
        <v>1647</v>
      </c>
      <c r="N205" s="63" t="s">
        <v>1595</v>
      </c>
      <c r="O205" s="63" t="s">
        <v>1604</v>
      </c>
      <c r="P205" s="63" t="s">
        <v>1745</v>
      </c>
      <c r="Q205" s="63" t="s">
        <v>2614</v>
      </c>
      <c r="R205" s="63" t="s">
        <v>2615</v>
      </c>
      <c r="S205" s="63" t="s">
        <v>1616</v>
      </c>
      <c r="T205" s="63"/>
      <c r="U205" s="63"/>
      <c r="V205" s="63"/>
      <c r="W205" s="63"/>
      <c r="X205" s="63"/>
      <c r="Y205" s="63"/>
      <c r="Z205" s="63"/>
    </row>
    <row r="206" spans="1:26" ht="15.75" customHeight="1" x14ac:dyDescent="0.25">
      <c r="A206" s="63" t="s">
        <v>958</v>
      </c>
      <c r="B206" s="63" t="s">
        <v>973</v>
      </c>
      <c r="C206" s="63" t="s">
        <v>397</v>
      </c>
      <c r="D206" s="63" t="s">
        <v>1595</v>
      </c>
      <c r="E206" s="63" t="s">
        <v>2616</v>
      </c>
      <c r="F206" s="63" t="s">
        <v>1597</v>
      </c>
      <c r="G206" s="63" t="s">
        <v>2617</v>
      </c>
      <c r="H206" s="63" t="s">
        <v>1610</v>
      </c>
      <c r="I206" s="63" t="s">
        <v>1799</v>
      </c>
      <c r="J206" s="63" t="s">
        <v>558</v>
      </c>
      <c r="K206" s="63" t="s">
        <v>1601</v>
      </c>
      <c r="L206" s="63" t="s">
        <v>1800</v>
      </c>
      <c r="M206" s="63" t="s">
        <v>1595</v>
      </c>
      <c r="N206" s="63" t="s">
        <v>1595</v>
      </c>
      <c r="O206" s="63" t="s">
        <v>1604</v>
      </c>
      <c r="P206" s="63" t="s">
        <v>1638</v>
      </c>
      <c r="Q206" s="63" t="s">
        <v>2618</v>
      </c>
      <c r="R206" s="63" t="s">
        <v>2121</v>
      </c>
      <c r="S206" s="63" t="s">
        <v>1616</v>
      </c>
      <c r="T206" s="63"/>
      <c r="U206" s="63"/>
      <c r="V206" s="63"/>
      <c r="W206" s="63"/>
      <c r="X206" s="63"/>
      <c r="Y206" s="63"/>
      <c r="Z206" s="63"/>
    </row>
    <row r="207" spans="1:26" ht="15.75" customHeight="1" x14ac:dyDescent="0.25">
      <c r="A207" s="63" t="s">
        <v>960</v>
      </c>
      <c r="B207" s="63" t="s">
        <v>1253</v>
      </c>
      <c r="C207" s="63" t="s">
        <v>226</v>
      </c>
      <c r="D207" s="63" t="s">
        <v>1595</v>
      </c>
      <c r="E207" s="63" t="s">
        <v>2034</v>
      </c>
      <c r="F207" s="63" t="s">
        <v>1597</v>
      </c>
      <c r="G207" s="63" t="s">
        <v>2619</v>
      </c>
      <c r="H207" s="63" t="s">
        <v>1619</v>
      </c>
      <c r="I207" s="63" t="s">
        <v>2596</v>
      </c>
      <c r="J207" s="63" t="s">
        <v>2225</v>
      </c>
      <c r="K207" s="63" t="s">
        <v>2225</v>
      </c>
      <c r="L207" s="63" t="s">
        <v>1670</v>
      </c>
      <c r="M207" s="63" t="s">
        <v>1654</v>
      </c>
      <c r="N207" s="63" t="s">
        <v>1595</v>
      </c>
      <c r="O207" s="63" t="s">
        <v>1604</v>
      </c>
      <c r="P207" s="63" t="s">
        <v>1680</v>
      </c>
      <c r="Q207" s="63" t="s">
        <v>2620</v>
      </c>
      <c r="R207" s="63" t="s">
        <v>2621</v>
      </c>
      <c r="S207" s="63" t="s">
        <v>1633</v>
      </c>
      <c r="T207" s="63"/>
      <c r="U207" s="63"/>
      <c r="V207" s="63"/>
      <c r="W207" s="63"/>
      <c r="X207" s="63"/>
      <c r="Y207" s="63"/>
      <c r="Z207" s="63"/>
    </row>
    <row r="208" spans="1:26" ht="15.75" customHeight="1" x14ac:dyDescent="0.25">
      <c r="A208" s="63" t="s">
        <v>962</v>
      </c>
      <c r="B208" s="63" t="s">
        <v>895</v>
      </c>
      <c r="C208" s="63" t="s">
        <v>360</v>
      </c>
      <c r="D208" s="63" t="s">
        <v>1595</v>
      </c>
      <c r="E208" s="63" t="s">
        <v>2622</v>
      </c>
      <c r="F208" s="63" t="s">
        <v>1597</v>
      </c>
      <c r="G208" s="63" t="s">
        <v>2623</v>
      </c>
      <c r="H208" s="63" t="s">
        <v>1610</v>
      </c>
      <c r="I208" s="63" t="s">
        <v>2624</v>
      </c>
      <c r="J208" s="63" t="s">
        <v>556</v>
      </c>
      <c r="K208" s="63" t="s">
        <v>1601</v>
      </c>
      <c r="L208" s="63" t="s">
        <v>2268</v>
      </c>
      <c r="M208" s="63" t="s">
        <v>1812</v>
      </c>
      <c r="N208" s="63" t="s">
        <v>1595</v>
      </c>
      <c r="O208" s="63" t="s">
        <v>1604</v>
      </c>
      <c r="P208" s="63" t="s">
        <v>2625</v>
      </c>
      <c r="Q208" s="63" t="s">
        <v>2626</v>
      </c>
      <c r="R208" s="63" t="s">
        <v>2627</v>
      </c>
      <c r="S208" s="63" t="s">
        <v>1616</v>
      </c>
      <c r="T208" s="63"/>
      <c r="U208" s="63"/>
      <c r="V208" s="63"/>
      <c r="W208" s="63"/>
      <c r="X208" s="63"/>
      <c r="Y208" s="63"/>
      <c r="Z208" s="63"/>
    </row>
    <row r="209" spans="1:26" ht="15.75" customHeight="1" x14ac:dyDescent="0.25">
      <c r="A209" s="63" t="s">
        <v>964</v>
      </c>
      <c r="B209" s="63" t="s">
        <v>917</v>
      </c>
      <c r="C209" s="63" t="s">
        <v>370</v>
      </c>
      <c r="D209" s="63" t="s">
        <v>1595</v>
      </c>
      <c r="E209" s="63" t="s">
        <v>2628</v>
      </c>
      <c r="F209" s="63" t="s">
        <v>1597</v>
      </c>
      <c r="G209" s="63" t="s">
        <v>2629</v>
      </c>
      <c r="H209" s="63" t="s">
        <v>1610</v>
      </c>
      <c r="I209" s="63" t="s">
        <v>2630</v>
      </c>
      <c r="J209" s="63" t="s">
        <v>552</v>
      </c>
      <c r="K209" s="63" t="s">
        <v>1601</v>
      </c>
      <c r="L209" s="63" t="s">
        <v>1629</v>
      </c>
      <c r="M209" s="63" t="s">
        <v>1630</v>
      </c>
      <c r="N209" s="63" t="s">
        <v>1595</v>
      </c>
      <c r="O209" s="63" t="s">
        <v>1604</v>
      </c>
      <c r="P209" s="63" t="s">
        <v>1631</v>
      </c>
      <c r="Q209" s="63" t="s">
        <v>2631</v>
      </c>
      <c r="R209" s="63" t="s">
        <v>2632</v>
      </c>
      <c r="S209" s="63" t="s">
        <v>1616</v>
      </c>
      <c r="T209" s="63"/>
      <c r="U209" s="63"/>
      <c r="V209" s="63"/>
      <c r="W209" s="63"/>
      <c r="X209" s="63"/>
      <c r="Y209" s="63"/>
      <c r="Z209" s="63"/>
    </row>
    <row r="210" spans="1:26" ht="15.75" customHeight="1" x14ac:dyDescent="0.25">
      <c r="A210" s="63" t="s">
        <v>966</v>
      </c>
      <c r="B210" s="63" t="s">
        <v>2633</v>
      </c>
      <c r="C210" s="63" t="s">
        <v>2634</v>
      </c>
      <c r="D210" s="63" t="s">
        <v>1595</v>
      </c>
      <c r="E210" s="63" t="s">
        <v>2635</v>
      </c>
      <c r="F210" s="63" t="s">
        <v>1597</v>
      </c>
      <c r="G210" s="63" t="s">
        <v>2636</v>
      </c>
      <c r="H210" s="63" t="s">
        <v>1610</v>
      </c>
      <c r="I210" s="63" t="s">
        <v>2637</v>
      </c>
      <c r="J210" s="63" t="s">
        <v>692</v>
      </c>
      <c r="K210" s="63" t="s">
        <v>1601</v>
      </c>
      <c r="L210" s="63" t="s">
        <v>2065</v>
      </c>
      <c r="M210" s="63" t="s">
        <v>1622</v>
      </c>
      <c r="N210" s="63" t="s">
        <v>1595</v>
      </c>
      <c r="O210" s="63" t="s">
        <v>1604</v>
      </c>
      <c r="P210" s="63" t="s">
        <v>2108</v>
      </c>
      <c r="Q210" s="63" t="s">
        <v>2121</v>
      </c>
      <c r="R210" s="63" t="s">
        <v>2121</v>
      </c>
      <c r="S210" s="63" t="s">
        <v>1616</v>
      </c>
      <c r="T210" s="63"/>
      <c r="U210" s="63"/>
      <c r="V210" s="63"/>
      <c r="W210" s="63"/>
      <c r="X210" s="63"/>
      <c r="Y210" s="63"/>
      <c r="Z210" s="63"/>
    </row>
    <row r="211" spans="1:26" ht="15.75" customHeight="1" x14ac:dyDescent="0.25">
      <c r="A211" s="63" t="s">
        <v>968</v>
      </c>
      <c r="B211" s="63" t="s">
        <v>905</v>
      </c>
      <c r="C211" s="63" t="s">
        <v>364</v>
      </c>
      <c r="D211" s="63" t="s">
        <v>1595</v>
      </c>
      <c r="E211" s="63" t="s">
        <v>2638</v>
      </c>
      <c r="F211" s="63" t="s">
        <v>1597</v>
      </c>
      <c r="G211" s="63" t="s">
        <v>2639</v>
      </c>
      <c r="H211" s="63" t="s">
        <v>1619</v>
      </c>
      <c r="I211" s="63" t="s">
        <v>2640</v>
      </c>
      <c r="J211" s="63" t="s">
        <v>560</v>
      </c>
      <c r="K211" s="63" t="s">
        <v>1601</v>
      </c>
      <c r="L211" s="63" t="s">
        <v>1758</v>
      </c>
      <c r="M211" s="63" t="s">
        <v>1613</v>
      </c>
      <c r="N211" s="63" t="s">
        <v>1595</v>
      </c>
      <c r="O211" s="63" t="s">
        <v>1604</v>
      </c>
      <c r="P211" s="63" t="s">
        <v>1897</v>
      </c>
      <c r="Q211" s="63" t="s">
        <v>2641</v>
      </c>
      <c r="R211" s="63" t="s">
        <v>2642</v>
      </c>
      <c r="S211" s="63" t="s">
        <v>1616</v>
      </c>
      <c r="T211" s="63"/>
      <c r="U211" s="63"/>
      <c r="V211" s="63"/>
      <c r="W211" s="63"/>
      <c r="X211" s="63"/>
      <c r="Y211" s="63"/>
      <c r="Z211" s="63"/>
    </row>
    <row r="212" spans="1:26" ht="15.75" customHeight="1" x14ac:dyDescent="0.25">
      <c r="A212" s="63" t="s">
        <v>970</v>
      </c>
      <c r="B212" s="63" t="s">
        <v>2643</v>
      </c>
      <c r="C212" s="63" t="s">
        <v>2644</v>
      </c>
      <c r="D212" s="63" t="s">
        <v>1595</v>
      </c>
      <c r="E212" s="63" t="s">
        <v>2645</v>
      </c>
      <c r="F212" s="63" t="s">
        <v>1597</v>
      </c>
      <c r="G212" s="63" t="s">
        <v>2646</v>
      </c>
      <c r="H212" s="63" t="s">
        <v>1619</v>
      </c>
      <c r="I212" s="63" t="s">
        <v>2640</v>
      </c>
      <c r="J212" s="63" t="s">
        <v>560</v>
      </c>
      <c r="K212" s="63" t="s">
        <v>1601</v>
      </c>
      <c r="L212" s="63" t="s">
        <v>1758</v>
      </c>
      <c r="M212" s="63" t="s">
        <v>1613</v>
      </c>
      <c r="N212" s="63" t="s">
        <v>1595</v>
      </c>
      <c r="O212" s="63" t="s">
        <v>1604</v>
      </c>
      <c r="P212" s="63" t="s">
        <v>1897</v>
      </c>
      <c r="Q212" s="63" t="s">
        <v>2647</v>
      </c>
      <c r="R212" s="63" t="s">
        <v>2648</v>
      </c>
      <c r="S212" s="63" t="s">
        <v>1616</v>
      </c>
      <c r="T212" s="63"/>
      <c r="U212" s="63"/>
      <c r="V212" s="63"/>
      <c r="W212" s="63"/>
      <c r="X212" s="63"/>
      <c r="Y212" s="63"/>
      <c r="Z212" s="63"/>
    </row>
    <row r="213" spans="1:26" ht="15.75" customHeight="1" x14ac:dyDescent="0.25">
      <c r="A213" s="63" t="s">
        <v>972</v>
      </c>
      <c r="B213" s="63" t="s">
        <v>1099</v>
      </c>
      <c r="C213" s="63" t="s">
        <v>151</v>
      </c>
      <c r="D213" s="63" t="s">
        <v>1595</v>
      </c>
      <c r="E213" s="63" t="s">
        <v>2598</v>
      </c>
      <c r="F213" s="63" t="s">
        <v>1597</v>
      </c>
      <c r="G213" s="63" t="s">
        <v>2649</v>
      </c>
      <c r="H213" s="63" t="s">
        <v>1742</v>
      </c>
      <c r="I213" s="63" t="s">
        <v>2650</v>
      </c>
      <c r="J213" s="63" t="s">
        <v>572</v>
      </c>
      <c r="K213" s="63"/>
      <c r="L213" s="63" t="s">
        <v>2338</v>
      </c>
      <c r="M213" s="63" t="s">
        <v>1859</v>
      </c>
      <c r="N213" s="63" t="s">
        <v>1595</v>
      </c>
      <c r="O213" s="63" t="s">
        <v>1604</v>
      </c>
      <c r="P213" s="63" t="s">
        <v>1680</v>
      </c>
      <c r="Q213" s="63" t="s">
        <v>2651</v>
      </c>
      <c r="R213" s="63" t="s">
        <v>2652</v>
      </c>
      <c r="S213" s="63" t="s">
        <v>1633</v>
      </c>
      <c r="T213" s="63"/>
      <c r="U213" s="63"/>
      <c r="V213" s="63"/>
      <c r="W213" s="63"/>
      <c r="X213" s="63"/>
      <c r="Y213" s="63"/>
      <c r="Z213" s="63"/>
    </row>
    <row r="214" spans="1:26" ht="15.75" customHeight="1" x14ac:dyDescent="0.25">
      <c r="A214" s="63" t="s">
        <v>974</v>
      </c>
      <c r="B214" s="63" t="s">
        <v>2653</v>
      </c>
      <c r="C214" s="63" t="s">
        <v>2654</v>
      </c>
      <c r="D214" s="63" t="s">
        <v>1595</v>
      </c>
      <c r="E214" s="63" t="s">
        <v>2380</v>
      </c>
      <c r="F214" s="63" t="s">
        <v>1597</v>
      </c>
      <c r="G214" s="63" t="s">
        <v>2655</v>
      </c>
      <c r="H214" s="63" t="s">
        <v>2458</v>
      </c>
      <c r="I214" s="63" t="s">
        <v>1630</v>
      </c>
      <c r="J214" s="63" t="s">
        <v>620</v>
      </c>
      <c r="K214" s="63" t="s">
        <v>1601</v>
      </c>
      <c r="L214" s="63" t="s">
        <v>1695</v>
      </c>
      <c r="M214" s="63" t="s">
        <v>1696</v>
      </c>
      <c r="N214" s="63" t="s">
        <v>1595</v>
      </c>
      <c r="O214" s="63" t="s">
        <v>1604</v>
      </c>
      <c r="P214" s="63" t="s">
        <v>1817</v>
      </c>
      <c r="Q214" s="63" t="s">
        <v>2656</v>
      </c>
      <c r="R214" s="63" t="s">
        <v>2657</v>
      </c>
      <c r="S214" s="63" t="s">
        <v>1723</v>
      </c>
      <c r="T214" s="63"/>
      <c r="U214" s="63"/>
      <c r="V214" s="63"/>
      <c r="W214" s="63"/>
      <c r="X214" s="63"/>
      <c r="Y214" s="63"/>
      <c r="Z214" s="63"/>
    </row>
    <row r="215" spans="1:26" ht="15.75" customHeight="1" x14ac:dyDescent="0.25">
      <c r="A215" s="63" t="s">
        <v>976</v>
      </c>
      <c r="B215" s="63" t="s">
        <v>2658</v>
      </c>
      <c r="C215" s="63" t="s">
        <v>2659</v>
      </c>
      <c r="D215" s="63" t="s">
        <v>2084</v>
      </c>
      <c r="E215" s="63" t="s">
        <v>2660</v>
      </c>
      <c r="F215" s="63" t="s">
        <v>1597</v>
      </c>
      <c r="G215" s="63" t="s">
        <v>2661</v>
      </c>
      <c r="H215" s="63" t="s">
        <v>1610</v>
      </c>
      <c r="I215" s="63" t="s">
        <v>2662</v>
      </c>
      <c r="J215" s="63" t="s">
        <v>598</v>
      </c>
      <c r="K215" s="63" t="s">
        <v>566</v>
      </c>
      <c r="L215" s="63" t="s">
        <v>2663</v>
      </c>
      <c r="M215" s="63" t="s">
        <v>2083</v>
      </c>
      <c r="N215" s="63" t="s">
        <v>2084</v>
      </c>
      <c r="O215" s="63" t="s">
        <v>1604</v>
      </c>
      <c r="P215" s="63" t="s">
        <v>2664</v>
      </c>
      <c r="Q215" s="63" t="s">
        <v>2665</v>
      </c>
      <c r="R215" s="63" t="s">
        <v>2665</v>
      </c>
      <c r="S215" s="63" t="s">
        <v>1616</v>
      </c>
      <c r="T215" s="63"/>
      <c r="U215" s="63"/>
      <c r="V215" s="63"/>
      <c r="W215" s="63"/>
      <c r="X215" s="63"/>
      <c r="Y215" s="63"/>
      <c r="Z215" s="63"/>
    </row>
    <row r="216" spans="1:26" ht="15.75" customHeight="1" x14ac:dyDescent="0.25">
      <c r="A216" s="63" t="s">
        <v>978</v>
      </c>
      <c r="B216" s="63" t="s">
        <v>2666</v>
      </c>
      <c r="C216" s="63" t="s">
        <v>2667</v>
      </c>
      <c r="D216" s="63" t="s">
        <v>2604</v>
      </c>
      <c r="E216" s="63" t="s">
        <v>2668</v>
      </c>
      <c r="F216" s="63" t="s">
        <v>1597</v>
      </c>
      <c r="G216" s="63" t="s">
        <v>2669</v>
      </c>
      <c r="H216" s="63" t="s">
        <v>1619</v>
      </c>
      <c r="I216" s="63" t="s">
        <v>2235</v>
      </c>
      <c r="J216" s="63" t="s">
        <v>552</v>
      </c>
      <c r="K216" s="63" t="s">
        <v>1601</v>
      </c>
      <c r="L216" s="63" t="s">
        <v>1858</v>
      </c>
      <c r="M216" s="63" t="s">
        <v>1859</v>
      </c>
      <c r="N216" s="63" t="s">
        <v>1595</v>
      </c>
      <c r="O216" s="63" t="s">
        <v>1604</v>
      </c>
      <c r="P216" s="63" t="s">
        <v>1864</v>
      </c>
      <c r="Q216" s="63" t="s">
        <v>2670</v>
      </c>
      <c r="R216" s="63" t="s">
        <v>2671</v>
      </c>
      <c r="S216" s="63" t="s">
        <v>1616</v>
      </c>
      <c r="T216" s="63"/>
      <c r="U216" s="63"/>
      <c r="V216" s="63"/>
      <c r="W216" s="63"/>
      <c r="X216" s="63"/>
      <c r="Y216" s="63"/>
      <c r="Z216" s="63"/>
    </row>
    <row r="217" spans="1:26" ht="15.75" customHeight="1" x14ac:dyDescent="0.25">
      <c r="A217" s="63" t="s">
        <v>980</v>
      </c>
      <c r="B217" s="63" t="s">
        <v>1281</v>
      </c>
      <c r="C217" s="63" t="s">
        <v>240</v>
      </c>
      <c r="D217" s="63" t="s">
        <v>2672</v>
      </c>
      <c r="E217" s="63" t="s">
        <v>1643</v>
      </c>
      <c r="F217" s="63" t="s">
        <v>1597</v>
      </c>
      <c r="G217" s="63" t="s">
        <v>2673</v>
      </c>
      <c r="H217" s="63" t="s">
        <v>1610</v>
      </c>
      <c r="I217" s="63" t="s">
        <v>2377</v>
      </c>
      <c r="J217" s="63" t="s">
        <v>560</v>
      </c>
      <c r="K217" s="63" t="s">
        <v>1601</v>
      </c>
      <c r="L217" s="63" t="s">
        <v>2320</v>
      </c>
      <c r="M217" s="63" t="s">
        <v>1622</v>
      </c>
      <c r="N217" s="63" t="s">
        <v>1595</v>
      </c>
      <c r="O217" s="63" t="s">
        <v>1604</v>
      </c>
      <c r="P217" s="63" t="s">
        <v>1790</v>
      </c>
      <c r="Q217" s="63" t="s">
        <v>2674</v>
      </c>
      <c r="R217" s="63" t="s">
        <v>2675</v>
      </c>
      <c r="S217" s="63" t="s">
        <v>1616</v>
      </c>
      <c r="T217" s="63"/>
      <c r="U217" s="63"/>
      <c r="V217" s="63"/>
      <c r="W217" s="63"/>
      <c r="X217" s="63"/>
      <c r="Y217" s="63"/>
      <c r="Z217" s="63"/>
    </row>
    <row r="218" spans="1:26" ht="15.75" customHeight="1" x14ac:dyDescent="0.25">
      <c r="A218" s="63" t="s">
        <v>982</v>
      </c>
      <c r="B218" s="63" t="s">
        <v>1289</v>
      </c>
      <c r="C218" s="63" t="s">
        <v>244</v>
      </c>
      <c r="D218" s="63" t="s">
        <v>1595</v>
      </c>
      <c r="E218" s="63" t="s">
        <v>1959</v>
      </c>
      <c r="F218" s="63" t="s">
        <v>1597</v>
      </c>
      <c r="G218" s="63" t="s">
        <v>2676</v>
      </c>
      <c r="H218" s="63" t="s">
        <v>1619</v>
      </c>
      <c r="I218" s="63" t="s">
        <v>2416</v>
      </c>
      <c r="J218" s="63" t="s">
        <v>556</v>
      </c>
      <c r="K218" s="63" t="s">
        <v>1601</v>
      </c>
      <c r="L218" s="63" t="s">
        <v>2166</v>
      </c>
      <c r="M218" s="63" t="s">
        <v>1603</v>
      </c>
      <c r="N218" s="63" t="s">
        <v>1595</v>
      </c>
      <c r="O218" s="63" t="s">
        <v>1604</v>
      </c>
      <c r="P218" s="63" t="s">
        <v>2579</v>
      </c>
      <c r="Q218" s="63" t="s">
        <v>2677</v>
      </c>
      <c r="R218" s="63" t="s">
        <v>2121</v>
      </c>
      <c r="S218" s="63" t="s">
        <v>1633</v>
      </c>
      <c r="T218" s="63"/>
      <c r="U218" s="63"/>
      <c r="V218" s="63"/>
      <c r="W218" s="63"/>
      <c r="X218" s="63"/>
      <c r="Y218" s="63"/>
      <c r="Z218" s="63"/>
    </row>
    <row r="219" spans="1:26" ht="15.75" customHeight="1" x14ac:dyDescent="0.25">
      <c r="A219" s="63" t="s">
        <v>984</v>
      </c>
      <c r="B219" s="63" t="s">
        <v>1333</v>
      </c>
      <c r="C219" s="63" t="s">
        <v>264</v>
      </c>
      <c r="D219" s="63" t="s">
        <v>1595</v>
      </c>
      <c r="E219" s="63" t="s">
        <v>2354</v>
      </c>
      <c r="F219" s="63" t="s">
        <v>1597</v>
      </c>
      <c r="G219" s="63" t="s">
        <v>2678</v>
      </c>
      <c r="H219" s="63" t="s">
        <v>1610</v>
      </c>
      <c r="I219" s="63" t="s">
        <v>2679</v>
      </c>
      <c r="J219" s="63" t="s">
        <v>554</v>
      </c>
      <c r="K219" s="63" t="s">
        <v>1601</v>
      </c>
      <c r="L219" s="63" t="s">
        <v>1938</v>
      </c>
      <c r="M219" s="63" t="s">
        <v>1603</v>
      </c>
      <c r="N219" s="63" t="s">
        <v>1595</v>
      </c>
      <c r="O219" s="63" t="s">
        <v>1604</v>
      </c>
      <c r="P219" s="63" t="s">
        <v>2158</v>
      </c>
      <c r="Q219" s="63" t="s">
        <v>2680</v>
      </c>
      <c r="R219" s="63" t="s">
        <v>2121</v>
      </c>
      <c r="S219" s="63" t="s">
        <v>1633</v>
      </c>
      <c r="T219" s="63"/>
      <c r="U219" s="63"/>
      <c r="V219" s="63"/>
      <c r="W219" s="63"/>
      <c r="X219" s="63"/>
      <c r="Y219" s="63"/>
      <c r="Z219" s="63"/>
    </row>
    <row r="220" spans="1:26" ht="15.75" customHeight="1" x14ac:dyDescent="0.25">
      <c r="A220" s="63" t="s">
        <v>986</v>
      </c>
      <c r="B220" s="63" t="s">
        <v>2681</v>
      </c>
      <c r="C220" s="63" t="s">
        <v>2682</v>
      </c>
      <c r="D220" s="63" t="s">
        <v>1595</v>
      </c>
      <c r="E220" s="63" t="s">
        <v>2683</v>
      </c>
      <c r="F220" s="63" t="s">
        <v>1597</v>
      </c>
      <c r="G220" s="63" t="s">
        <v>2684</v>
      </c>
      <c r="H220" s="63" t="s">
        <v>1610</v>
      </c>
      <c r="I220" s="63" t="s">
        <v>1629</v>
      </c>
      <c r="J220" s="63" t="s">
        <v>562</v>
      </c>
      <c r="K220" s="63" t="s">
        <v>1601</v>
      </c>
      <c r="L220" s="63" t="s">
        <v>1629</v>
      </c>
      <c r="M220" s="63" t="s">
        <v>1630</v>
      </c>
      <c r="N220" s="63" t="s">
        <v>1595</v>
      </c>
      <c r="O220" s="63" t="s">
        <v>1604</v>
      </c>
      <c r="P220" s="63" t="s">
        <v>1631</v>
      </c>
      <c r="Q220" s="63" t="s">
        <v>2685</v>
      </c>
      <c r="R220" s="63" t="s">
        <v>2686</v>
      </c>
      <c r="S220" s="63" t="s">
        <v>1633</v>
      </c>
      <c r="T220" s="63"/>
      <c r="U220" s="63"/>
      <c r="V220" s="63"/>
      <c r="W220" s="63"/>
      <c r="X220" s="63"/>
      <c r="Y220" s="63"/>
      <c r="Z220" s="63"/>
    </row>
    <row r="221" spans="1:26" ht="15.75" customHeight="1" x14ac:dyDescent="0.25">
      <c r="A221" s="63" t="s">
        <v>988</v>
      </c>
      <c r="B221" s="63" t="s">
        <v>697</v>
      </c>
      <c r="C221" s="63" t="s">
        <v>516</v>
      </c>
      <c r="D221" s="63" t="s">
        <v>1595</v>
      </c>
      <c r="E221" s="63" t="s">
        <v>2687</v>
      </c>
      <c r="F221" s="63" t="s">
        <v>1597</v>
      </c>
      <c r="G221" s="63" t="s">
        <v>2688</v>
      </c>
      <c r="H221" s="63" t="s">
        <v>1742</v>
      </c>
      <c r="I221" s="63" t="s">
        <v>2689</v>
      </c>
      <c r="J221" s="63" t="s">
        <v>556</v>
      </c>
      <c r="K221" s="63" t="s">
        <v>1601</v>
      </c>
      <c r="L221" s="63" t="s">
        <v>1660</v>
      </c>
      <c r="M221" s="63" t="s">
        <v>1654</v>
      </c>
      <c r="N221" s="63" t="s">
        <v>1595</v>
      </c>
      <c r="O221" s="63" t="s">
        <v>1604</v>
      </c>
      <c r="P221" s="63" t="s">
        <v>2690</v>
      </c>
      <c r="Q221" s="63" t="s">
        <v>2691</v>
      </c>
      <c r="R221" s="63" t="s">
        <v>2692</v>
      </c>
      <c r="S221" s="63" t="s">
        <v>1607</v>
      </c>
      <c r="T221" s="63"/>
      <c r="U221" s="63"/>
      <c r="V221" s="63"/>
      <c r="W221" s="63"/>
      <c r="X221" s="63"/>
      <c r="Y221" s="63"/>
      <c r="Z221" s="63"/>
    </row>
    <row r="222" spans="1:26" ht="15.75" customHeight="1" x14ac:dyDescent="0.25">
      <c r="A222" s="63" t="s">
        <v>990</v>
      </c>
      <c r="B222" s="63" t="s">
        <v>1127</v>
      </c>
      <c r="C222" s="63" t="s">
        <v>165</v>
      </c>
      <c r="D222" s="63" t="s">
        <v>1595</v>
      </c>
      <c r="E222" s="63" t="s">
        <v>2693</v>
      </c>
      <c r="F222" s="63" t="s">
        <v>1597</v>
      </c>
      <c r="G222" s="63" t="s">
        <v>2694</v>
      </c>
      <c r="H222" s="63" t="s">
        <v>1627</v>
      </c>
      <c r="I222" s="63" t="s">
        <v>2695</v>
      </c>
      <c r="J222" s="63" t="s">
        <v>554</v>
      </c>
      <c r="K222" s="63" t="s">
        <v>1601</v>
      </c>
      <c r="L222" s="63" t="s">
        <v>2696</v>
      </c>
      <c r="M222" s="63" t="s">
        <v>1785</v>
      </c>
      <c r="N222" s="63" t="s">
        <v>1595</v>
      </c>
      <c r="O222" s="63" t="s">
        <v>1604</v>
      </c>
      <c r="P222" s="63" t="s">
        <v>1790</v>
      </c>
      <c r="Q222" s="63" t="s">
        <v>2697</v>
      </c>
      <c r="R222" s="63" t="s">
        <v>2121</v>
      </c>
      <c r="S222" s="63" t="s">
        <v>1633</v>
      </c>
      <c r="T222" s="63"/>
      <c r="U222" s="63"/>
      <c r="V222" s="63"/>
      <c r="W222" s="63"/>
      <c r="X222" s="63"/>
      <c r="Y222" s="63"/>
      <c r="Z222" s="63"/>
    </row>
    <row r="223" spans="1:26" ht="15.75" customHeight="1" x14ac:dyDescent="0.25">
      <c r="A223" s="63" t="s">
        <v>992</v>
      </c>
      <c r="B223" s="63" t="s">
        <v>2698</v>
      </c>
      <c r="C223" s="63" t="s">
        <v>2699</v>
      </c>
      <c r="D223" s="63" t="s">
        <v>1595</v>
      </c>
      <c r="E223" s="63" t="s">
        <v>2700</v>
      </c>
      <c r="F223" s="63" t="s">
        <v>1597</v>
      </c>
      <c r="G223" s="63" t="s">
        <v>2701</v>
      </c>
      <c r="H223" s="63" t="s">
        <v>1610</v>
      </c>
      <c r="I223" s="63" t="s">
        <v>2702</v>
      </c>
      <c r="J223" s="63" t="s">
        <v>2703</v>
      </c>
      <c r="K223" s="63"/>
      <c r="L223" s="63" t="s">
        <v>1670</v>
      </c>
      <c r="M223" s="63" t="s">
        <v>1654</v>
      </c>
      <c r="N223" s="63" t="s">
        <v>1595</v>
      </c>
      <c r="O223" s="63" t="s">
        <v>1604</v>
      </c>
      <c r="P223" s="63" t="s">
        <v>1671</v>
      </c>
      <c r="Q223" s="63" t="s">
        <v>2704</v>
      </c>
      <c r="R223" s="63" t="s">
        <v>2705</v>
      </c>
      <c r="S223" s="63" t="s">
        <v>1616</v>
      </c>
      <c r="T223" s="63"/>
      <c r="U223" s="63"/>
      <c r="V223" s="63"/>
      <c r="W223" s="63"/>
      <c r="X223" s="63"/>
      <c r="Y223" s="63"/>
      <c r="Z223" s="63"/>
    </row>
    <row r="224" spans="1:26" ht="15.75" customHeight="1" x14ac:dyDescent="0.25">
      <c r="A224" s="63" t="s">
        <v>994</v>
      </c>
      <c r="B224" s="63" t="s">
        <v>1023</v>
      </c>
      <c r="C224" s="63" t="s">
        <v>422</v>
      </c>
      <c r="D224" s="63" t="s">
        <v>1595</v>
      </c>
      <c r="E224" s="63" t="s">
        <v>2706</v>
      </c>
      <c r="F224" s="63" t="s">
        <v>1597</v>
      </c>
      <c r="G224" s="63" t="s">
        <v>2707</v>
      </c>
      <c r="H224" s="63" t="s">
        <v>2223</v>
      </c>
      <c r="I224" s="63" t="s">
        <v>2708</v>
      </c>
      <c r="J224" s="63" t="s">
        <v>562</v>
      </c>
      <c r="K224" s="63" t="s">
        <v>1601</v>
      </c>
      <c r="L224" s="63" t="s">
        <v>1595</v>
      </c>
      <c r="M224" s="63" t="s">
        <v>1595</v>
      </c>
      <c r="N224" s="63" t="s">
        <v>1595</v>
      </c>
      <c r="O224" s="63" t="s">
        <v>1604</v>
      </c>
      <c r="P224" s="63" t="s">
        <v>1823</v>
      </c>
      <c r="Q224" s="63" t="s">
        <v>2709</v>
      </c>
      <c r="R224" s="63" t="s">
        <v>2710</v>
      </c>
      <c r="S224" s="63" t="s">
        <v>1616</v>
      </c>
      <c r="T224" s="63"/>
      <c r="U224" s="63"/>
      <c r="V224" s="63"/>
      <c r="W224" s="63"/>
      <c r="X224" s="63"/>
      <c r="Y224" s="63"/>
      <c r="Z224" s="63"/>
    </row>
    <row r="225" spans="1:26" ht="15.75" customHeight="1" x14ac:dyDescent="0.25">
      <c r="A225" s="63" t="s">
        <v>996</v>
      </c>
      <c r="B225" s="63" t="s">
        <v>1411</v>
      </c>
      <c r="C225" s="63" t="s">
        <v>302</v>
      </c>
      <c r="D225" s="63" t="s">
        <v>1595</v>
      </c>
      <c r="E225" s="63" t="s">
        <v>1948</v>
      </c>
      <c r="F225" s="63" t="s">
        <v>1597</v>
      </c>
      <c r="G225" s="63" t="s">
        <v>2711</v>
      </c>
      <c r="H225" s="63" t="s">
        <v>1619</v>
      </c>
      <c r="I225" s="63" t="s">
        <v>1983</v>
      </c>
      <c r="J225" s="63" t="s">
        <v>552</v>
      </c>
      <c r="K225" s="63"/>
      <c r="L225" s="63" t="s">
        <v>2712</v>
      </c>
      <c r="M225" s="63" t="s">
        <v>1687</v>
      </c>
      <c r="N225" s="63" t="s">
        <v>1595</v>
      </c>
      <c r="O225" s="63" t="s">
        <v>1604</v>
      </c>
      <c r="P225" s="63" t="s">
        <v>1726</v>
      </c>
      <c r="Q225" s="63" t="s">
        <v>2713</v>
      </c>
      <c r="R225" s="63" t="s">
        <v>2714</v>
      </c>
      <c r="S225" s="63" t="s">
        <v>1633</v>
      </c>
      <c r="T225" s="63"/>
      <c r="U225" s="63"/>
      <c r="V225" s="63"/>
      <c r="W225" s="63"/>
      <c r="X225" s="63"/>
      <c r="Y225" s="63"/>
      <c r="Z225" s="63"/>
    </row>
    <row r="226" spans="1:26" ht="15.75" customHeight="1" x14ac:dyDescent="0.25">
      <c r="A226" s="63" t="s">
        <v>998</v>
      </c>
      <c r="B226" s="63" t="s">
        <v>869</v>
      </c>
      <c r="C226" s="63" t="s">
        <v>347</v>
      </c>
      <c r="D226" s="63" t="s">
        <v>1595</v>
      </c>
      <c r="E226" s="63" t="s">
        <v>2715</v>
      </c>
      <c r="F226" s="63" t="s">
        <v>1597</v>
      </c>
      <c r="G226" s="63" t="s">
        <v>2716</v>
      </c>
      <c r="H226" s="63" t="s">
        <v>1610</v>
      </c>
      <c r="I226" s="63" t="s">
        <v>2717</v>
      </c>
      <c r="J226" s="63" t="s">
        <v>2718</v>
      </c>
      <c r="K226" s="63" t="s">
        <v>2121</v>
      </c>
      <c r="L226" s="63" t="s">
        <v>1706</v>
      </c>
      <c r="M226" s="63" t="s">
        <v>1696</v>
      </c>
      <c r="N226" s="63" t="s">
        <v>1595</v>
      </c>
      <c r="O226" s="63" t="s">
        <v>1604</v>
      </c>
      <c r="P226" s="63" t="s">
        <v>1817</v>
      </c>
      <c r="Q226" s="63" t="s">
        <v>2719</v>
      </c>
      <c r="R226" s="63" t="s">
        <v>2720</v>
      </c>
      <c r="S226" s="63" t="s">
        <v>1616</v>
      </c>
      <c r="T226" s="63"/>
      <c r="U226" s="63"/>
      <c r="V226" s="63"/>
      <c r="W226" s="63"/>
      <c r="X226" s="63"/>
      <c r="Y226" s="63"/>
      <c r="Z226" s="63"/>
    </row>
    <row r="227" spans="1:26" ht="15.75" customHeight="1" x14ac:dyDescent="0.25">
      <c r="A227" s="63" t="s">
        <v>1000</v>
      </c>
      <c r="B227" s="63" t="s">
        <v>817</v>
      </c>
      <c r="C227" s="63" t="s">
        <v>325</v>
      </c>
      <c r="D227" s="63" t="s">
        <v>1595</v>
      </c>
      <c r="E227" s="63" t="s">
        <v>2721</v>
      </c>
      <c r="F227" s="63" t="s">
        <v>1597</v>
      </c>
      <c r="G227" s="63" t="s">
        <v>2722</v>
      </c>
      <c r="H227" s="63" t="s">
        <v>1627</v>
      </c>
      <c r="I227" s="63" t="s">
        <v>2723</v>
      </c>
      <c r="J227" s="63" t="s">
        <v>558</v>
      </c>
      <c r="K227" s="63" t="s">
        <v>2121</v>
      </c>
      <c r="L227" s="63" t="s">
        <v>2712</v>
      </c>
      <c r="M227" s="63" t="s">
        <v>1687</v>
      </c>
      <c r="N227" s="63" t="s">
        <v>1595</v>
      </c>
      <c r="O227" s="63" t="s">
        <v>1604</v>
      </c>
      <c r="P227" s="63" t="s">
        <v>1726</v>
      </c>
      <c r="Q227" s="63" t="s">
        <v>2724</v>
      </c>
      <c r="R227" s="63" t="s">
        <v>2724</v>
      </c>
      <c r="S227" s="63" t="s">
        <v>1616</v>
      </c>
      <c r="T227" s="63"/>
      <c r="U227" s="63"/>
      <c r="V227" s="63"/>
      <c r="W227" s="63"/>
      <c r="X227" s="63"/>
      <c r="Y227" s="63"/>
      <c r="Z227" s="63"/>
    </row>
    <row r="228" spans="1:26" ht="15.75" customHeight="1" x14ac:dyDescent="0.25">
      <c r="A228" s="63" t="s">
        <v>1002</v>
      </c>
      <c r="B228" s="63" t="s">
        <v>805</v>
      </c>
      <c r="C228" s="63" t="s">
        <v>319</v>
      </c>
      <c r="D228" s="63" t="s">
        <v>1595</v>
      </c>
      <c r="E228" s="63" t="s">
        <v>2725</v>
      </c>
      <c r="F228" s="63" t="s">
        <v>1597</v>
      </c>
      <c r="G228" s="63" t="s">
        <v>2726</v>
      </c>
      <c r="H228" s="63" t="s">
        <v>1927</v>
      </c>
      <c r="I228" s="63" t="s">
        <v>2727</v>
      </c>
      <c r="J228" s="63" t="s">
        <v>554</v>
      </c>
      <c r="K228" s="63" t="s">
        <v>1601</v>
      </c>
      <c r="L228" s="63" t="s">
        <v>2728</v>
      </c>
      <c r="M228" s="63" t="s">
        <v>1622</v>
      </c>
      <c r="N228" s="63" t="s">
        <v>1595</v>
      </c>
      <c r="O228" s="63" t="s">
        <v>1604</v>
      </c>
      <c r="P228" s="63" t="s">
        <v>2729</v>
      </c>
      <c r="Q228" s="63" t="s">
        <v>2730</v>
      </c>
      <c r="R228" s="63" t="s">
        <v>2731</v>
      </c>
      <c r="S228" s="63" t="s">
        <v>1616</v>
      </c>
      <c r="T228" s="63"/>
      <c r="U228" s="63"/>
      <c r="V228" s="63"/>
      <c r="W228" s="63"/>
      <c r="X228" s="63"/>
      <c r="Y228" s="63"/>
      <c r="Z228" s="63"/>
    </row>
    <row r="229" spans="1:26" ht="15.75" customHeight="1" x14ac:dyDescent="0.25">
      <c r="A229" s="63" t="s">
        <v>1004</v>
      </c>
      <c r="B229" s="63" t="s">
        <v>963</v>
      </c>
      <c r="C229" s="63" t="s">
        <v>392</v>
      </c>
      <c r="D229" s="63" t="s">
        <v>2732</v>
      </c>
      <c r="E229" s="63" t="s">
        <v>2511</v>
      </c>
      <c r="F229" s="63" t="s">
        <v>1597</v>
      </c>
      <c r="G229" s="63" t="s">
        <v>2733</v>
      </c>
      <c r="H229" s="63" t="s">
        <v>1927</v>
      </c>
      <c r="I229" s="63" t="s">
        <v>2371</v>
      </c>
      <c r="J229" s="63" t="s">
        <v>560</v>
      </c>
      <c r="K229" s="63" t="s">
        <v>1601</v>
      </c>
      <c r="L229" s="63" t="s">
        <v>2320</v>
      </c>
      <c r="M229" s="63" t="s">
        <v>1622</v>
      </c>
      <c r="N229" s="63" t="s">
        <v>1595</v>
      </c>
      <c r="O229" s="63" t="s">
        <v>1604</v>
      </c>
      <c r="P229" s="63" t="s">
        <v>2734</v>
      </c>
      <c r="Q229" s="63" t="s">
        <v>2735</v>
      </c>
      <c r="R229" s="63" t="s">
        <v>2735</v>
      </c>
      <c r="S229" s="63" t="s">
        <v>1616</v>
      </c>
      <c r="T229" s="63"/>
      <c r="U229" s="63"/>
      <c r="V229" s="63"/>
      <c r="W229" s="63"/>
      <c r="X229" s="63"/>
      <c r="Y229" s="63"/>
      <c r="Z229" s="63"/>
    </row>
    <row r="230" spans="1:26" ht="15.75" customHeight="1" x14ac:dyDescent="0.25">
      <c r="A230" s="63" t="s">
        <v>1006</v>
      </c>
      <c r="B230" s="63" t="s">
        <v>1141</v>
      </c>
      <c r="C230" s="63" t="s">
        <v>171</v>
      </c>
      <c r="D230" s="63" t="s">
        <v>2014</v>
      </c>
      <c r="E230" s="63" t="s">
        <v>1944</v>
      </c>
      <c r="F230" s="63" t="s">
        <v>1597</v>
      </c>
      <c r="G230" s="63" t="s">
        <v>2736</v>
      </c>
      <c r="H230" s="63" t="s">
        <v>1610</v>
      </c>
      <c r="I230" s="63" t="s">
        <v>2737</v>
      </c>
      <c r="J230" s="63" t="s">
        <v>2204</v>
      </c>
      <c r="K230" s="63"/>
      <c r="L230" s="63" t="s">
        <v>2351</v>
      </c>
      <c r="M230" s="63" t="s">
        <v>1859</v>
      </c>
      <c r="N230" s="63" t="s">
        <v>1595</v>
      </c>
      <c r="O230" s="63" t="s">
        <v>1604</v>
      </c>
      <c r="P230" s="63" t="s">
        <v>2352</v>
      </c>
      <c r="Q230" s="63" t="s">
        <v>2738</v>
      </c>
      <c r="R230" s="63" t="s">
        <v>2738</v>
      </c>
      <c r="S230" s="63" t="s">
        <v>1633</v>
      </c>
      <c r="T230" s="63"/>
      <c r="U230" s="63"/>
      <c r="V230" s="63"/>
      <c r="W230" s="63"/>
      <c r="X230" s="63"/>
      <c r="Y230" s="63"/>
      <c r="Z230" s="63"/>
    </row>
    <row r="231" spans="1:26" ht="15.75" customHeight="1" x14ac:dyDescent="0.25">
      <c r="A231" s="63" t="s">
        <v>1008</v>
      </c>
      <c r="B231" s="63" t="s">
        <v>1119</v>
      </c>
      <c r="C231" s="63" t="s">
        <v>161</v>
      </c>
      <c r="D231" s="63" t="s">
        <v>1595</v>
      </c>
      <c r="E231" s="63" t="s">
        <v>2739</v>
      </c>
      <c r="F231" s="63" t="s">
        <v>1597</v>
      </c>
      <c r="G231" s="63" t="s">
        <v>2740</v>
      </c>
      <c r="H231" s="63" t="s">
        <v>1619</v>
      </c>
      <c r="I231" s="63" t="s">
        <v>2541</v>
      </c>
      <c r="J231" s="63" t="s">
        <v>2483</v>
      </c>
      <c r="K231" s="63"/>
      <c r="L231" s="63" t="s">
        <v>2310</v>
      </c>
      <c r="M231" s="63" t="s">
        <v>1647</v>
      </c>
      <c r="N231" s="63" t="s">
        <v>1595</v>
      </c>
      <c r="O231" s="63" t="s">
        <v>1604</v>
      </c>
      <c r="P231" s="63" t="s">
        <v>1864</v>
      </c>
      <c r="Q231" s="63" t="s">
        <v>2741</v>
      </c>
      <c r="R231" s="63" t="s">
        <v>2742</v>
      </c>
      <c r="S231" s="63" t="s">
        <v>1633</v>
      </c>
      <c r="T231" s="63"/>
      <c r="U231" s="63"/>
      <c r="V231" s="63"/>
      <c r="W231" s="63"/>
      <c r="X231" s="63"/>
      <c r="Y231" s="63"/>
      <c r="Z231" s="63"/>
    </row>
    <row r="232" spans="1:26" ht="15.75" customHeight="1" x14ac:dyDescent="0.25">
      <c r="A232" s="63" t="s">
        <v>1010</v>
      </c>
      <c r="B232" s="63" t="s">
        <v>975</v>
      </c>
      <c r="C232" s="63" t="s">
        <v>398</v>
      </c>
      <c r="D232" s="63" t="s">
        <v>2084</v>
      </c>
      <c r="E232" s="63" t="s">
        <v>2743</v>
      </c>
      <c r="F232" s="63" t="s">
        <v>1597</v>
      </c>
      <c r="G232" s="63" t="s">
        <v>2744</v>
      </c>
      <c r="H232" s="63" t="s">
        <v>1610</v>
      </c>
      <c r="I232" s="63" t="s">
        <v>2745</v>
      </c>
      <c r="J232" s="63" t="s">
        <v>590</v>
      </c>
      <c r="K232" s="63" t="s">
        <v>570</v>
      </c>
      <c r="L232" s="63" t="s">
        <v>2746</v>
      </c>
      <c r="M232" s="63" t="s">
        <v>2747</v>
      </c>
      <c r="N232" s="63" t="s">
        <v>2084</v>
      </c>
      <c r="O232" s="63" t="s">
        <v>1604</v>
      </c>
      <c r="P232" s="63" t="s">
        <v>2664</v>
      </c>
      <c r="Q232" s="63" t="s">
        <v>2748</v>
      </c>
      <c r="R232" s="63" t="s">
        <v>2749</v>
      </c>
      <c r="S232" s="63" t="s">
        <v>1616</v>
      </c>
      <c r="T232" s="63"/>
      <c r="U232" s="63"/>
      <c r="V232" s="63"/>
      <c r="W232" s="63"/>
      <c r="X232" s="63"/>
      <c r="Y232" s="63"/>
      <c r="Z232" s="63"/>
    </row>
    <row r="233" spans="1:26" ht="15.75" customHeight="1" x14ac:dyDescent="0.25">
      <c r="A233" s="63" t="s">
        <v>1012</v>
      </c>
      <c r="B233" s="63" t="s">
        <v>1361</v>
      </c>
      <c r="C233" s="63" t="s">
        <v>278</v>
      </c>
      <c r="D233" s="63" t="s">
        <v>1595</v>
      </c>
      <c r="E233" s="63" t="s">
        <v>2750</v>
      </c>
      <c r="F233" s="63" t="s">
        <v>1597</v>
      </c>
      <c r="G233" s="63" t="s">
        <v>2751</v>
      </c>
      <c r="H233" s="63" t="s">
        <v>1619</v>
      </c>
      <c r="I233" s="63" t="s">
        <v>2752</v>
      </c>
      <c r="J233" s="63" t="s">
        <v>2318</v>
      </c>
      <c r="K233" s="63"/>
      <c r="L233" s="63" t="s">
        <v>1933</v>
      </c>
      <c r="M233" s="63" t="s">
        <v>1687</v>
      </c>
      <c r="N233" s="63" t="s">
        <v>1595</v>
      </c>
      <c r="O233" s="63" t="s">
        <v>1604</v>
      </c>
      <c r="P233" s="63" t="s">
        <v>1697</v>
      </c>
      <c r="Q233" s="63" t="s">
        <v>2753</v>
      </c>
      <c r="R233" s="63" t="s">
        <v>2754</v>
      </c>
      <c r="S233" s="63" t="s">
        <v>1633</v>
      </c>
      <c r="T233" s="63"/>
      <c r="U233" s="63"/>
      <c r="V233" s="63"/>
      <c r="W233" s="63"/>
      <c r="X233" s="63"/>
      <c r="Y233" s="63"/>
      <c r="Z233" s="63"/>
    </row>
    <row r="234" spans="1:26" ht="15.75" customHeight="1" x14ac:dyDescent="0.25">
      <c r="A234" s="63" t="s">
        <v>1014</v>
      </c>
      <c r="B234" s="63" t="s">
        <v>821</v>
      </c>
      <c r="C234" s="63" t="s">
        <v>327</v>
      </c>
      <c r="D234" s="63" t="s">
        <v>1870</v>
      </c>
      <c r="E234" s="63" t="s">
        <v>2497</v>
      </c>
      <c r="F234" s="63" t="s">
        <v>1597</v>
      </c>
      <c r="G234" s="63" t="s">
        <v>2759</v>
      </c>
      <c r="H234" s="63" t="s">
        <v>1927</v>
      </c>
      <c r="I234" s="63" t="s">
        <v>2760</v>
      </c>
      <c r="J234" s="63" t="s">
        <v>2318</v>
      </c>
      <c r="K234" s="63"/>
      <c r="L234" s="63" t="s">
        <v>2712</v>
      </c>
      <c r="M234" s="63" t="s">
        <v>1687</v>
      </c>
      <c r="N234" s="63" t="s">
        <v>1595</v>
      </c>
      <c r="O234" s="63" t="s">
        <v>1604</v>
      </c>
      <c r="P234" s="63" t="s">
        <v>1751</v>
      </c>
      <c r="Q234" s="63" t="s">
        <v>2761</v>
      </c>
      <c r="R234" s="63" t="s">
        <v>2762</v>
      </c>
      <c r="S234" s="63" t="s">
        <v>1633</v>
      </c>
      <c r="T234" s="63"/>
      <c r="U234" s="63"/>
      <c r="V234" s="63"/>
      <c r="W234" s="63"/>
      <c r="X234" s="63"/>
      <c r="Y234" s="63"/>
      <c r="Z234" s="63"/>
    </row>
    <row r="235" spans="1:26" ht="15.75" customHeight="1" x14ac:dyDescent="0.25">
      <c r="A235" s="63" t="s">
        <v>1016</v>
      </c>
      <c r="B235" s="63" t="s">
        <v>2763</v>
      </c>
      <c r="C235" s="63" t="s">
        <v>2764</v>
      </c>
      <c r="D235" s="63" t="s">
        <v>1885</v>
      </c>
      <c r="E235" s="63" t="s">
        <v>2765</v>
      </c>
      <c r="F235" s="63" t="s">
        <v>1597</v>
      </c>
      <c r="G235" s="63" t="s">
        <v>2766</v>
      </c>
      <c r="H235" s="63" t="s">
        <v>1619</v>
      </c>
      <c r="I235" s="63" t="s">
        <v>2767</v>
      </c>
      <c r="J235" s="63" t="s">
        <v>1601</v>
      </c>
      <c r="K235" s="63" t="s">
        <v>1601</v>
      </c>
      <c r="L235" s="63" t="s">
        <v>2065</v>
      </c>
      <c r="M235" s="63" t="s">
        <v>1622</v>
      </c>
      <c r="N235" s="63" t="s">
        <v>1595</v>
      </c>
      <c r="O235" s="63" t="s">
        <v>1604</v>
      </c>
      <c r="P235" s="63" t="s">
        <v>2128</v>
      </c>
      <c r="Q235" s="63" t="s">
        <v>2768</v>
      </c>
      <c r="R235" s="63" t="s">
        <v>2769</v>
      </c>
      <c r="S235" s="63" t="s">
        <v>1633</v>
      </c>
      <c r="T235" s="63"/>
      <c r="U235" s="63"/>
      <c r="V235" s="63"/>
      <c r="W235" s="63"/>
      <c r="X235" s="63"/>
      <c r="Y235" s="63"/>
      <c r="Z235" s="63"/>
    </row>
    <row r="236" spans="1:26" ht="15.75" customHeight="1" x14ac:dyDescent="0.25">
      <c r="A236" s="63" t="s">
        <v>1018</v>
      </c>
      <c r="B236" s="63" t="s">
        <v>877</v>
      </c>
      <c r="C236" s="63" t="s">
        <v>351</v>
      </c>
      <c r="D236" s="63" t="s">
        <v>1595</v>
      </c>
      <c r="E236" s="63" t="s">
        <v>1955</v>
      </c>
      <c r="F236" s="63" t="s">
        <v>1597</v>
      </c>
      <c r="G236" s="63" t="s">
        <v>2770</v>
      </c>
      <c r="H236" s="63" t="s">
        <v>1619</v>
      </c>
      <c r="I236" s="63" t="s">
        <v>1636</v>
      </c>
      <c r="J236" s="63" t="s">
        <v>552</v>
      </c>
      <c r="K236" s="63" t="s">
        <v>1601</v>
      </c>
      <c r="L236" s="63" t="s">
        <v>1637</v>
      </c>
      <c r="M236" s="63" t="s">
        <v>1595</v>
      </c>
      <c r="N236" s="63" t="s">
        <v>1595</v>
      </c>
      <c r="O236" s="63" t="s">
        <v>1604</v>
      </c>
      <c r="P236" s="63" t="s">
        <v>1823</v>
      </c>
      <c r="Q236" s="63" t="s">
        <v>2771</v>
      </c>
      <c r="R236" s="63" t="s">
        <v>2772</v>
      </c>
      <c r="S236" s="63" t="s">
        <v>1616</v>
      </c>
      <c r="T236" s="63"/>
      <c r="U236" s="63"/>
      <c r="V236" s="63"/>
      <c r="W236" s="63"/>
      <c r="X236" s="63"/>
      <c r="Y236" s="63"/>
      <c r="Z236" s="63"/>
    </row>
    <row r="237" spans="1:26" ht="15.75" customHeight="1" x14ac:dyDescent="0.25">
      <c r="A237" s="63" t="s">
        <v>1020</v>
      </c>
      <c r="B237" s="63" t="s">
        <v>911</v>
      </c>
      <c r="C237" s="63" t="s">
        <v>367</v>
      </c>
      <c r="D237" s="63" t="s">
        <v>1595</v>
      </c>
      <c r="E237" s="63" t="s">
        <v>2773</v>
      </c>
      <c r="F237" s="63" t="s">
        <v>1597</v>
      </c>
      <c r="G237" s="63" t="s">
        <v>2774</v>
      </c>
      <c r="H237" s="63" t="s">
        <v>1610</v>
      </c>
      <c r="I237" s="63" t="s">
        <v>2775</v>
      </c>
      <c r="J237" s="63" t="s">
        <v>566</v>
      </c>
      <c r="K237" s="63" t="s">
        <v>1601</v>
      </c>
      <c r="L237" s="63" t="s">
        <v>2166</v>
      </c>
      <c r="M237" s="63" t="s">
        <v>1603</v>
      </c>
      <c r="N237" s="63" t="s">
        <v>1595</v>
      </c>
      <c r="O237" s="63" t="s">
        <v>1604</v>
      </c>
      <c r="P237" s="63" t="s">
        <v>1605</v>
      </c>
      <c r="Q237" s="63" t="s">
        <v>2776</v>
      </c>
      <c r="R237" s="63" t="s">
        <v>2777</v>
      </c>
      <c r="S237" s="63" t="s">
        <v>1616</v>
      </c>
      <c r="T237" s="63"/>
      <c r="U237" s="63"/>
      <c r="V237" s="63"/>
      <c r="W237" s="63"/>
      <c r="X237" s="63"/>
      <c r="Y237" s="63"/>
      <c r="Z237" s="63"/>
    </row>
    <row r="238" spans="1:26" ht="15.75" customHeight="1" x14ac:dyDescent="0.25">
      <c r="A238" s="63" t="s">
        <v>1022</v>
      </c>
      <c r="B238" s="63" t="s">
        <v>779</v>
      </c>
      <c r="C238" s="63" t="s">
        <v>306</v>
      </c>
      <c r="D238" s="63" t="s">
        <v>1595</v>
      </c>
      <c r="E238" s="63" t="s">
        <v>2778</v>
      </c>
      <c r="F238" s="63" t="s">
        <v>1597</v>
      </c>
      <c r="G238" s="63" t="s">
        <v>2779</v>
      </c>
      <c r="H238" s="63" t="s">
        <v>1610</v>
      </c>
      <c r="I238" s="63" t="s">
        <v>1613</v>
      </c>
      <c r="J238" s="63" t="s">
        <v>552</v>
      </c>
      <c r="K238" s="63" t="s">
        <v>1601</v>
      </c>
      <c r="L238" s="63" t="s">
        <v>1612</v>
      </c>
      <c r="M238" s="63" t="s">
        <v>1613</v>
      </c>
      <c r="N238" s="63" t="s">
        <v>1595</v>
      </c>
      <c r="O238" s="63" t="s">
        <v>1604</v>
      </c>
      <c r="P238" s="63" t="s">
        <v>1666</v>
      </c>
      <c r="Q238" s="63" t="s">
        <v>2780</v>
      </c>
      <c r="R238" s="63" t="s">
        <v>2121</v>
      </c>
      <c r="S238" s="63" t="s">
        <v>1616</v>
      </c>
      <c r="T238" s="63"/>
      <c r="U238" s="63"/>
      <c r="V238" s="63"/>
      <c r="W238" s="63"/>
      <c r="X238" s="63"/>
      <c r="Y238" s="63"/>
      <c r="Z238" s="63"/>
    </row>
    <row r="239" spans="1:26" ht="15.75" customHeight="1" x14ac:dyDescent="0.25">
      <c r="A239" s="63" t="s">
        <v>1024</v>
      </c>
      <c r="B239" s="63" t="s">
        <v>2781</v>
      </c>
      <c r="C239" s="63" t="s">
        <v>2782</v>
      </c>
      <c r="D239" s="63" t="s">
        <v>1595</v>
      </c>
      <c r="E239" s="63" t="s">
        <v>1959</v>
      </c>
      <c r="F239" s="63" t="s">
        <v>1597</v>
      </c>
      <c r="G239" s="63" t="s">
        <v>1618</v>
      </c>
      <c r="H239" s="63" t="s">
        <v>1610</v>
      </c>
      <c r="I239" s="63" t="s">
        <v>2783</v>
      </c>
      <c r="J239" s="63" t="s">
        <v>554</v>
      </c>
      <c r="K239" s="63" t="s">
        <v>1601</v>
      </c>
      <c r="L239" s="63" t="s">
        <v>2784</v>
      </c>
      <c r="M239" s="63" t="s">
        <v>1859</v>
      </c>
      <c r="N239" s="63" t="s">
        <v>1595</v>
      </c>
      <c r="O239" s="63" t="s">
        <v>1604</v>
      </c>
      <c r="P239" s="63" t="s">
        <v>1860</v>
      </c>
      <c r="Q239" s="63" t="s">
        <v>2785</v>
      </c>
      <c r="R239" s="63" t="s">
        <v>2786</v>
      </c>
      <c r="S239" s="63" t="s">
        <v>1633</v>
      </c>
      <c r="T239" s="63"/>
      <c r="U239" s="63"/>
      <c r="V239" s="63"/>
      <c r="W239" s="63"/>
      <c r="X239" s="63"/>
      <c r="Y239" s="63"/>
      <c r="Z239" s="63"/>
    </row>
    <row r="240" spans="1:26" ht="15.75" customHeight="1" x14ac:dyDescent="0.25">
      <c r="A240" s="63" t="s">
        <v>1026</v>
      </c>
      <c r="B240" s="63" t="s">
        <v>1535</v>
      </c>
      <c r="C240" s="63" t="s">
        <v>124</v>
      </c>
      <c r="D240" s="63" t="s">
        <v>1595</v>
      </c>
      <c r="E240" s="63" t="s">
        <v>2400</v>
      </c>
      <c r="F240" s="63" t="s">
        <v>1597</v>
      </c>
      <c r="G240" s="63" t="s">
        <v>2787</v>
      </c>
      <c r="H240" s="63" t="s">
        <v>1927</v>
      </c>
      <c r="I240" s="63" t="s">
        <v>2788</v>
      </c>
      <c r="J240" s="63" t="s">
        <v>614</v>
      </c>
      <c r="K240" s="63" t="s">
        <v>1601</v>
      </c>
      <c r="L240" s="63" t="s">
        <v>1695</v>
      </c>
      <c r="M240" s="63" t="s">
        <v>1696</v>
      </c>
      <c r="N240" s="63" t="s">
        <v>1595</v>
      </c>
      <c r="O240" s="63" t="s">
        <v>1604</v>
      </c>
      <c r="P240" s="63" t="s">
        <v>1817</v>
      </c>
      <c r="Q240" s="63" t="s">
        <v>2789</v>
      </c>
      <c r="R240" s="63" t="s">
        <v>2790</v>
      </c>
      <c r="S240" s="63" t="s">
        <v>1633</v>
      </c>
      <c r="T240" s="63"/>
      <c r="U240" s="63"/>
      <c r="V240" s="63"/>
      <c r="W240" s="63"/>
      <c r="X240" s="63"/>
      <c r="Y240" s="63"/>
      <c r="Z240" s="63"/>
    </row>
    <row r="241" spans="1:26" ht="15.75" customHeight="1" x14ac:dyDescent="0.25">
      <c r="A241" s="63" t="s">
        <v>1028</v>
      </c>
      <c r="B241" s="63" t="s">
        <v>1101</v>
      </c>
      <c r="C241" s="63" t="s">
        <v>152</v>
      </c>
      <c r="D241" s="63" t="s">
        <v>1595</v>
      </c>
      <c r="E241" s="63" t="s">
        <v>2791</v>
      </c>
      <c r="F241" s="63" t="s">
        <v>1597</v>
      </c>
      <c r="G241" s="63" t="s">
        <v>2792</v>
      </c>
      <c r="H241" s="63" t="s">
        <v>1619</v>
      </c>
      <c r="I241" s="63" t="s">
        <v>2793</v>
      </c>
      <c r="J241" s="63" t="s">
        <v>2703</v>
      </c>
      <c r="K241" s="63"/>
      <c r="L241" s="63" t="s">
        <v>2100</v>
      </c>
      <c r="M241" s="63" t="s">
        <v>1630</v>
      </c>
      <c r="N241" s="63" t="s">
        <v>1595</v>
      </c>
      <c r="O241" s="63" t="s">
        <v>1604</v>
      </c>
      <c r="P241" s="63" t="s">
        <v>1833</v>
      </c>
      <c r="Q241" s="63" t="s">
        <v>2794</v>
      </c>
      <c r="R241" s="63" t="s">
        <v>2795</v>
      </c>
      <c r="S241" s="63" t="s">
        <v>1633</v>
      </c>
      <c r="T241" s="63"/>
      <c r="U241" s="63"/>
      <c r="V241" s="63"/>
      <c r="W241" s="63"/>
      <c r="X241" s="63"/>
      <c r="Y241" s="63"/>
      <c r="Z241" s="63"/>
    </row>
    <row r="242" spans="1:26" ht="15.75" customHeight="1" x14ac:dyDescent="0.25">
      <c r="A242" s="63" t="s">
        <v>1030</v>
      </c>
      <c r="B242" s="63" t="s">
        <v>1035</v>
      </c>
      <c r="C242" s="63" t="s">
        <v>428</v>
      </c>
      <c r="D242" s="63" t="s">
        <v>1595</v>
      </c>
      <c r="E242" s="63" t="s">
        <v>2796</v>
      </c>
      <c r="F242" s="63" t="s">
        <v>1597</v>
      </c>
      <c r="G242" s="63" t="s">
        <v>2797</v>
      </c>
      <c r="H242" s="63" t="s">
        <v>1927</v>
      </c>
      <c r="I242" s="63" t="s">
        <v>2798</v>
      </c>
      <c r="J242" s="63" t="s">
        <v>562</v>
      </c>
      <c r="K242" s="63" t="s">
        <v>1601</v>
      </c>
      <c r="L242" s="63" t="s">
        <v>1706</v>
      </c>
      <c r="M242" s="63" t="s">
        <v>1696</v>
      </c>
      <c r="N242" s="63" t="s">
        <v>1595</v>
      </c>
      <c r="O242" s="63" t="s">
        <v>1604</v>
      </c>
      <c r="P242" s="63" t="s">
        <v>1817</v>
      </c>
      <c r="Q242" s="63" t="s">
        <v>2799</v>
      </c>
      <c r="R242" s="63" t="s">
        <v>2121</v>
      </c>
      <c r="S242" s="63" t="s">
        <v>1616</v>
      </c>
      <c r="T242" s="63"/>
      <c r="U242" s="63"/>
      <c r="V242" s="63"/>
      <c r="W242" s="63"/>
      <c r="X242" s="63"/>
      <c r="Y242" s="63"/>
      <c r="Z242" s="63"/>
    </row>
    <row r="243" spans="1:26" ht="15.75" customHeight="1" x14ac:dyDescent="0.25">
      <c r="A243" s="63" t="s">
        <v>1032</v>
      </c>
      <c r="B243" s="63" t="s">
        <v>965</v>
      </c>
      <c r="C243" s="63" t="s">
        <v>393</v>
      </c>
      <c r="D243" s="63" t="s">
        <v>1595</v>
      </c>
      <c r="E243" s="63" t="s">
        <v>1948</v>
      </c>
      <c r="F243" s="63" t="s">
        <v>1597</v>
      </c>
      <c r="G243" s="63" t="s">
        <v>2800</v>
      </c>
      <c r="H243" s="63" t="s">
        <v>1610</v>
      </c>
      <c r="I243" s="63" t="s">
        <v>2801</v>
      </c>
      <c r="J243" s="63" t="s">
        <v>554</v>
      </c>
      <c r="K243" s="63" t="s">
        <v>1601</v>
      </c>
      <c r="L243" s="63" t="s">
        <v>1822</v>
      </c>
      <c r="M243" s="63" t="s">
        <v>1613</v>
      </c>
      <c r="N243" s="63" t="s">
        <v>1595</v>
      </c>
      <c r="O243" s="63" t="s">
        <v>1604</v>
      </c>
      <c r="P243" s="63" t="s">
        <v>1897</v>
      </c>
      <c r="Q243" s="63" t="s">
        <v>2802</v>
      </c>
      <c r="R243" s="63" t="s">
        <v>2803</v>
      </c>
      <c r="S243" s="63" t="s">
        <v>1616</v>
      </c>
      <c r="T243" s="63"/>
      <c r="U243" s="63"/>
      <c r="V243" s="63"/>
      <c r="W243" s="63"/>
      <c r="X243" s="63"/>
      <c r="Y243" s="63"/>
      <c r="Z243" s="63"/>
    </row>
    <row r="244" spans="1:26" ht="15.75" customHeight="1" x14ac:dyDescent="0.25">
      <c r="A244" s="63" t="s">
        <v>1034</v>
      </c>
      <c r="B244" s="63" t="s">
        <v>1397</v>
      </c>
      <c r="C244" s="63" t="s">
        <v>296</v>
      </c>
      <c r="D244" s="63" t="s">
        <v>1595</v>
      </c>
      <c r="E244" s="63" t="s">
        <v>2804</v>
      </c>
      <c r="F244" s="63" t="s">
        <v>1597</v>
      </c>
      <c r="G244" s="63" t="s">
        <v>2805</v>
      </c>
      <c r="H244" s="63" t="s">
        <v>1610</v>
      </c>
      <c r="I244" s="63" t="s">
        <v>2806</v>
      </c>
      <c r="J244" s="63" t="s">
        <v>624</v>
      </c>
      <c r="K244" s="63" t="s">
        <v>584</v>
      </c>
      <c r="L244" s="63" t="s">
        <v>2082</v>
      </c>
      <c r="M244" s="63" t="s">
        <v>2083</v>
      </c>
      <c r="N244" s="63" t="s">
        <v>2084</v>
      </c>
      <c r="O244" s="63" t="s">
        <v>1604</v>
      </c>
      <c r="P244" s="63" t="s">
        <v>2664</v>
      </c>
      <c r="Q244" s="63" t="s">
        <v>2807</v>
      </c>
      <c r="R244" s="63" t="s">
        <v>2121</v>
      </c>
      <c r="S244" s="63" t="s">
        <v>1633</v>
      </c>
      <c r="T244" s="63"/>
      <c r="U244" s="63"/>
      <c r="V244" s="63"/>
      <c r="W244" s="63"/>
      <c r="X244" s="63"/>
      <c r="Y244" s="63"/>
      <c r="Z244" s="63"/>
    </row>
    <row r="245" spans="1:26" ht="15.75" customHeight="1" x14ac:dyDescent="0.25">
      <c r="A245" s="63" t="s">
        <v>1036</v>
      </c>
      <c r="B245" s="63" t="s">
        <v>943</v>
      </c>
      <c r="C245" s="63" t="s">
        <v>382</v>
      </c>
      <c r="D245" s="63" t="s">
        <v>1595</v>
      </c>
      <c r="E245" s="63" t="s">
        <v>2110</v>
      </c>
      <c r="F245" s="63" t="s">
        <v>1597</v>
      </c>
      <c r="G245" s="63" t="s">
        <v>2808</v>
      </c>
      <c r="H245" s="63" t="s">
        <v>1619</v>
      </c>
      <c r="I245" s="63" t="s">
        <v>2809</v>
      </c>
      <c r="J245" s="63" t="s">
        <v>552</v>
      </c>
      <c r="K245" s="63" t="s">
        <v>1601</v>
      </c>
      <c r="L245" s="63" t="s">
        <v>2282</v>
      </c>
      <c r="M245" s="63" t="s">
        <v>2283</v>
      </c>
      <c r="N245" s="63" t="s">
        <v>1595</v>
      </c>
      <c r="O245" s="63" t="s">
        <v>1604</v>
      </c>
      <c r="P245" s="63" t="s">
        <v>1790</v>
      </c>
      <c r="Q245" s="63" t="s">
        <v>2810</v>
      </c>
      <c r="R245" s="63" t="s">
        <v>2811</v>
      </c>
      <c r="S245" s="63" t="s">
        <v>1616</v>
      </c>
      <c r="T245" s="63"/>
      <c r="U245" s="63"/>
      <c r="V245" s="63"/>
      <c r="W245" s="63"/>
      <c r="X245" s="63"/>
      <c r="Y245" s="63"/>
      <c r="Z245" s="63"/>
    </row>
    <row r="246" spans="1:26" ht="15.75" customHeight="1" x14ac:dyDescent="0.25">
      <c r="A246" s="63" t="s">
        <v>1038</v>
      </c>
      <c r="B246" s="63" t="s">
        <v>1287</v>
      </c>
      <c r="C246" s="63" t="s">
        <v>243</v>
      </c>
      <c r="D246" s="63" t="s">
        <v>1595</v>
      </c>
      <c r="E246" s="63" t="s">
        <v>2812</v>
      </c>
      <c r="F246" s="63" t="s">
        <v>1597</v>
      </c>
      <c r="G246" s="63" t="s">
        <v>2813</v>
      </c>
      <c r="H246" s="63" t="s">
        <v>1610</v>
      </c>
      <c r="I246" s="63" t="s">
        <v>2194</v>
      </c>
      <c r="J246" s="63" t="s">
        <v>552</v>
      </c>
      <c r="K246" s="63" t="s">
        <v>1601</v>
      </c>
      <c r="L246" s="63" t="s">
        <v>1637</v>
      </c>
      <c r="M246" s="63" t="s">
        <v>1595</v>
      </c>
      <c r="N246" s="63" t="s">
        <v>1595</v>
      </c>
      <c r="O246" s="63" t="s">
        <v>1604</v>
      </c>
      <c r="P246" s="63" t="s">
        <v>1790</v>
      </c>
      <c r="Q246" s="63" t="s">
        <v>2814</v>
      </c>
      <c r="R246" s="63" t="s">
        <v>2814</v>
      </c>
      <c r="S246" s="63" t="s">
        <v>1633</v>
      </c>
      <c r="T246" s="63"/>
      <c r="U246" s="63"/>
      <c r="V246" s="63"/>
      <c r="W246" s="63"/>
      <c r="X246" s="63"/>
      <c r="Y246" s="63"/>
      <c r="Z246" s="63"/>
    </row>
    <row r="247" spans="1:26" ht="15.75" customHeight="1" x14ac:dyDescent="0.25">
      <c r="A247" s="63" t="s">
        <v>1040</v>
      </c>
      <c r="B247" s="63" t="s">
        <v>1189</v>
      </c>
      <c r="C247" s="63" t="s">
        <v>5042</v>
      </c>
      <c r="D247" s="63" t="s">
        <v>1595</v>
      </c>
      <c r="E247" s="63" t="s">
        <v>2815</v>
      </c>
      <c r="F247" s="63" t="s">
        <v>1597</v>
      </c>
      <c r="G247" s="63" t="s">
        <v>2816</v>
      </c>
      <c r="H247" s="63" t="s">
        <v>2817</v>
      </c>
      <c r="I247" s="63" t="s">
        <v>2818</v>
      </c>
      <c r="J247" s="63" t="s">
        <v>562</v>
      </c>
      <c r="K247" s="63"/>
      <c r="L247" s="63" t="s">
        <v>1653</v>
      </c>
      <c r="M247" s="63" t="s">
        <v>1654</v>
      </c>
      <c r="N247" s="63" t="s">
        <v>1595</v>
      </c>
      <c r="O247" s="63" t="s">
        <v>1604</v>
      </c>
      <c r="P247" s="63" t="s">
        <v>2819</v>
      </c>
      <c r="Q247" s="63" t="s">
        <v>2820</v>
      </c>
      <c r="R247" s="63" t="s">
        <v>2821</v>
      </c>
      <c r="S247" s="63" t="s">
        <v>1633</v>
      </c>
      <c r="T247" s="63"/>
      <c r="U247" s="63"/>
      <c r="V247" s="63"/>
      <c r="W247" s="63"/>
      <c r="X247" s="63"/>
      <c r="Y247" s="63"/>
      <c r="Z247" s="63"/>
    </row>
    <row r="248" spans="1:26" ht="15.75" customHeight="1" x14ac:dyDescent="0.25">
      <c r="A248" s="63" t="s">
        <v>1042</v>
      </c>
      <c r="B248" s="63" t="s">
        <v>739</v>
      </c>
      <c r="C248" s="63" t="s">
        <v>34</v>
      </c>
      <c r="D248" s="63" t="s">
        <v>1595</v>
      </c>
      <c r="E248" s="63" t="s">
        <v>2822</v>
      </c>
      <c r="F248" s="63" t="s">
        <v>1597</v>
      </c>
      <c r="G248" s="63" t="s">
        <v>2823</v>
      </c>
      <c r="H248" s="63" t="s">
        <v>1610</v>
      </c>
      <c r="I248" s="63" t="s">
        <v>2824</v>
      </c>
      <c r="J248" s="63" t="s">
        <v>2718</v>
      </c>
      <c r="K248" s="63" t="s">
        <v>616</v>
      </c>
      <c r="L248" s="63" t="s">
        <v>2728</v>
      </c>
      <c r="M248" s="63" t="s">
        <v>1622</v>
      </c>
      <c r="N248" s="63" t="s">
        <v>1595</v>
      </c>
      <c r="O248" s="63" t="s">
        <v>1604</v>
      </c>
      <c r="P248" s="63" t="s">
        <v>5061</v>
      </c>
      <c r="Q248" s="63" t="s">
        <v>2825</v>
      </c>
      <c r="R248" s="63" t="s">
        <v>2826</v>
      </c>
      <c r="S248" s="63" t="s">
        <v>538</v>
      </c>
      <c r="T248" s="63"/>
      <c r="U248" s="63"/>
      <c r="V248" s="63"/>
      <c r="W248" s="63"/>
      <c r="X248" s="63"/>
      <c r="Y248" s="63"/>
      <c r="Z248" s="63"/>
    </row>
    <row r="249" spans="1:26" ht="15.75" customHeight="1" x14ac:dyDescent="0.25">
      <c r="A249" s="63" t="s">
        <v>1044</v>
      </c>
      <c r="B249" s="63" t="s">
        <v>2827</v>
      </c>
      <c r="C249" s="63" t="s">
        <v>2828</v>
      </c>
      <c r="D249" s="63" t="s">
        <v>1595</v>
      </c>
      <c r="E249" s="63" t="s">
        <v>2829</v>
      </c>
      <c r="F249" s="63" t="s">
        <v>1597</v>
      </c>
      <c r="G249" s="63" t="s">
        <v>2830</v>
      </c>
      <c r="H249" s="63" t="s">
        <v>1610</v>
      </c>
      <c r="I249" s="63" t="s">
        <v>2831</v>
      </c>
      <c r="J249" s="63" t="s">
        <v>562</v>
      </c>
      <c r="K249" s="63" t="s">
        <v>1601</v>
      </c>
      <c r="L249" s="63" t="s">
        <v>1612</v>
      </c>
      <c r="M249" s="63" t="s">
        <v>1613</v>
      </c>
      <c r="N249" s="63" t="s">
        <v>1595</v>
      </c>
      <c r="O249" s="63" t="s">
        <v>1604</v>
      </c>
      <c r="P249" s="63" t="s">
        <v>1915</v>
      </c>
      <c r="Q249" s="63" t="s">
        <v>2832</v>
      </c>
      <c r="R249" s="63" t="s">
        <v>2833</v>
      </c>
      <c r="S249" s="63" t="s">
        <v>1723</v>
      </c>
      <c r="T249" s="63"/>
      <c r="U249" s="63"/>
      <c r="V249" s="63"/>
      <c r="W249" s="63"/>
      <c r="X249" s="63"/>
      <c r="Y249" s="63"/>
      <c r="Z249" s="63"/>
    </row>
    <row r="250" spans="1:26" ht="15.75" customHeight="1" x14ac:dyDescent="0.25">
      <c r="A250" s="63" t="s">
        <v>1046</v>
      </c>
      <c r="B250" s="63" t="s">
        <v>1263</v>
      </c>
      <c r="C250" s="63" t="s">
        <v>231</v>
      </c>
      <c r="D250" s="63" t="s">
        <v>1595</v>
      </c>
      <c r="E250" s="63" t="s">
        <v>2834</v>
      </c>
      <c r="F250" s="63" t="s">
        <v>1597</v>
      </c>
      <c r="G250" s="63" t="s">
        <v>2835</v>
      </c>
      <c r="H250" s="63" t="s">
        <v>1888</v>
      </c>
      <c r="I250" s="63" t="s">
        <v>2836</v>
      </c>
      <c r="J250" s="63" t="s">
        <v>558</v>
      </c>
      <c r="K250" s="63" t="s">
        <v>1601</v>
      </c>
      <c r="L250" s="63" t="s">
        <v>1800</v>
      </c>
      <c r="M250" s="63" t="s">
        <v>1595</v>
      </c>
      <c r="N250" s="63" t="s">
        <v>1595</v>
      </c>
      <c r="O250" s="63" t="s">
        <v>1604</v>
      </c>
      <c r="P250" s="63" t="s">
        <v>2837</v>
      </c>
      <c r="Q250" s="63" t="s">
        <v>2838</v>
      </c>
      <c r="R250" s="63" t="s">
        <v>2839</v>
      </c>
      <c r="S250" s="63" t="s">
        <v>1633</v>
      </c>
      <c r="T250" s="63"/>
      <c r="U250" s="63"/>
      <c r="V250" s="63"/>
      <c r="W250" s="63"/>
      <c r="X250" s="63"/>
      <c r="Y250" s="63"/>
      <c r="Z250" s="63"/>
    </row>
    <row r="251" spans="1:26" ht="15.75" customHeight="1" x14ac:dyDescent="0.25">
      <c r="A251" s="63" t="s">
        <v>1048</v>
      </c>
      <c r="B251" s="63" t="s">
        <v>1265</v>
      </c>
      <c r="C251" s="63" t="s">
        <v>232</v>
      </c>
      <c r="D251" s="63" t="s">
        <v>1595</v>
      </c>
      <c r="E251" s="63" t="s">
        <v>2840</v>
      </c>
      <c r="F251" s="63" t="s">
        <v>1597</v>
      </c>
      <c r="G251" s="63" t="s">
        <v>2841</v>
      </c>
      <c r="H251" s="63" t="s">
        <v>1619</v>
      </c>
      <c r="I251" s="63" t="s">
        <v>2842</v>
      </c>
      <c r="J251" s="63" t="s">
        <v>2428</v>
      </c>
      <c r="K251" s="63" t="s">
        <v>2843</v>
      </c>
      <c r="L251" s="63" t="s">
        <v>1670</v>
      </c>
      <c r="M251" s="63" t="s">
        <v>1654</v>
      </c>
      <c r="N251" s="63" t="s">
        <v>1595</v>
      </c>
      <c r="O251" s="63" t="s">
        <v>1604</v>
      </c>
      <c r="P251" s="63" t="s">
        <v>1671</v>
      </c>
      <c r="Q251" s="63" t="s">
        <v>2844</v>
      </c>
      <c r="R251" s="63" t="s">
        <v>2845</v>
      </c>
      <c r="S251" s="63" t="s">
        <v>1633</v>
      </c>
      <c r="T251" s="63"/>
      <c r="U251" s="63"/>
      <c r="V251" s="63"/>
      <c r="W251" s="63"/>
      <c r="X251" s="63"/>
      <c r="Y251" s="63"/>
      <c r="Z251" s="63"/>
    </row>
    <row r="252" spans="1:26" ht="15.75" customHeight="1" x14ac:dyDescent="0.25">
      <c r="A252" s="63" t="s">
        <v>1050</v>
      </c>
      <c r="B252" s="63" t="s">
        <v>1453</v>
      </c>
      <c r="C252" s="63" t="s">
        <v>84</v>
      </c>
      <c r="D252" s="63" t="s">
        <v>1595</v>
      </c>
      <c r="E252" s="63" t="s">
        <v>2846</v>
      </c>
      <c r="F252" s="63" t="s">
        <v>1597</v>
      </c>
      <c r="G252" s="63" t="s">
        <v>2847</v>
      </c>
      <c r="H252" s="63" t="s">
        <v>1619</v>
      </c>
      <c r="I252" s="63" t="s">
        <v>2388</v>
      </c>
      <c r="J252" s="63" t="s">
        <v>556</v>
      </c>
      <c r="K252" s="63" t="s">
        <v>1601</v>
      </c>
      <c r="L252" s="63" t="s">
        <v>1910</v>
      </c>
      <c r="M252" s="63" t="s">
        <v>1595</v>
      </c>
      <c r="N252" s="63" t="s">
        <v>1595</v>
      </c>
      <c r="O252" s="63" t="s">
        <v>1604</v>
      </c>
      <c r="P252" s="63" t="s">
        <v>1638</v>
      </c>
      <c r="Q252" s="63" t="s">
        <v>2848</v>
      </c>
      <c r="R252" s="63" t="s">
        <v>2121</v>
      </c>
      <c r="S252" s="63" t="s">
        <v>1723</v>
      </c>
      <c r="T252" s="63"/>
      <c r="U252" s="63"/>
      <c r="V252" s="63"/>
      <c r="W252" s="63"/>
      <c r="X252" s="63"/>
      <c r="Y252" s="63"/>
      <c r="Z252" s="63"/>
    </row>
    <row r="253" spans="1:26" ht="15.75" customHeight="1" x14ac:dyDescent="0.25">
      <c r="A253" s="63" t="s">
        <v>1052</v>
      </c>
      <c r="B253" s="63" t="s">
        <v>1241</v>
      </c>
      <c r="C253" s="63" t="s">
        <v>220</v>
      </c>
      <c r="D253" s="63" t="s">
        <v>1595</v>
      </c>
      <c r="E253" s="63" t="s">
        <v>1838</v>
      </c>
      <c r="F253" s="63" t="s">
        <v>1597</v>
      </c>
      <c r="G253" s="63" t="s">
        <v>2849</v>
      </c>
      <c r="H253" s="63" t="s">
        <v>2850</v>
      </c>
      <c r="I253" s="63" t="s">
        <v>2851</v>
      </c>
      <c r="J253" s="63" t="s">
        <v>560</v>
      </c>
      <c r="K253" s="63" t="s">
        <v>2121</v>
      </c>
      <c r="L253" s="63" t="s">
        <v>2320</v>
      </c>
      <c r="M253" s="63" t="s">
        <v>1622</v>
      </c>
      <c r="N253" s="63" t="s">
        <v>1595</v>
      </c>
      <c r="O253" s="63" t="s">
        <v>1604</v>
      </c>
      <c r="P253" s="63" t="s">
        <v>2734</v>
      </c>
      <c r="Q253" s="63" t="s">
        <v>2852</v>
      </c>
      <c r="R253" s="63" t="s">
        <v>2853</v>
      </c>
      <c r="S253" s="63" t="s">
        <v>1633</v>
      </c>
      <c r="T253" s="63"/>
      <c r="U253" s="63"/>
      <c r="V253" s="63"/>
      <c r="W253" s="63"/>
      <c r="X253" s="63"/>
      <c r="Y253" s="63"/>
      <c r="Z253" s="63"/>
    </row>
    <row r="254" spans="1:26" ht="15.75" customHeight="1" x14ac:dyDescent="0.25">
      <c r="A254" s="63" t="s">
        <v>1054</v>
      </c>
      <c r="B254" s="63" t="s">
        <v>1179</v>
      </c>
      <c r="C254" s="63" t="s">
        <v>190</v>
      </c>
      <c r="D254" s="63" t="s">
        <v>1595</v>
      </c>
      <c r="E254" s="63" t="s">
        <v>2854</v>
      </c>
      <c r="F254" s="63" t="s">
        <v>1597</v>
      </c>
      <c r="G254" s="63" t="s">
        <v>2855</v>
      </c>
      <c r="H254" s="63" t="s">
        <v>1627</v>
      </c>
      <c r="I254" s="63" t="s">
        <v>2856</v>
      </c>
      <c r="J254" s="63" t="s">
        <v>570</v>
      </c>
      <c r="K254" s="63"/>
      <c r="L254" s="63" t="s">
        <v>1766</v>
      </c>
      <c r="M254" s="63" t="s">
        <v>1595</v>
      </c>
      <c r="N254" s="63" t="s">
        <v>1595</v>
      </c>
      <c r="O254" s="63" t="s">
        <v>1604</v>
      </c>
      <c r="P254" s="63" t="s">
        <v>1638</v>
      </c>
      <c r="Q254" s="63" t="s">
        <v>2857</v>
      </c>
      <c r="R254" s="63" t="s">
        <v>2858</v>
      </c>
      <c r="S254" s="63" t="s">
        <v>1633</v>
      </c>
      <c r="T254" s="63"/>
      <c r="U254" s="63"/>
      <c r="V254" s="63"/>
      <c r="W254" s="63"/>
      <c r="X254" s="63"/>
      <c r="Y254" s="63"/>
      <c r="Z254" s="63"/>
    </row>
    <row r="255" spans="1:26" ht="15.75" customHeight="1" x14ac:dyDescent="0.25">
      <c r="A255" s="63" t="s">
        <v>1056</v>
      </c>
      <c r="B255" s="63" t="s">
        <v>909</v>
      </c>
      <c r="C255" s="63" t="s">
        <v>366</v>
      </c>
      <c r="D255" s="63" t="s">
        <v>2859</v>
      </c>
      <c r="E255" s="63" t="s">
        <v>2860</v>
      </c>
      <c r="F255" s="63" t="s">
        <v>1597</v>
      </c>
      <c r="G255" s="63" t="s">
        <v>2861</v>
      </c>
      <c r="H255" s="63" t="s">
        <v>1619</v>
      </c>
      <c r="I255" s="63" t="s">
        <v>2862</v>
      </c>
      <c r="J255" s="63" t="s">
        <v>552</v>
      </c>
      <c r="K255" s="63" t="s">
        <v>1601</v>
      </c>
      <c r="L255" s="63" t="s">
        <v>1660</v>
      </c>
      <c r="M255" s="63" t="s">
        <v>1654</v>
      </c>
      <c r="N255" s="63" t="s">
        <v>1595</v>
      </c>
      <c r="O255" s="63" t="s">
        <v>1604</v>
      </c>
      <c r="P255" s="63" t="s">
        <v>1671</v>
      </c>
      <c r="Q255" s="63" t="s">
        <v>2863</v>
      </c>
      <c r="R255" s="63" t="s">
        <v>2121</v>
      </c>
      <c r="S255" s="63" t="s">
        <v>1616</v>
      </c>
      <c r="T255" s="63"/>
      <c r="U255" s="63"/>
      <c r="V255" s="63"/>
      <c r="W255" s="63"/>
      <c r="X255" s="63"/>
      <c r="Y255" s="63"/>
      <c r="Z255" s="63"/>
    </row>
    <row r="256" spans="1:26" ht="15.75" customHeight="1" x14ac:dyDescent="0.25">
      <c r="A256" s="63" t="s">
        <v>1058</v>
      </c>
      <c r="B256" s="63" t="s">
        <v>1129</v>
      </c>
      <c r="C256" s="63" t="s">
        <v>166</v>
      </c>
      <c r="D256" s="63" t="s">
        <v>1595</v>
      </c>
      <c r="E256" s="63" t="s">
        <v>2864</v>
      </c>
      <c r="F256" s="63" t="s">
        <v>1597</v>
      </c>
      <c r="G256" s="63" t="s">
        <v>2865</v>
      </c>
      <c r="H256" s="63" t="s">
        <v>1619</v>
      </c>
      <c r="I256" s="63" t="s">
        <v>2257</v>
      </c>
      <c r="J256" s="63" t="s">
        <v>552</v>
      </c>
      <c r="K256" s="63" t="s">
        <v>1601</v>
      </c>
      <c r="L256" s="63" t="s">
        <v>1822</v>
      </c>
      <c r="M256" s="63" t="s">
        <v>1613</v>
      </c>
      <c r="N256" s="63" t="s">
        <v>1595</v>
      </c>
      <c r="O256" s="63" t="s">
        <v>1604</v>
      </c>
      <c r="P256" s="63" t="s">
        <v>2866</v>
      </c>
      <c r="Q256" s="63" t="s">
        <v>2867</v>
      </c>
      <c r="R256" s="63" t="s">
        <v>2121</v>
      </c>
      <c r="S256" s="63" t="s">
        <v>1633</v>
      </c>
      <c r="T256" s="63"/>
      <c r="U256" s="63"/>
      <c r="V256" s="63"/>
      <c r="W256" s="63"/>
      <c r="X256" s="63"/>
      <c r="Y256" s="63"/>
      <c r="Z256" s="63"/>
    </row>
    <row r="257" spans="1:26" ht="15.75" customHeight="1" x14ac:dyDescent="0.25">
      <c r="A257" s="63" t="s">
        <v>1060</v>
      </c>
      <c r="B257" s="63" t="s">
        <v>2868</v>
      </c>
      <c r="C257" s="63" t="s">
        <v>2869</v>
      </c>
      <c r="D257" s="63" t="s">
        <v>1595</v>
      </c>
      <c r="E257" s="63" t="s">
        <v>2683</v>
      </c>
      <c r="F257" s="63" t="s">
        <v>1597</v>
      </c>
      <c r="G257" s="63" t="s">
        <v>2870</v>
      </c>
      <c r="H257" s="63" t="s">
        <v>1619</v>
      </c>
      <c r="I257" s="63" t="s">
        <v>2871</v>
      </c>
      <c r="J257" s="63" t="s">
        <v>570</v>
      </c>
      <c r="K257" s="63" t="s">
        <v>1601</v>
      </c>
      <c r="L257" s="63" t="s">
        <v>2872</v>
      </c>
      <c r="M257" s="63" t="s">
        <v>1952</v>
      </c>
      <c r="N257" s="63" t="s">
        <v>1595</v>
      </c>
      <c r="O257" s="63" t="s">
        <v>1604</v>
      </c>
      <c r="P257" s="63" t="s">
        <v>2873</v>
      </c>
      <c r="Q257" s="63" t="s">
        <v>2874</v>
      </c>
      <c r="R257" s="63" t="s">
        <v>2874</v>
      </c>
      <c r="S257" s="63" t="s">
        <v>1723</v>
      </c>
      <c r="T257" s="63"/>
      <c r="U257" s="63"/>
      <c r="V257" s="63"/>
      <c r="W257" s="63"/>
      <c r="X257" s="63"/>
      <c r="Y257" s="63"/>
      <c r="Z257" s="63"/>
    </row>
    <row r="258" spans="1:26" ht="15.75" customHeight="1" x14ac:dyDescent="0.25">
      <c r="A258" s="63" t="s">
        <v>1062</v>
      </c>
      <c r="B258" s="63" t="s">
        <v>971</v>
      </c>
      <c r="C258" s="63" t="s">
        <v>396</v>
      </c>
      <c r="D258" s="63" t="s">
        <v>1595</v>
      </c>
      <c r="E258" s="63" t="s">
        <v>2293</v>
      </c>
      <c r="F258" s="63" t="s">
        <v>1597</v>
      </c>
      <c r="G258" s="63" t="s">
        <v>2875</v>
      </c>
      <c r="H258" s="63" t="s">
        <v>1610</v>
      </c>
      <c r="I258" s="63" t="s">
        <v>2876</v>
      </c>
      <c r="J258" s="63" t="s">
        <v>554</v>
      </c>
      <c r="K258" s="63" t="s">
        <v>1601</v>
      </c>
      <c r="L258" s="63" t="s">
        <v>1637</v>
      </c>
      <c r="M258" s="63" t="s">
        <v>1595</v>
      </c>
      <c r="N258" s="63" t="s">
        <v>1595</v>
      </c>
      <c r="O258" s="63" t="s">
        <v>1604</v>
      </c>
      <c r="P258" s="63" t="s">
        <v>1767</v>
      </c>
      <c r="Q258" s="63" t="s">
        <v>2877</v>
      </c>
      <c r="R258" s="63" t="s">
        <v>2878</v>
      </c>
      <c r="S258" s="63" t="s">
        <v>1616</v>
      </c>
      <c r="T258" s="63"/>
      <c r="U258" s="63"/>
      <c r="V258" s="63"/>
      <c r="W258" s="63"/>
      <c r="X258" s="63"/>
      <c r="Y258" s="63"/>
      <c r="Z258" s="63"/>
    </row>
    <row r="259" spans="1:26" ht="15.75" customHeight="1" x14ac:dyDescent="0.25">
      <c r="A259" s="63" t="s">
        <v>1064</v>
      </c>
      <c r="B259" s="63" t="s">
        <v>2879</v>
      </c>
      <c r="C259" s="63" t="s">
        <v>2880</v>
      </c>
      <c r="D259" s="63" t="s">
        <v>2881</v>
      </c>
      <c r="E259" s="63" t="s">
        <v>2163</v>
      </c>
      <c r="F259" s="63" t="s">
        <v>1597</v>
      </c>
      <c r="G259" s="63" t="s">
        <v>2882</v>
      </c>
      <c r="H259" s="63" t="s">
        <v>1619</v>
      </c>
      <c r="I259" s="63" t="s">
        <v>2371</v>
      </c>
      <c r="J259" s="63" t="s">
        <v>2483</v>
      </c>
      <c r="K259" s="63"/>
      <c r="L259" s="63" t="s">
        <v>2320</v>
      </c>
      <c r="M259" s="63" t="s">
        <v>1622</v>
      </c>
      <c r="N259" s="63" t="s">
        <v>1595</v>
      </c>
      <c r="O259" s="63" t="s">
        <v>1604</v>
      </c>
      <c r="P259" s="63" t="s">
        <v>2883</v>
      </c>
      <c r="Q259" s="63" t="s">
        <v>2884</v>
      </c>
      <c r="R259" s="63" t="s">
        <v>2885</v>
      </c>
      <c r="S259" s="63" t="s">
        <v>1633</v>
      </c>
      <c r="T259" s="63"/>
      <c r="U259" s="63"/>
      <c r="V259" s="63"/>
      <c r="W259" s="63"/>
      <c r="X259" s="63"/>
      <c r="Y259" s="63"/>
      <c r="Z259" s="63"/>
    </row>
    <row r="260" spans="1:26" ht="15.75" customHeight="1" x14ac:dyDescent="0.25">
      <c r="A260" s="63" t="s">
        <v>1066</v>
      </c>
      <c r="B260" s="63" t="s">
        <v>1321</v>
      </c>
      <c r="C260" s="63" t="s">
        <v>259</v>
      </c>
      <c r="D260" s="63" t="s">
        <v>1595</v>
      </c>
      <c r="E260" s="63" t="s">
        <v>2886</v>
      </c>
      <c r="F260" s="63" t="s">
        <v>1597</v>
      </c>
      <c r="G260" s="63" t="s">
        <v>2887</v>
      </c>
      <c r="H260" s="63" t="s">
        <v>1610</v>
      </c>
      <c r="I260" s="63" t="s">
        <v>2546</v>
      </c>
      <c r="J260" s="63" t="s">
        <v>2225</v>
      </c>
      <c r="K260" s="63" t="s">
        <v>2225</v>
      </c>
      <c r="L260" s="63" t="s">
        <v>1637</v>
      </c>
      <c r="M260" s="63" t="s">
        <v>1595</v>
      </c>
      <c r="N260" s="63" t="s">
        <v>1595</v>
      </c>
      <c r="O260" s="63" t="s">
        <v>1604</v>
      </c>
      <c r="P260" s="63" t="s">
        <v>1790</v>
      </c>
      <c r="Q260" s="63" t="s">
        <v>2888</v>
      </c>
      <c r="R260" s="63" t="s">
        <v>2889</v>
      </c>
      <c r="S260" s="63" t="s">
        <v>1616</v>
      </c>
      <c r="T260" s="63"/>
      <c r="U260" s="63"/>
      <c r="V260" s="63"/>
      <c r="W260" s="63"/>
      <c r="X260" s="63"/>
      <c r="Y260" s="63"/>
      <c r="Z260" s="63"/>
    </row>
    <row r="261" spans="1:26" ht="15.75" customHeight="1" x14ac:dyDescent="0.25">
      <c r="A261" s="63" t="s">
        <v>1068</v>
      </c>
      <c r="B261" s="63" t="s">
        <v>1205</v>
      </c>
      <c r="C261" s="63" t="s">
        <v>203</v>
      </c>
      <c r="D261" s="63" t="s">
        <v>1595</v>
      </c>
      <c r="E261" s="63" t="s">
        <v>2743</v>
      </c>
      <c r="F261" s="63" t="s">
        <v>1597</v>
      </c>
      <c r="G261" s="63" t="s">
        <v>2890</v>
      </c>
      <c r="H261" s="63" t="s">
        <v>1610</v>
      </c>
      <c r="I261" s="63" t="s">
        <v>2891</v>
      </c>
      <c r="J261" s="63" t="s">
        <v>2718</v>
      </c>
      <c r="K261" s="63"/>
      <c r="L261" s="63" t="s">
        <v>2282</v>
      </c>
      <c r="M261" s="63" t="s">
        <v>2283</v>
      </c>
      <c r="N261" s="63" t="s">
        <v>1595</v>
      </c>
      <c r="O261" s="63" t="s">
        <v>1604</v>
      </c>
      <c r="P261" s="63" t="s">
        <v>2892</v>
      </c>
      <c r="Q261" s="63" t="s">
        <v>2893</v>
      </c>
      <c r="R261" s="63" t="s">
        <v>2893</v>
      </c>
      <c r="S261" s="63" t="s">
        <v>1616</v>
      </c>
      <c r="T261" s="63"/>
      <c r="U261" s="63"/>
      <c r="V261" s="63"/>
      <c r="W261" s="63"/>
      <c r="X261" s="63"/>
      <c r="Y261" s="63"/>
      <c r="Z261" s="63"/>
    </row>
    <row r="262" spans="1:26" ht="15.75" customHeight="1" x14ac:dyDescent="0.25">
      <c r="A262" s="63" t="s">
        <v>1070</v>
      </c>
      <c r="B262" s="63" t="s">
        <v>2894</v>
      </c>
      <c r="C262" s="63" t="s">
        <v>2895</v>
      </c>
      <c r="D262" s="63" t="s">
        <v>1595</v>
      </c>
      <c r="E262" s="63" t="s">
        <v>1792</v>
      </c>
      <c r="F262" s="63" t="s">
        <v>1597</v>
      </c>
      <c r="G262" s="63" t="s">
        <v>2896</v>
      </c>
      <c r="H262" s="63" t="s">
        <v>1619</v>
      </c>
      <c r="I262" s="63" t="s">
        <v>2897</v>
      </c>
      <c r="J262" s="63" t="s">
        <v>734</v>
      </c>
      <c r="K262" s="63" t="s">
        <v>1601</v>
      </c>
      <c r="L262" s="63" t="s">
        <v>1695</v>
      </c>
      <c r="M262" s="63" t="s">
        <v>1696</v>
      </c>
      <c r="N262" s="63" t="s">
        <v>1595</v>
      </c>
      <c r="O262" s="63" t="s">
        <v>1604</v>
      </c>
      <c r="P262" s="63" t="s">
        <v>1701</v>
      </c>
      <c r="Q262" s="63" t="s">
        <v>2898</v>
      </c>
      <c r="R262" s="63" t="s">
        <v>2899</v>
      </c>
      <c r="S262" s="63" t="s">
        <v>1633</v>
      </c>
      <c r="T262" s="63"/>
      <c r="U262" s="63"/>
      <c r="V262" s="63"/>
      <c r="W262" s="63"/>
      <c r="X262" s="63"/>
      <c r="Y262" s="63"/>
      <c r="Z262" s="63"/>
    </row>
    <row r="263" spans="1:26" ht="15.75" customHeight="1" x14ac:dyDescent="0.25">
      <c r="A263" s="63" t="s">
        <v>1072</v>
      </c>
      <c r="B263" s="63" t="s">
        <v>1207</v>
      </c>
      <c r="C263" s="63" t="s">
        <v>204</v>
      </c>
      <c r="D263" s="63" t="s">
        <v>1595</v>
      </c>
      <c r="E263" s="63" t="s">
        <v>2900</v>
      </c>
      <c r="F263" s="63" t="s">
        <v>1597</v>
      </c>
      <c r="G263" s="63" t="s">
        <v>2901</v>
      </c>
      <c r="H263" s="63" t="s">
        <v>1610</v>
      </c>
      <c r="I263" s="63" t="s">
        <v>2902</v>
      </c>
      <c r="J263" s="63" t="s">
        <v>554</v>
      </c>
      <c r="K263" s="63" t="s">
        <v>1601</v>
      </c>
      <c r="L263" s="63" t="s">
        <v>1646</v>
      </c>
      <c r="M263" s="63" t="s">
        <v>1647</v>
      </c>
      <c r="N263" s="63" t="s">
        <v>1595</v>
      </c>
      <c r="O263" s="63" t="s">
        <v>1604</v>
      </c>
      <c r="P263" s="63" t="s">
        <v>1745</v>
      </c>
      <c r="Q263" s="63" t="s">
        <v>2903</v>
      </c>
      <c r="R263" s="63" t="s">
        <v>2121</v>
      </c>
      <c r="S263" s="63" t="s">
        <v>1633</v>
      </c>
      <c r="T263" s="63"/>
      <c r="U263" s="63"/>
      <c r="V263" s="63"/>
      <c r="W263" s="63"/>
      <c r="X263" s="63"/>
      <c r="Y263" s="63"/>
      <c r="Z263" s="63"/>
    </row>
    <row r="264" spans="1:26" ht="15.75" customHeight="1" x14ac:dyDescent="0.25">
      <c r="A264" s="63" t="s">
        <v>1074</v>
      </c>
      <c r="B264" s="63" t="s">
        <v>1131</v>
      </c>
      <c r="C264" s="63" t="s">
        <v>201</v>
      </c>
      <c r="D264" s="63" t="s">
        <v>1595</v>
      </c>
      <c r="E264" s="63" t="s">
        <v>2904</v>
      </c>
      <c r="F264" s="63" t="s">
        <v>1597</v>
      </c>
      <c r="G264" s="63" t="s">
        <v>2905</v>
      </c>
      <c r="H264" s="63" t="s">
        <v>1619</v>
      </c>
      <c r="I264" s="63" t="s">
        <v>2809</v>
      </c>
      <c r="J264" s="63" t="s">
        <v>558</v>
      </c>
      <c r="K264" s="63" t="s">
        <v>1601</v>
      </c>
      <c r="L264" s="63" t="s">
        <v>2282</v>
      </c>
      <c r="M264" s="63" t="s">
        <v>2283</v>
      </c>
      <c r="N264" s="63" t="s">
        <v>1595</v>
      </c>
      <c r="O264" s="63" t="s">
        <v>1604</v>
      </c>
      <c r="P264" s="63" t="s">
        <v>2477</v>
      </c>
      <c r="Q264" s="63" t="s">
        <v>2906</v>
      </c>
      <c r="R264" s="63" t="s">
        <v>2121</v>
      </c>
      <c r="S264" s="63" t="s">
        <v>1633</v>
      </c>
      <c r="T264" s="63"/>
      <c r="U264" s="63"/>
      <c r="V264" s="63"/>
      <c r="W264" s="63"/>
      <c r="X264" s="63"/>
      <c r="Y264" s="63"/>
      <c r="Z264" s="63"/>
    </row>
    <row r="265" spans="1:26" ht="15.75" customHeight="1" x14ac:dyDescent="0.25">
      <c r="A265" s="63" t="s">
        <v>1076</v>
      </c>
      <c r="B265" s="63" t="s">
        <v>2907</v>
      </c>
      <c r="C265" s="63" t="s">
        <v>2908</v>
      </c>
      <c r="D265" s="63" t="s">
        <v>1595</v>
      </c>
      <c r="E265" s="63" t="s">
        <v>2909</v>
      </c>
      <c r="F265" s="63" t="s">
        <v>1597</v>
      </c>
      <c r="G265" s="63" t="s">
        <v>2910</v>
      </c>
      <c r="H265" s="63" t="s">
        <v>1610</v>
      </c>
      <c r="I265" s="63" t="s">
        <v>2449</v>
      </c>
      <c r="J265" s="63" t="s">
        <v>556</v>
      </c>
      <c r="K265" s="63" t="s">
        <v>1601</v>
      </c>
      <c r="L265" s="63" t="s">
        <v>1637</v>
      </c>
      <c r="M265" s="63" t="s">
        <v>1595</v>
      </c>
      <c r="N265" s="63" t="s">
        <v>1595</v>
      </c>
      <c r="O265" s="63" t="s">
        <v>1604</v>
      </c>
      <c r="P265" s="63" t="s">
        <v>1731</v>
      </c>
      <c r="Q265" s="63" t="s">
        <v>2911</v>
      </c>
      <c r="R265" s="63" t="s">
        <v>2121</v>
      </c>
      <c r="S265" s="63" t="s">
        <v>1616</v>
      </c>
      <c r="T265" s="63"/>
      <c r="U265" s="63"/>
      <c r="V265" s="63"/>
      <c r="W265" s="63"/>
      <c r="X265" s="63"/>
      <c r="Y265" s="63"/>
      <c r="Z265" s="63"/>
    </row>
    <row r="266" spans="1:26" ht="15.75" customHeight="1" x14ac:dyDescent="0.25">
      <c r="A266" s="63" t="s">
        <v>1078</v>
      </c>
      <c r="B266" s="63" t="s">
        <v>793</v>
      </c>
      <c r="C266" s="63" t="s">
        <v>313</v>
      </c>
      <c r="D266" s="63" t="s">
        <v>1595</v>
      </c>
      <c r="E266" s="63" t="s">
        <v>1650</v>
      </c>
      <c r="F266" s="63" t="s">
        <v>1597</v>
      </c>
      <c r="G266" s="63" t="s">
        <v>2912</v>
      </c>
      <c r="H266" s="63" t="s">
        <v>1619</v>
      </c>
      <c r="I266" s="63" t="s">
        <v>2913</v>
      </c>
      <c r="J266" s="63" t="s">
        <v>2914</v>
      </c>
      <c r="K266" s="63" t="s">
        <v>2121</v>
      </c>
      <c r="L266" s="63" t="s">
        <v>1670</v>
      </c>
      <c r="M266" s="63" t="s">
        <v>1654</v>
      </c>
      <c r="N266" s="63" t="s">
        <v>1595</v>
      </c>
      <c r="O266" s="63" t="s">
        <v>1604</v>
      </c>
      <c r="P266" s="63" t="s">
        <v>1671</v>
      </c>
      <c r="Q266" s="63" t="s">
        <v>2915</v>
      </c>
      <c r="R266" s="63" t="s">
        <v>2916</v>
      </c>
      <c r="S266" s="63" t="s">
        <v>1616</v>
      </c>
      <c r="T266" s="63"/>
      <c r="U266" s="63"/>
      <c r="V266" s="63"/>
      <c r="W266" s="63"/>
      <c r="X266" s="63"/>
      <c r="Y266" s="63"/>
      <c r="Z266" s="63"/>
    </row>
    <row r="267" spans="1:26" ht="15.75" customHeight="1" x14ac:dyDescent="0.25">
      <c r="A267" s="63" t="s">
        <v>1080</v>
      </c>
      <c r="B267" s="63" t="s">
        <v>711</v>
      </c>
      <c r="C267" s="63" t="s">
        <v>20</v>
      </c>
      <c r="D267" s="63" t="s">
        <v>1595</v>
      </c>
      <c r="E267" s="63" t="s">
        <v>2917</v>
      </c>
      <c r="F267" s="63" t="s">
        <v>1597</v>
      </c>
      <c r="G267" s="63" t="s">
        <v>2918</v>
      </c>
      <c r="H267" s="63" t="s">
        <v>1610</v>
      </c>
      <c r="I267" s="63" t="s">
        <v>1628</v>
      </c>
      <c r="J267" s="63" t="s">
        <v>2318</v>
      </c>
      <c r="K267" s="63" t="s">
        <v>2121</v>
      </c>
      <c r="L267" s="63" t="s">
        <v>1629</v>
      </c>
      <c r="M267" s="63" t="s">
        <v>1630</v>
      </c>
      <c r="N267" s="63" t="s">
        <v>1595</v>
      </c>
      <c r="O267" s="63" t="s">
        <v>1604</v>
      </c>
      <c r="P267" s="63" t="s">
        <v>1631</v>
      </c>
      <c r="Q267" s="63" t="s">
        <v>2919</v>
      </c>
      <c r="R267" s="63" t="s">
        <v>2920</v>
      </c>
      <c r="S267" s="63" t="s">
        <v>538</v>
      </c>
      <c r="T267" s="63"/>
      <c r="U267" s="63"/>
      <c r="V267" s="63"/>
      <c r="W267" s="63"/>
      <c r="X267" s="63"/>
      <c r="Y267" s="63"/>
      <c r="Z267" s="63"/>
    </row>
    <row r="268" spans="1:26" ht="15.75" customHeight="1" x14ac:dyDescent="0.25">
      <c r="A268" s="63" t="s">
        <v>1082</v>
      </c>
      <c r="B268" s="63" t="s">
        <v>1005</v>
      </c>
      <c r="C268" s="63" t="s">
        <v>413</v>
      </c>
      <c r="D268" s="63" t="s">
        <v>1595</v>
      </c>
      <c r="E268" s="63" t="s">
        <v>2854</v>
      </c>
      <c r="F268" s="63" t="s">
        <v>1597</v>
      </c>
      <c r="G268" s="63" t="s">
        <v>2921</v>
      </c>
      <c r="H268" s="63" t="s">
        <v>1610</v>
      </c>
      <c r="I268" s="63" t="s">
        <v>1932</v>
      </c>
      <c r="J268" s="63" t="s">
        <v>556</v>
      </c>
      <c r="K268" s="63" t="s">
        <v>1601</v>
      </c>
      <c r="L268" s="63" t="s">
        <v>1758</v>
      </c>
      <c r="M268" s="63" t="s">
        <v>1613</v>
      </c>
      <c r="N268" s="63" t="s">
        <v>1595</v>
      </c>
      <c r="O268" s="63" t="s">
        <v>1604</v>
      </c>
      <c r="P268" s="63" t="s">
        <v>1897</v>
      </c>
      <c r="Q268" s="63" t="s">
        <v>2922</v>
      </c>
      <c r="R268" s="63" t="s">
        <v>2923</v>
      </c>
      <c r="S268" s="63" t="s">
        <v>1616</v>
      </c>
      <c r="T268" s="63"/>
      <c r="U268" s="63"/>
      <c r="V268" s="63"/>
      <c r="W268" s="63"/>
      <c r="X268" s="63"/>
      <c r="Y268" s="63"/>
      <c r="Z268" s="63"/>
    </row>
    <row r="269" spans="1:26" ht="15.75" customHeight="1" x14ac:dyDescent="0.25">
      <c r="A269" s="63" t="s">
        <v>1084</v>
      </c>
      <c r="B269" s="63" t="s">
        <v>1369</v>
      </c>
      <c r="C269" s="63" t="s">
        <v>282</v>
      </c>
      <c r="D269" s="63" t="s">
        <v>1595</v>
      </c>
      <c r="E269" s="63" t="s">
        <v>2924</v>
      </c>
      <c r="F269" s="63" t="s">
        <v>1597</v>
      </c>
      <c r="G269" s="63" t="s">
        <v>2925</v>
      </c>
      <c r="H269" s="63" t="s">
        <v>1742</v>
      </c>
      <c r="I269" s="63" t="s">
        <v>2926</v>
      </c>
      <c r="J269" s="63" t="s">
        <v>2225</v>
      </c>
      <c r="K269" s="63" t="s">
        <v>1601</v>
      </c>
      <c r="L269" s="63" t="s">
        <v>1750</v>
      </c>
      <c r="M269" s="63" t="s">
        <v>1687</v>
      </c>
      <c r="N269" s="63" t="s">
        <v>1595</v>
      </c>
      <c r="O269" s="63" t="s">
        <v>1604</v>
      </c>
      <c r="P269" s="63" t="s">
        <v>1751</v>
      </c>
      <c r="Q269" s="63" t="s">
        <v>2927</v>
      </c>
      <c r="R269" s="63" t="s">
        <v>2928</v>
      </c>
      <c r="S269" s="63" t="s">
        <v>1633</v>
      </c>
      <c r="T269" s="63"/>
      <c r="U269" s="63"/>
      <c r="V269" s="63"/>
      <c r="W269" s="63"/>
      <c r="X269" s="63"/>
      <c r="Y269" s="63"/>
      <c r="Z269" s="63"/>
    </row>
    <row r="270" spans="1:26" ht="15.75" customHeight="1" x14ac:dyDescent="0.25">
      <c r="A270" s="63" t="s">
        <v>1086</v>
      </c>
      <c r="B270" s="63" t="s">
        <v>771</v>
      </c>
      <c r="C270" s="63" t="s">
        <v>49</v>
      </c>
      <c r="D270" s="63" t="s">
        <v>1595</v>
      </c>
      <c r="E270" s="63" t="s">
        <v>2420</v>
      </c>
      <c r="F270" s="63" t="s">
        <v>1597</v>
      </c>
      <c r="G270" s="63" t="s">
        <v>2929</v>
      </c>
      <c r="H270" s="63" t="s">
        <v>1619</v>
      </c>
      <c r="I270" s="63" t="s">
        <v>2930</v>
      </c>
      <c r="J270" s="63" t="s">
        <v>2318</v>
      </c>
      <c r="K270" s="63"/>
      <c r="L270" s="63" t="s">
        <v>1637</v>
      </c>
      <c r="M270" s="63" t="s">
        <v>1595</v>
      </c>
      <c r="N270" s="63" t="s">
        <v>1595</v>
      </c>
      <c r="O270" s="63" t="s">
        <v>1604</v>
      </c>
      <c r="P270" s="63" t="s">
        <v>1790</v>
      </c>
      <c r="Q270" s="63" t="s">
        <v>2931</v>
      </c>
      <c r="R270" s="63" t="s">
        <v>2932</v>
      </c>
      <c r="S270" s="63" t="s">
        <v>538</v>
      </c>
      <c r="T270" s="63"/>
      <c r="U270" s="63"/>
      <c r="V270" s="63"/>
      <c r="W270" s="63"/>
      <c r="X270" s="63"/>
      <c r="Y270" s="63"/>
      <c r="Z270" s="63"/>
    </row>
    <row r="271" spans="1:26" ht="15.75" customHeight="1" x14ac:dyDescent="0.25">
      <c r="A271" s="63" t="s">
        <v>1088</v>
      </c>
      <c r="B271" s="63" t="s">
        <v>915</v>
      </c>
      <c r="C271" s="63" t="s">
        <v>369</v>
      </c>
      <c r="D271" s="63" t="s">
        <v>1595</v>
      </c>
      <c r="E271" s="63" t="s">
        <v>2933</v>
      </c>
      <c r="F271" s="63" t="s">
        <v>1597</v>
      </c>
      <c r="G271" s="63" t="s">
        <v>2934</v>
      </c>
      <c r="H271" s="63" t="s">
        <v>1610</v>
      </c>
      <c r="I271" s="63" t="s">
        <v>1613</v>
      </c>
      <c r="J271" s="63" t="s">
        <v>2318</v>
      </c>
      <c r="K271" s="63"/>
      <c r="L271" s="63" t="s">
        <v>1612</v>
      </c>
      <c r="M271" s="63" t="s">
        <v>1613</v>
      </c>
      <c r="N271" s="63" t="s">
        <v>1595</v>
      </c>
      <c r="O271" s="63" t="s">
        <v>1604</v>
      </c>
      <c r="P271" s="63" t="s">
        <v>1915</v>
      </c>
      <c r="Q271" s="63" t="s">
        <v>2935</v>
      </c>
      <c r="R271" s="63" t="s">
        <v>2935</v>
      </c>
      <c r="S271" s="63" t="s">
        <v>1616</v>
      </c>
      <c r="T271" s="63"/>
      <c r="U271" s="63"/>
      <c r="V271" s="63"/>
      <c r="W271" s="63"/>
      <c r="X271" s="63"/>
      <c r="Y271" s="63"/>
      <c r="Z271" s="63"/>
    </row>
    <row r="272" spans="1:26" ht="15.75" customHeight="1" x14ac:dyDescent="0.25">
      <c r="A272" s="63" t="s">
        <v>1090</v>
      </c>
      <c r="B272" s="63" t="s">
        <v>1437</v>
      </c>
      <c r="C272" s="63" t="s">
        <v>76</v>
      </c>
      <c r="D272" s="63" t="s">
        <v>1595</v>
      </c>
      <c r="E272" s="63" t="s">
        <v>2936</v>
      </c>
      <c r="F272" s="63" t="s">
        <v>1597</v>
      </c>
      <c r="G272" s="63" t="s">
        <v>2937</v>
      </c>
      <c r="H272" s="63" t="s">
        <v>2938</v>
      </c>
      <c r="I272" s="63" t="s">
        <v>2189</v>
      </c>
      <c r="J272" s="63" t="s">
        <v>2939</v>
      </c>
      <c r="K272" s="63"/>
      <c r="L272" s="63" t="s">
        <v>1938</v>
      </c>
      <c r="M272" s="63" t="s">
        <v>1603</v>
      </c>
      <c r="N272" s="63" t="s">
        <v>1595</v>
      </c>
      <c r="O272" s="63" t="s">
        <v>1604</v>
      </c>
      <c r="P272" s="63" t="s">
        <v>2158</v>
      </c>
      <c r="Q272" s="63" t="s">
        <v>2940</v>
      </c>
      <c r="R272" s="63" t="s">
        <v>2941</v>
      </c>
      <c r="S272" s="63" t="s">
        <v>1723</v>
      </c>
      <c r="T272" s="63"/>
      <c r="U272" s="63"/>
      <c r="V272" s="63"/>
      <c r="W272" s="63"/>
      <c r="X272" s="63"/>
      <c r="Y272" s="63"/>
      <c r="Z272" s="63"/>
    </row>
    <row r="273" spans="1:26" ht="15.75" customHeight="1" x14ac:dyDescent="0.25">
      <c r="A273" s="63" t="s">
        <v>1092</v>
      </c>
      <c r="B273" s="63" t="s">
        <v>1379</v>
      </c>
      <c r="C273" s="63" t="s">
        <v>287</v>
      </c>
      <c r="D273" s="63" t="s">
        <v>2942</v>
      </c>
      <c r="E273" s="63" t="s">
        <v>2943</v>
      </c>
      <c r="F273" s="63" t="s">
        <v>1597</v>
      </c>
      <c r="G273" s="63" t="s">
        <v>2944</v>
      </c>
      <c r="H273" s="63" t="s">
        <v>1742</v>
      </c>
      <c r="I273" s="63" t="s">
        <v>2945</v>
      </c>
      <c r="J273" s="63" t="s">
        <v>2225</v>
      </c>
      <c r="K273" s="63" t="s">
        <v>1601</v>
      </c>
      <c r="L273" s="63" t="s">
        <v>1653</v>
      </c>
      <c r="M273" s="63" t="s">
        <v>1654</v>
      </c>
      <c r="N273" s="63" t="s">
        <v>1595</v>
      </c>
      <c r="O273" s="63" t="s">
        <v>1604</v>
      </c>
      <c r="P273" s="63" t="s">
        <v>1655</v>
      </c>
      <c r="Q273" s="63" t="s">
        <v>2946</v>
      </c>
      <c r="R273" s="63" t="s">
        <v>2947</v>
      </c>
      <c r="S273" s="63" t="s">
        <v>1633</v>
      </c>
      <c r="T273" s="63"/>
      <c r="U273" s="63"/>
      <c r="V273" s="63"/>
      <c r="W273" s="63"/>
      <c r="X273" s="63"/>
      <c r="Y273" s="63"/>
      <c r="Z273" s="63"/>
    </row>
    <row r="274" spans="1:26" ht="15.75" customHeight="1" x14ac:dyDescent="0.25">
      <c r="A274" s="63" t="s">
        <v>1094</v>
      </c>
      <c r="B274" s="63" t="s">
        <v>1433</v>
      </c>
      <c r="C274" s="63" t="s">
        <v>74</v>
      </c>
      <c r="D274" s="63" t="s">
        <v>1595</v>
      </c>
      <c r="E274" s="63" t="s">
        <v>2948</v>
      </c>
      <c r="F274" s="63" t="s">
        <v>1597</v>
      </c>
      <c r="G274" s="63" t="s">
        <v>2421</v>
      </c>
      <c r="H274" s="63" t="s">
        <v>1610</v>
      </c>
      <c r="I274" s="63" t="s">
        <v>2930</v>
      </c>
      <c r="J274" s="63" t="s">
        <v>562</v>
      </c>
      <c r="K274" s="63" t="s">
        <v>1601</v>
      </c>
      <c r="L274" s="63" t="s">
        <v>1938</v>
      </c>
      <c r="M274" s="63" t="s">
        <v>1603</v>
      </c>
      <c r="N274" s="63" t="s">
        <v>1595</v>
      </c>
      <c r="O274" s="63" t="s">
        <v>1604</v>
      </c>
      <c r="P274" s="63" t="s">
        <v>2504</v>
      </c>
      <c r="Q274" s="63" t="s">
        <v>2949</v>
      </c>
      <c r="R274" s="63" t="s">
        <v>2121</v>
      </c>
      <c r="S274" s="63" t="s">
        <v>1723</v>
      </c>
      <c r="T274" s="63"/>
      <c r="U274" s="63"/>
      <c r="V274" s="63"/>
      <c r="W274" s="63"/>
      <c r="X274" s="63"/>
      <c r="Y274" s="63"/>
      <c r="Z274" s="63"/>
    </row>
    <row r="275" spans="1:26" ht="15.75" customHeight="1" x14ac:dyDescent="0.25">
      <c r="A275" s="63" t="s">
        <v>1096</v>
      </c>
      <c r="B275" s="63" t="s">
        <v>987</v>
      </c>
      <c r="C275" s="63" t="s">
        <v>404</v>
      </c>
      <c r="D275" s="63" t="s">
        <v>1595</v>
      </c>
      <c r="E275" s="63" t="s">
        <v>1747</v>
      </c>
      <c r="F275" s="63" t="s">
        <v>1597</v>
      </c>
      <c r="G275" s="63" t="s">
        <v>2950</v>
      </c>
      <c r="H275" s="63" t="s">
        <v>1610</v>
      </c>
      <c r="I275" s="63" t="s">
        <v>2951</v>
      </c>
      <c r="J275" s="63" t="s">
        <v>552</v>
      </c>
      <c r="K275" s="63" t="s">
        <v>2121</v>
      </c>
      <c r="L275" s="63" t="s">
        <v>2320</v>
      </c>
      <c r="M275" s="63" t="s">
        <v>1622</v>
      </c>
      <c r="N275" s="63" t="s">
        <v>1595</v>
      </c>
      <c r="O275" s="63" t="s">
        <v>1604</v>
      </c>
      <c r="P275" s="63" t="s">
        <v>1939</v>
      </c>
      <c r="Q275" s="63" t="s">
        <v>2952</v>
      </c>
      <c r="R275" s="63" t="s">
        <v>2953</v>
      </c>
      <c r="S275" s="63" t="s">
        <v>1616</v>
      </c>
      <c r="T275" s="63"/>
      <c r="U275" s="63"/>
      <c r="V275" s="63"/>
      <c r="W275" s="63"/>
      <c r="X275" s="63"/>
      <c r="Y275" s="63"/>
      <c r="Z275" s="63"/>
    </row>
    <row r="276" spans="1:26" ht="15.75" customHeight="1" x14ac:dyDescent="0.25">
      <c r="A276" s="63" t="s">
        <v>1098</v>
      </c>
      <c r="B276" s="63" t="s">
        <v>1307</v>
      </c>
      <c r="C276" s="63" t="s">
        <v>252</v>
      </c>
      <c r="D276" s="63" t="s">
        <v>1595</v>
      </c>
      <c r="E276" s="63" t="s">
        <v>2954</v>
      </c>
      <c r="F276" s="63" t="s">
        <v>1597</v>
      </c>
      <c r="G276" s="63" t="s">
        <v>2955</v>
      </c>
      <c r="H276" s="63" t="s">
        <v>1619</v>
      </c>
      <c r="I276" s="63" t="s">
        <v>2956</v>
      </c>
      <c r="J276" s="63" t="s">
        <v>574</v>
      </c>
      <c r="K276" s="63" t="s">
        <v>1601</v>
      </c>
      <c r="L276" s="63" t="s">
        <v>2100</v>
      </c>
      <c r="M276" s="63" t="s">
        <v>1630</v>
      </c>
      <c r="N276" s="63" t="s">
        <v>1595</v>
      </c>
      <c r="O276" s="63" t="s">
        <v>1604</v>
      </c>
      <c r="P276" s="63" t="s">
        <v>2957</v>
      </c>
      <c r="Q276" s="63" t="s">
        <v>2958</v>
      </c>
      <c r="R276" s="63" t="s">
        <v>2959</v>
      </c>
      <c r="S276" s="63" t="s">
        <v>1633</v>
      </c>
      <c r="T276" s="63"/>
      <c r="U276" s="63"/>
      <c r="V276" s="63"/>
      <c r="W276" s="63"/>
      <c r="X276" s="63"/>
      <c r="Y276" s="63"/>
      <c r="Z276" s="63"/>
    </row>
    <row r="277" spans="1:26" ht="15.75" customHeight="1" x14ac:dyDescent="0.25">
      <c r="A277" s="63" t="s">
        <v>1100</v>
      </c>
      <c r="B277" s="63" t="s">
        <v>2960</v>
      </c>
      <c r="C277" s="63" t="s">
        <v>2961</v>
      </c>
      <c r="D277" s="63" t="s">
        <v>1595</v>
      </c>
      <c r="E277" s="63" t="s">
        <v>2962</v>
      </c>
      <c r="F277" s="63" t="s">
        <v>1597</v>
      </c>
      <c r="G277" s="63" t="s">
        <v>2963</v>
      </c>
      <c r="H277" s="63" t="s">
        <v>1610</v>
      </c>
      <c r="I277" s="63" t="s">
        <v>2727</v>
      </c>
      <c r="J277" s="63" t="s">
        <v>556</v>
      </c>
      <c r="K277" s="63" t="s">
        <v>1601</v>
      </c>
      <c r="L277" s="63" t="s">
        <v>2728</v>
      </c>
      <c r="M277" s="63" t="s">
        <v>1622</v>
      </c>
      <c r="N277" s="63" t="s">
        <v>1595</v>
      </c>
      <c r="O277" s="63" t="s">
        <v>1604</v>
      </c>
      <c r="P277" s="63" t="s">
        <v>2378</v>
      </c>
      <c r="Q277" s="63" t="s">
        <v>2964</v>
      </c>
      <c r="R277" s="63" t="s">
        <v>2121</v>
      </c>
      <c r="S277" s="63" t="s">
        <v>1616</v>
      </c>
      <c r="T277" s="63"/>
      <c r="U277" s="63"/>
      <c r="V277" s="63"/>
      <c r="W277" s="63"/>
      <c r="X277" s="63"/>
      <c r="Y277" s="63"/>
      <c r="Z277" s="63"/>
    </row>
    <row r="278" spans="1:26" ht="15.75" customHeight="1" x14ac:dyDescent="0.25">
      <c r="A278" s="63" t="s">
        <v>1102</v>
      </c>
      <c r="B278" s="63" t="s">
        <v>1271</v>
      </c>
      <c r="C278" s="63" t="s">
        <v>235</v>
      </c>
      <c r="D278" s="63" t="s">
        <v>1595</v>
      </c>
      <c r="E278" s="63" t="s">
        <v>2605</v>
      </c>
      <c r="F278" s="63" t="s">
        <v>1597</v>
      </c>
      <c r="G278" s="63" t="s">
        <v>2965</v>
      </c>
      <c r="H278" s="63" t="s">
        <v>2966</v>
      </c>
      <c r="I278" s="63" t="s">
        <v>2967</v>
      </c>
      <c r="J278" s="63" t="s">
        <v>552</v>
      </c>
      <c r="K278" s="63"/>
      <c r="L278" s="63" t="s">
        <v>1637</v>
      </c>
      <c r="M278" s="63" t="s">
        <v>1595</v>
      </c>
      <c r="N278" s="63" t="s">
        <v>1595</v>
      </c>
      <c r="O278" s="63" t="s">
        <v>1604</v>
      </c>
      <c r="P278" s="63" t="s">
        <v>2968</v>
      </c>
      <c r="Q278" s="63" t="s">
        <v>2969</v>
      </c>
      <c r="R278" s="63" t="s">
        <v>2970</v>
      </c>
      <c r="S278" s="63" t="s">
        <v>1607</v>
      </c>
      <c r="T278" s="63"/>
      <c r="U278" s="63"/>
      <c r="V278" s="63"/>
      <c r="W278" s="63"/>
      <c r="X278" s="63"/>
      <c r="Y278" s="63"/>
      <c r="Z278" s="63"/>
    </row>
    <row r="279" spans="1:26" ht="15.75" customHeight="1" x14ac:dyDescent="0.25">
      <c r="A279" s="63" t="s">
        <v>1104</v>
      </c>
      <c r="B279" s="63" t="s">
        <v>995</v>
      </c>
      <c r="C279" s="63" t="s">
        <v>408</v>
      </c>
      <c r="D279" s="63" t="s">
        <v>1595</v>
      </c>
      <c r="E279" s="63" t="s">
        <v>2834</v>
      </c>
      <c r="F279" s="63" t="s">
        <v>1597</v>
      </c>
      <c r="G279" s="63" t="s">
        <v>2971</v>
      </c>
      <c r="H279" s="63" t="s">
        <v>1610</v>
      </c>
      <c r="I279" s="63" t="s">
        <v>2972</v>
      </c>
      <c r="J279" s="63" t="s">
        <v>566</v>
      </c>
      <c r="K279" s="63"/>
      <c r="L279" s="63" t="s">
        <v>1800</v>
      </c>
      <c r="M279" s="63" t="s">
        <v>1595</v>
      </c>
      <c r="N279" s="63" t="s">
        <v>1595</v>
      </c>
      <c r="O279" s="63" t="s">
        <v>1604</v>
      </c>
      <c r="P279" s="63" t="s">
        <v>1731</v>
      </c>
      <c r="Q279" s="63" t="s">
        <v>2973</v>
      </c>
      <c r="R279" s="63" t="s">
        <v>2974</v>
      </c>
      <c r="S279" s="63" t="s">
        <v>1616</v>
      </c>
      <c r="T279" s="63"/>
      <c r="U279" s="63"/>
      <c r="V279" s="63"/>
      <c r="W279" s="63"/>
      <c r="X279" s="63"/>
      <c r="Y279" s="63"/>
      <c r="Z279" s="63"/>
    </row>
    <row r="280" spans="1:26" ht="15.75" customHeight="1" x14ac:dyDescent="0.25">
      <c r="A280" s="63" t="s">
        <v>1106</v>
      </c>
      <c r="B280" s="63" t="s">
        <v>903</v>
      </c>
      <c r="C280" s="63" t="s">
        <v>5053</v>
      </c>
      <c r="D280" s="63" t="s">
        <v>1595</v>
      </c>
      <c r="E280" s="63" t="s">
        <v>2975</v>
      </c>
      <c r="F280" s="63" t="s">
        <v>1597</v>
      </c>
      <c r="G280" s="63" t="s">
        <v>2976</v>
      </c>
      <c r="H280" s="63" t="s">
        <v>1610</v>
      </c>
      <c r="I280" s="63" t="s">
        <v>2031</v>
      </c>
      <c r="J280" s="63" t="s">
        <v>566</v>
      </c>
      <c r="K280" s="63"/>
      <c r="L280" s="63" t="s">
        <v>1750</v>
      </c>
      <c r="M280" s="63" t="s">
        <v>1687</v>
      </c>
      <c r="N280" s="63" t="s">
        <v>1595</v>
      </c>
      <c r="O280" s="63" t="s">
        <v>1604</v>
      </c>
      <c r="P280" s="63" t="s">
        <v>1751</v>
      </c>
      <c r="Q280" s="63" t="s">
        <v>2977</v>
      </c>
      <c r="R280" s="63" t="s">
        <v>2978</v>
      </c>
      <c r="S280" s="63" t="s">
        <v>1616</v>
      </c>
      <c r="T280" s="63"/>
      <c r="U280" s="63"/>
      <c r="V280" s="63"/>
      <c r="W280" s="63"/>
      <c r="X280" s="63"/>
      <c r="Y280" s="63"/>
      <c r="Z280" s="63"/>
    </row>
    <row r="281" spans="1:26" ht="15.75" customHeight="1" x14ac:dyDescent="0.25">
      <c r="A281" s="63" t="s">
        <v>1108</v>
      </c>
      <c r="B281" s="63" t="s">
        <v>823</v>
      </c>
      <c r="C281" s="63" t="s">
        <v>328</v>
      </c>
      <c r="D281" s="63" t="s">
        <v>1595</v>
      </c>
      <c r="E281" s="63" t="s">
        <v>2173</v>
      </c>
      <c r="F281" s="63" t="s">
        <v>1597</v>
      </c>
      <c r="G281" s="63" t="s">
        <v>2979</v>
      </c>
      <c r="H281" s="63" t="s">
        <v>1610</v>
      </c>
      <c r="I281" s="63" t="s">
        <v>1983</v>
      </c>
      <c r="J281" s="63" t="s">
        <v>552</v>
      </c>
      <c r="K281" s="63" t="s">
        <v>1601</v>
      </c>
      <c r="L281" s="63" t="s">
        <v>1706</v>
      </c>
      <c r="M281" s="63" t="s">
        <v>1696</v>
      </c>
      <c r="N281" s="63" t="s">
        <v>1595</v>
      </c>
      <c r="O281" s="63" t="s">
        <v>1604</v>
      </c>
      <c r="P281" s="63" t="s">
        <v>1697</v>
      </c>
      <c r="Q281" s="63" t="s">
        <v>2980</v>
      </c>
      <c r="R281" s="63" t="s">
        <v>2981</v>
      </c>
      <c r="S281" s="63" t="s">
        <v>1616</v>
      </c>
      <c r="T281" s="63"/>
      <c r="U281" s="63"/>
      <c r="V281" s="63"/>
      <c r="W281" s="63"/>
      <c r="X281" s="63"/>
      <c r="Y281" s="63"/>
      <c r="Z281" s="63"/>
    </row>
    <row r="282" spans="1:26" ht="15.75" customHeight="1" x14ac:dyDescent="0.25">
      <c r="A282" s="63" t="s">
        <v>1110</v>
      </c>
      <c r="B282" s="63" t="s">
        <v>651</v>
      </c>
      <c r="C282" s="63" t="s">
        <v>494</v>
      </c>
      <c r="D282" s="63" t="s">
        <v>2084</v>
      </c>
      <c r="E282" s="63" t="s">
        <v>2683</v>
      </c>
      <c r="F282" s="63" t="s">
        <v>1597</v>
      </c>
      <c r="G282" s="63" t="s">
        <v>2982</v>
      </c>
      <c r="H282" s="63" t="s">
        <v>1619</v>
      </c>
      <c r="I282" s="63" t="s">
        <v>2983</v>
      </c>
      <c r="J282" s="63" t="s">
        <v>580</v>
      </c>
      <c r="K282" s="63" t="s">
        <v>566</v>
      </c>
      <c r="L282" s="63" t="s">
        <v>2746</v>
      </c>
      <c r="M282" s="63" t="s">
        <v>2747</v>
      </c>
      <c r="N282" s="63" t="s">
        <v>2084</v>
      </c>
      <c r="O282" s="63" t="s">
        <v>1604</v>
      </c>
      <c r="P282" s="63" t="s">
        <v>2664</v>
      </c>
      <c r="Q282" s="63" t="s">
        <v>2984</v>
      </c>
      <c r="R282" s="63" t="s">
        <v>2985</v>
      </c>
      <c r="S282" s="63" t="s">
        <v>1607</v>
      </c>
      <c r="T282" s="63"/>
      <c r="U282" s="63"/>
      <c r="V282" s="63"/>
      <c r="W282" s="63"/>
      <c r="X282" s="63"/>
      <c r="Y282" s="63"/>
      <c r="Z282" s="63"/>
    </row>
    <row r="283" spans="1:26" ht="15.75" customHeight="1" x14ac:dyDescent="0.25">
      <c r="A283" s="63" t="s">
        <v>1112</v>
      </c>
      <c r="B283" s="63" t="s">
        <v>759</v>
      </c>
      <c r="C283" s="63" t="s">
        <v>5136</v>
      </c>
      <c r="D283" s="63" t="s">
        <v>1595</v>
      </c>
      <c r="E283" s="63" t="s">
        <v>2986</v>
      </c>
      <c r="F283" s="63" t="s">
        <v>1597</v>
      </c>
      <c r="G283" s="63" t="s">
        <v>2987</v>
      </c>
      <c r="H283" s="63" t="s">
        <v>2988</v>
      </c>
      <c r="I283" s="63" t="s">
        <v>2402</v>
      </c>
      <c r="J283" s="63" t="s">
        <v>558</v>
      </c>
      <c r="K283" s="63"/>
      <c r="L283" s="63" t="s">
        <v>2166</v>
      </c>
      <c r="M283" s="63" t="s">
        <v>1603</v>
      </c>
      <c r="N283" s="63" t="s">
        <v>1595</v>
      </c>
      <c r="O283" s="63" t="s">
        <v>1604</v>
      </c>
      <c r="P283" s="63" t="s">
        <v>1605</v>
      </c>
      <c r="Q283" s="63" t="s">
        <v>2989</v>
      </c>
      <c r="R283" s="63" t="s">
        <v>2990</v>
      </c>
      <c r="S283" s="63" t="s">
        <v>538</v>
      </c>
      <c r="T283" s="63"/>
      <c r="U283" s="63"/>
      <c r="V283" s="63"/>
      <c r="W283" s="63"/>
      <c r="X283" s="63"/>
      <c r="Y283" s="63"/>
      <c r="Z283" s="63"/>
    </row>
    <row r="284" spans="1:26" ht="15.75" customHeight="1" x14ac:dyDescent="0.25">
      <c r="A284" s="63" t="s">
        <v>1114</v>
      </c>
      <c r="B284" s="63" t="s">
        <v>825</v>
      </c>
      <c r="C284" s="63" t="s">
        <v>329</v>
      </c>
      <c r="D284" s="63" t="s">
        <v>1595</v>
      </c>
      <c r="E284" s="63" t="s">
        <v>1955</v>
      </c>
      <c r="F284" s="63" t="s">
        <v>1597</v>
      </c>
      <c r="G284" s="63" t="s">
        <v>2991</v>
      </c>
      <c r="H284" s="63" t="s">
        <v>1610</v>
      </c>
      <c r="I284" s="63" t="s">
        <v>2992</v>
      </c>
      <c r="J284" s="63" t="s">
        <v>2204</v>
      </c>
      <c r="K284" s="63"/>
      <c r="L284" s="63" t="s">
        <v>1938</v>
      </c>
      <c r="M284" s="63" t="s">
        <v>1603</v>
      </c>
      <c r="N284" s="63" t="s">
        <v>1595</v>
      </c>
      <c r="O284" s="63" t="s">
        <v>1604</v>
      </c>
      <c r="P284" s="63" t="s">
        <v>2158</v>
      </c>
      <c r="Q284" s="63" t="s">
        <v>2993</v>
      </c>
      <c r="R284" s="63" t="s">
        <v>2994</v>
      </c>
      <c r="S284" s="63" t="s">
        <v>1616</v>
      </c>
      <c r="T284" s="63"/>
      <c r="U284" s="63"/>
      <c r="V284" s="63"/>
      <c r="W284" s="63"/>
      <c r="X284" s="63"/>
      <c r="Y284" s="63"/>
      <c r="Z284" s="63"/>
    </row>
    <row r="285" spans="1:26" ht="15.75" customHeight="1" x14ac:dyDescent="0.25">
      <c r="A285" s="63" t="s">
        <v>1116</v>
      </c>
      <c r="B285" s="63" t="s">
        <v>1267</v>
      </c>
      <c r="C285" s="63" t="s">
        <v>233</v>
      </c>
      <c r="D285" s="63" t="s">
        <v>1595</v>
      </c>
      <c r="E285" s="63" t="s">
        <v>1978</v>
      </c>
      <c r="F285" s="63" t="s">
        <v>1597</v>
      </c>
      <c r="G285" s="63" t="s">
        <v>2995</v>
      </c>
      <c r="H285" s="63" t="s">
        <v>1610</v>
      </c>
      <c r="I285" s="63" t="s">
        <v>1896</v>
      </c>
      <c r="J285" s="63" t="s">
        <v>2718</v>
      </c>
      <c r="K285" s="63"/>
      <c r="L285" s="63" t="s">
        <v>2996</v>
      </c>
      <c r="M285" s="63" t="s">
        <v>2283</v>
      </c>
      <c r="N285" s="63" t="s">
        <v>1595</v>
      </c>
      <c r="O285" s="63" t="s">
        <v>1604</v>
      </c>
      <c r="P285" s="63" t="s">
        <v>2477</v>
      </c>
      <c r="Q285" s="63" t="s">
        <v>2997</v>
      </c>
      <c r="R285" s="63" t="s">
        <v>2998</v>
      </c>
      <c r="S285" s="63" t="s">
        <v>1633</v>
      </c>
      <c r="T285" s="63"/>
      <c r="U285" s="63"/>
      <c r="V285" s="63"/>
      <c r="W285" s="63"/>
      <c r="X285" s="63"/>
      <c r="Y285" s="63"/>
      <c r="Z285" s="63"/>
    </row>
    <row r="286" spans="1:26" ht="15.75" customHeight="1" x14ac:dyDescent="0.25">
      <c r="A286" s="63" t="s">
        <v>1118</v>
      </c>
      <c r="B286" s="63" t="s">
        <v>803</v>
      </c>
      <c r="C286" s="63" t="s">
        <v>318</v>
      </c>
      <c r="D286" s="63" t="s">
        <v>1595</v>
      </c>
      <c r="E286" s="63" t="s">
        <v>2999</v>
      </c>
      <c r="F286" s="63" t="s">
        <v>1597</v>
      </c>
      <c r="G286" s="63" t="s">
        <v>3000</v>
      </c>
      <c r="H286" s="63" t="s">
        <v>1927</v>
      </c>
      <c r="I286" s="63" t="s">
        <v>3001</v>
      </c>
      <c r="J286" s="63" t="s">
        <v>2718</v>
      </c>
      <c r="K286" s="63"/>
      <c r="L286" s="63" t="s">
        <v>2144</v>
      </c>
      <c r="M286" s="63" t="s">
        <v>2145</v>
      </c>
      <c r="N286" s="63" t="s">
        <v>1595</v>
      </c>
      <c r="O286" s="63" t="s">
        <v>1604</v>
      </c>
      <c r="P286" s="63" t="s">
        <v>3002</v>
      </c>
      <c r="Q286" s="63" t="s">
        <v>3003</v>
      </c>
      <c r="R286" s="63" t="s">
        <v>3004</v>
      </c>
      <c r="S286" s="63" t="s">
        <v>1616</v>
      </c>
      <c r="T286" s="63"/>
      <c r="U286" s="63"/>
      <c r="V286" s="63"/>
      <c r="W286" s="63"/>
      <c r="X286" s="63"/>
      <c r="Y286" s="63"/>
      <c r="Z286" s="63"/>
    </row>
    <row r="287" spans="1:26" ht="15.75" customHeight="1" x14ac:dyDescent="0.25">
      <c r="A287" s="63" t="s">
        <v>1120</v>
      </c>
      <c r="B287" s="63" t="s">
        <v>741</v>
      </c>
      <c r="C287" s="63" t="s">
        <v>35</v>
      </c>
      <c r="D287" s="63" t="s">
        <v>1595</v>
      </c>
      <c r="E287" s="63" t="s">
        <v>2125</v>
      </c>
      <c r="F287" s="63" t="s">
        <v>1597</v>
      </c>
      <c r="G287" s="63" t="s">
        <v>3005</v>
      </c>
      <c r="H287" s="63" t="s">
        <v>1610</v>
      </c>
      <c r="I287" s="63" t="s">
        <v>2444</v>
      </c>
      <c r="J287" s="63" t="s">
        <v>2718</v>
      </c>
      <c r="K287" s="63" t="s">
        <v>2468</v>
      </c>
      <c r="L287" s="63" t="s">
        <v>2444</v>
      </c>
      <c r="M287" s="63" t="s">
        <v>2283</v>
      </c>
      <c r="N287" s="63" t="s">
        <v>1595</v>
      </c>
      <c r="O287" s="63" t="s">
        <v>1604</v>
      </c>
      <c r="P287" s="63" t="s">
        <v>2134</v>
      </c>
      <c r="Q287" s="63" t="s">
        <v>3006</v>
      </c>
      <c r="R287" s="63" t="s">
        <v>3007</v>
      </c>
      <c r="S287" s="63" t="s">
        <v>1616</v>
      </c>
      <c r="T287" s="63"/>
      <c r="U287" s="63"/>
      <c r="V287" s="63"/>
      <c r="W287" s="63"/>
      <c r="X287" s="63"/>
      <c r="Y287" s="63"/>
      <c r="Z287" s="63"/>
    </row>
    <row r="288" spans="1:26" ht="15.75" customHeight="1" x14ac:dyDescent="0.25">
      <c r="A288" s="63" t="s">
        <v>1122</v>
      </c>
      <c r="B288" s="63" t="s">
        <v>1221</v>
      </c>
      <c r="C288" s="63" t="s">
        <v>210</v>
      </c>
      <c r="D288" s="63" t="s">
        <v>3008</v>
      </c>
      <c r="E288" s="63" t="s">
        <v>2438</v>
      </c>
      <c r="F288" s="63" t="s">
        <v>1597</v>
      </c>
      <c r="G288" s="63" t="s">
        <v>3009</v>
      </c>
      <c r="H288" s="63" t="s">
        <v>1610</v>
      </c>
      <c r="I288" s="63" t="s">
        <v>3010</v>
      </c>
      <c r="J288" s="63" t="s">
        <v>560</v>
      </c>
      <c r="K288" s="63" t="s">
        <v>1601</v>
      </c>
      <c r="L288" s="63" t="s">
        <v>1660</v>
      </c>
      <c r="M288" s="63" t="s">
        <v>1654</v>
      </c>
      <c r="N288" s="63" t="s">
        <v>1595</v>
      </c>
      <c r="O288" s="63" t="s">
        <v>1604</v>
      </c>
      <c r="P288" s="63" t="s">
        <v>1671</v>
      </c>
      <c r="Q288" s="63" t="s">
        <v>3011</v>
      </c>
      <c r="R288" s="63" t="s">
        <v>3012</v>
      </c>
      <c r="S288" s="63" t="s">
        <v>1633</v>
      </c>
      <c r="T288" s="63"/>
      <c r="U288" s="63"/>
      <c r="V288" s="63"/>
      <c r="W288" s="63"/>
      <c r="X288" s="63"/>
      <c r="Y288" s="63"/>
      <c r="Z288" s="63"/>
    </row>
    <row r="289" spans="1:26" ht="15.75" customHeight="1" x14ac:dyDescent="0.25">
      <c r="A289" s="63" t="s">
        <v>1124</v>
      </c>
      <c r="B289" s="63" t="s">
        <v>631</v>
      </c>
      <c r="C289" s="63" t="s">
        <v>484</v>
      </c>
      <c r="D289" s="63" t="s">
        <v>1954</v>
      </c>
      <c r="E289" s="63" t="s">
        <v>3013</v>
      </c>
      <c r="F289" s="63" t="s">
        <v>1597</v>
      </c>
      <c r="G289" s="63" t="s">
        <v>3014</v>
      </c>
      <c r="H289" s="63" t="s">
        <v>3015</v>
      </c>
      <c r="I289" s="63" t="s">
        <v>2956</v>
      </c>
      <c r="J289" s="63" t="s">
        <v>612</v>
      </c>
      <c r="K289" s="63" t="s">
        <v>596</v>
      </c>
      <c r="L289" s="63" t="s">
        <v>2065</v>
      </c>
      <c r="M289" s="63" t="s">
        <v>1622</v>
      </c>
      <c r="N289" s="63" t="s">
        <v>1595</v>
      </c>
      <c r="O289" s="63" t="s">
        <v>1604</v>
      </c>
      <c r="P289" s="63" t="s">
        <v>3016</v>
      </c>
      <c r="Q289" s="63" t="s">
        <v>3017</v>
      </c>
      <c r="R289" s="63" t="s">
        <v>3018</v>
      </c>
      <c r="S289" s="63" t="s">
        <v>538</v>
      </c>
      <c r="T289" s="63"/>
      <c r="U289" s="63"/>
      <c r="V289" s="63"/>
      <c r="W289" s="63"/>
      <c r="X289" s="63"/>
      <c r="Y289" s="63"/>
      <c r="Z289" s="63"/>
    </row>
    <row r="290" spans="1:26" ht="15.75" customHeight="1" x14ac:dyDescent="0.25">
      <c r="A290" s="63" t="s">
        <v>1126</v>
      </c>
      <c r="B290" s="63" t="s">
        <v>933</v>
      </c>
      <c r="C290" s="63" t="s">
        <v>377</v>
      </c>
      <c r="D290" s="63" t="s">
        <v>1595</v>
      </c>
      <c r="E290" s="63" t="s">
        <v>3019</v>
      </c>
      <c r="F290" s="63" t="s">
        <v>1597</v>
      </c>
      <c r="G290" s="63" t="s">
        <v>3020</v>
      </c>
      <c r="H290" s="63" t="s">
        <v>2223</v>
      </c>
      <c r="I290" s="63" t="s">
        <v>1986</v>
      </c>
      <c r="J290" s="63" t="s">
        <v>2914</v>
      </c>
      <c r="K290" s="63" t="s">
        <v>1601</v>
      </c>
      <c r="L290" s="63" t="s">
        <v>2190</v>
      </c>
      <c r="M290" s="63" t="s">
        <v>1603</v>
      </c>
      <c r="N290" s="63" t="s">
        <v>1595</v>
      </c>
      <c r="O290" s="63" t="s">
        <v>1604</v>
      </c>
      <c r="P290" s="63" t="s">
        <v>3021</v>
      </c>
      <c r="Q290" s="63" t="s">
        <v>3022</v>
      </c>
      <c r="R290" s="63" t="s">
        <v>3023</v>
      </c>
      <c r="S290" s="63" t="s">
        <v>1616</v>
      </c>
      <c r="T290" s="63"/>
      <c r="U290" s="63"/>
      <c r="V290" s="63"/>
      <c r="W290" s="63"/>
      <c r="X290" s="63"/>
      <c r="Y290" s="63"/>
      <c r="Z290" s="63"/>
    </row>
    <row r="291" spans="1:26" ht="15.75" customHeight="1" x14ac:dyDescent="0.25">
      <c r="A291" s="63" t="s">
        <v>1128</v>
      </c>
      <c r="B291" s="63" t="s">
        <v>707</v>
      </c>
      <c r="C291" s="63" t="s">
        <v>521</v>
      </c>
      <c r="D291" s="63" t="s">
        <v>3024</v>
      </c>
      <c r="E291" s="63" t="s">
        <v>3025</v>
      </c>
      <c r="F291" s="63" t="s">
        <v>1597</v>
      </c>
      <c r="G291" s="63" t="s">
        <v>3026</v>
      </c>
      <c r="H291" s="63" t="s">
        <v>1619</v>
      </c>
      <c r="I291" s="63" t="s">
        <v>3010</v>
      </c>
      <c r="J291" s="63" t="s">
        <v>2204</v>
      </c>
      <c r="K291" s="63"/>
      <c r="L291" s="63" t="s">
        <v>1660</v>
      </c>
      <c r="M291" s="63" t="s">
        <v>1654</v>
      </c>
      <c r="N291" s="63" t="s">
        <v>1595</v>
      </c>
      <c r="O291" s="63" t="s">
        <v>1604</v>
      </c>
      <c r="P291" s="63" t="s">
        <v>2023</v>
      </c>
      <c r="Q291" s="63" t="s">
        <v>3027</v>
      </c>
      <c r="R291" s="63" t="s">
        <v>3028</v>
      </c>
      <c r="S291" s="63" t="s">
        <v>1607</v>
      </c>
      <c r="T291" s="63"/>
      <c r="U291" s="63"/>
      <c r="V291" s="63"/>
      <c r="W291" s="63"/>
      <c r="X291" s="63"/>
      <c r="Y291" s="63"/>
      <c r="Z291" s="63"/>
    </row>
    <row r="292" spans="1:26" ht="15.75" customHeight="1" x14ac:dyDescent="0.25">
      <c r="A292" s="63" t="s">
        <v>1130</v>
      </c>
      <c r="B292" s="63" t="s">
        <v>3029</v>
      </c>
      <c r="C292" s="63" t="s">
        <v>3030</v>
      </c>
      <c r="D292" s="63" t="s">
        <v>1595</v>
      </c>
      <c r="E292" s="63" t="s">
        <v>2217</v>
      </c>
      <c r="F292" s="63" t="s">
        <v>1597</v>
      </c>
      <c r="G292" s="63" t="s">
        <v>3031</v>
      </c>
      <c r="H292" s="63" t="s">
        <v>1619</v>
      </c>
      <c r="I292" s="63" t="s">
        <v>3032</v>
      </c>
      <c r="J292" s="63" t="s">
        <v>570</v>
      </c>
      <c r="K292" s="63"/>
      <c r="L292" s="63" t="s">
        <v>1665</v>
      </c>
      <c r="M292" s="63" t="s">
        <v>1613</v>
      </c>
      <c r="N292" s="63" t="s">
        <v>1595</v>
      </c>
      <c r="O292" s="63" t="s">
        <v>1604</v>
      </c>
      <c r="P292" s="63" t="s">
        <v>1701</v>
      </c>
      <c r="Q292" s="63" t="s">
        <v>3033</v>
      </c>
      <c r="R292" s="63" t="s">
        <v>3034</v>
      </c>
      <c r="S292" s="63" t="s">
        <v>1607</v>
      </c>
      <c r="T292" s="63"/>
      <c r="U292" s="63"/>
      <c r="V292" s="63"/>
      <c r="W292" s="63"/>
      <c r="X292" s="63"/>
      <c r="Y292" s="63"/>
      <c r="Z292" s="63"/>
    </row>
    <row r="293" spans="1:26" ht="15.75" customHeight="1" x14ac:dyDescent="0.25">
      <c r="A293" s="63" t="s">
        <v>1132</v>
      </c>
      <c r="B293" s="63" t="s">
        <v>1029</v>
      </c>
      <c r="C293" s="63" t="s">
        <v>425</v>
      </c>
      <c r="D293" s="63" t="s">
        <v>1595</v>
      </c>
      <c r="E293" s="63" t="s">
        <v>3035</v>
      </c>
      <c r="F293" s="63" t="s">
        <v>1597</v>
      </c>
      <c r="G293" s="63" t="s">
        <v>3036</v>
      </c>
      <c r="H293" s="63" t="s">
        <v>1610</v>
      </c>
      <c r="I293" s="63" t="s">
        <v>3037</v>
      </c>
      <c r="J293" s="63" t="s">
        <v>3038</v>
      </c>
      <c r="K293" s="63" t="s">
        <v>2121</v>
      </c>
      <c r="L293" s="63" t="s">
        <v>2696</v>
      </c>
      <c r="M293" s="63" t="s">
        <v>1785</v>
      </c>
      <c r="N293" s="63" t="s">
        <v>1595</v>
      </c>
      <c r="O293" s="63" t="s">
        <v>1604</v>
      </c>
      <c r="P293" s="63" t="s">
        <v>1786</v>
      </c>
      <c r="Q293" s="63" t="s">
        <v>3039</v>
      </c>
      <c r="R293" s="63" t="s">
        <v>3039</v>
      </c>
      <c r="S293" s="63" t="s">
        <v>1616</v>
      </c>
      <c r="T293" s="63"/>
      <c r="U293" s="63"/>
      <c r="V293" s="63"/>
      <c r="W293" s="63"/>
      <c r="X293" s="63"/>
      <c r="Y293" s="63"/>
      <c r="Z293" s="63"/>
    </row>
    <row r="294" spans="1:26" ht="15.75" customHeight="1" x14ac:dyDescent="0.25">
      <c r="A294" s="63" t="s">
        <v>1134</v>
      </c>
      <c r="B294" s="63" t="s">
        <v>1505</v>
      </c>
      <c r="C294" s="63" t="s">
        <v>110</v>
      </c>
      <c r="D294" s="63" t="s">
        <v>3040</v>
      </c>
      <c r="E294" s="63" t="s">
        <v>3041</v>
      </c>
      <c r="F294" s="63" t="s">
        <v>1597</v>
      </c>
      <c r="G294" s="63" t="s">
        <v>3042</v>
      </c>
      <c r="H294" s="63" t="s">
        <v>1610</v>
      </c>
      <c r="I294" s="63" t="s">
        <v>3043</v>
      </c>
      <c r="J294" s="63" t="s">
        <v>2703</v>
      </c>
      <c r="K294" s="63" t="s">
        <v>2121</v>
      </c>
      <c r="L294" s="63" t="s">
        <v>1938</v>
      </c>
      <c r="M294" s="63" t="s">
        <v>1603</v>
      </c>
      <c r="N294" s="63" t="s">
        <v>1595</v>
      </c>
      <c r="O294" s="63" t="s">
        <v>1604</v>
      </c>
      <c r="P294" s="63" t="s">
        <v>2158</v>
      </c>
      <c r="Q294" s="63" t="s">
        <v>3044</v>
      </c>
      <c r="R294" s="63" t="s">
        <v>3045</v>
      </c>
      <c r="S294" s="63" t="s">
        <v>1723</v>
      </c>
      <c r="T294" s="63"/>
      <c r="U294" s="63"/>
      <c r="V294" s="63"/>
      <c r="W294" s="63"/>
      <c r="X294" s="63"/>
      <c r="Y294" s="63"/>
      <c r="Z294" s="63"/>
    </row>
    <row r="295" spans="1:26" ht="15.75" customHeight="1" x14ac:dyDescent="0.25">
      <c r="A295" s="63" t="s">
        <v>1136</v>
      </c>
      <c r="B295" s="63" t="s">
        <v>3046</v>
      </c>
      <c r="C295" s="63" t="s">
        <v>3047</v>
      </c>
      <c r="D295" s="63" t="s">
        <v>1595</v>
      </c>
      <c r="E295" s="63" t="s">
        <v>2168</v>
      </c>
      <c r="F295" s="63" t="s">
        <v>1597</v>
      </c>
      <c r="G295" s="63" t="s">
        <v>3048</v>
      </c>
      <c r="H295" s="63" t="s">
        <v>1619</v>
      </c>
      <c r="I295" s="63" t="s">
        <v>3049</v>
      </c>
      <c r="J295" s="63" t="s">
        <v>554</v>
      </c>
      <c r="K295" s="63" t="s">
        <v>596</v>
      </c>
      <c r="L295" s="63" t="s">
        <v>1785</v>
      </c>
      <c r="M295" s="63" t="s">
        <v>1785</v>
      </c>
      <c r="N295" s="63" t="s">
        <v>1595</v>
      </c>
      <c r="O295" s="63" t="s">
        <v>1604</v>
      </c>
      <c r="P295" s="63" t="s">
        <v>1786</v>
      </c>
      <c r="Q295" s="63" t="s">
        <v>3050</v>
      </c>
      <c r="R295" s="63" t="s">
        <v>3051</v>
      </c>
      <c r="S295" s="63" t="s">
        <v>1723</v>
      </c>
      <c r="T295" s="63"/>
      <c r="U295" s="63"/>
      <c r="V295" s="63"/>
      <c r="W295" s="63"/>
      <c r="X295" s="63"/>
      <c r="Y295" s="63"/>
      <c r="Z295" s="63"/>
    </row>
    <row r="296" spans="1:26" ht="15.75" customHeight="1" x14ac:dyDescent="0.25">
      <c r="A296" s="63" t="s">
        <v>1138</v>
      </c>
      <c r="B296" s="63" t="s">
        <v>565</v>
      </c>
      <c r="C296" s="63" t="s">
        <v>451</v>
      </c>
      <c r="D296" s="63" t="s">
        <v>1595</v>
      </c>
      <c r="E296" s="63" t="s">
        <v>3052</v>
      </c>
      <c r="F296" s="63" t="s">
        <v>1597</v>
      </c>
      <c r="G296" s="63" t="s">
        <v>3053</v>
      </c>
      <c r="H296" s="63" t="s">
        <v>1619</v>
      </c>
      <c r="I296" s="63" t="s">
        <v>2127</v>
      </c>
      <c r="J296" s="63" t="s">
        <v>2939</v>
      </c>
      <c r="K296" s="63" t="s">
        <v>2121</v>
      </c>
      <c r="L296" s="63" t="s">
        <v>1822</v>
      </c>
      <c r="M296" s="63" t="s">
        <v>1613</v>
      </c>
      <c r="N296" s="63" t="s">
        <v>1595</v>
      </c>
      <c r="O296" s="63" t="s">
        <v>1604</v>
      </c>
      <c r="P296" s="63" t="s">
        <v>1701</v>
      </c>
      <c r="Q296" s="63" t="s">
        <v>3054</v>
      </c>
      <c r="R296" s="63" t="s">
        <v>3054</v>
      </c>
      <c r="S296" s="63" t="s">
        <v>1607</v>
      </c>
      <c r="T296" s="63"/>
      <c r="U296" s="63"/>
      <c r="V296" s="63"/>
      <c r="W296" s="63"/>
      <c r="X296" s="63"/>
      <c r="Y296" s="63"/>
      <c r="Z296" s="63"/>
    </row>
    <row r="297" spans="1:26" ht="15.75" customHeight="1" x14ac:dyDescent="0.25">
      <c r="A297" s="63" t="s">
        <v>1140</v>
      </c>
      <c r="B297" s="63" t="s">
        <v>1211</v>
      </c>
      <c r="C297" s="63" t="s">
        <v>5096</v>
      </c>
      <c r="D297" s="63" t="s">
        <v>1595</v>
      </c>
      <c r="E297" s="63" t="s">
        <v>1650</v>
      </c>
      <c r="F297" s="63" t="s">
        <v>1597</v>
      </c>
      <c r="G297" s="63" t="s">
        <v>3055</v>
      </c>
      <c r="H297" s="63" t="s">
        <v>1610</v>
      </c>
      <c r="I297" s="63" t="s">
        <v>3056</v>
      </c>
      <c r="J297" s="63" t="s">
        <v>2428</v>
      </c>
      <c r="K297" s="63" t="s">
        <v>2843</v>
      </c>
      <c r="L297" s="63" t="s">
        <v>1832</v>
      </c>
      <c r="M297" s="63" t="s">
        <v>1630</v>
      </c>
      <c r="N297" s="63" t="s">
        <v>1595</v>
      </c>
      <c r="O297" s="63" t="s">
        <v>1604</v>
      </c>
      <c r="P297" s="63" t="s">
        <v>2892</v>
      </c>
      <c r="Q297" s="63" t="s">
        <v>3057</v>
      </c>
      <c r="R297" s="63" t="s">
        <v>3058</v>
      </c>
      <c r="S297" s="63" t="s">
        <v>1633</v>
      </c>
      <c r="T297" s="63"/>
      <c r="U297" s="63"/>
      <c r="V297" s="63"/>
      <c r="W297" s="63"/>
      <c r="X297" s="63"/>
      <c r="Y297" s="63"/>
      <c r="Z297" s="63"/>
    </row>
    <row r="298" spans="1:26" ht="15.75" customHeight="1" x14ac:dyDescent="0.25">
      <c r="A298" s="63" t="s">
        <v>1142</v>
      </c>
      <c r="B298" s="63" t="s">
        <v>691</v>
      </c>
      <c r="C298" s="63" t="s">
        <v>513</v>
      </c>
      <c r="D298" s="63" t="s">
        <v>1595</v>
      </c>
      <c r="E298" s="63" t="s">
        <v>2846</v>
      </c>
      <c r="F298" s="63" t="s">
        <v>1597</v>
      </c>
      <c r="G298" s="63" t="s">
        <v>3059</v>
      </c>
      <c r="H298" s="63" t="s">
        <v>1619</v>
      </c>
      <c r="I298" s="63" t="s">
        <v>1762</v>
      </c>
      <c r="J298" s="63" t="s">
        <v>2547</v>
      </c>
      <c r="K298" s="63" t="s">
        <v>612</v>
      </c>
      <c r="L298" s="63" t="s">
        <v>1637</v>
      </c>
      <c r="M298" s="63" t="s">
        <v>1595</v>
      </c>
      <c r="N298" s="63" t="s">
        <v>1595</v>
      </c>
      <c r="O298" s="63" t="s">
        <v>1604</v>
      </c>
      <c r="P298" s="63" t="s">
        <v>1631</v>
      </c>
      <c r="Q298" s="63" t="s">
        <v>3060</v>
      </c>
      <c r="R298" s="63" t="s">
        <v>3061</v>
      </c>
      <c r="S298" s="63" t="s">
        <v>1607</v>
      </c>
      <c r="T298" s="63"/>
      <c r="U298" s="63"/>
      <c r="V298" s="63"/>
      <c r="W298" s="63"/>
      <c r="X298" s="63"/>
      <c r="Y298" s="63"/>
      <c r="Z298" s="63"/>
    </row>
    <row r="299" spans="1:26" ht="15.75" customHeight="1" x14ac:dyDescent="0.25">
      <c r="A299" s="63" t="s">
        <v>1144</v>
      </c>
      <c r="B299" s="63" t="s">
        <v>953</v>
      </c>
      <c r="C299" s="63" t="s">
        <v>387</v>
      </c>
      <c r="D299" s="63" t="s">
        <v>1595</v>
      </c>
      <c r="E299" s="63" t="s">
        <v>3062</v>
      </c>
      <c r="F299" s="63" t="s">
        <v>1597</v>
      </c>
      <c r="G299" s="63" t="s">
        <v>3063</v>
      </c>
      <c r="H299" s="63" t="s">
        <v>1627</v>
      </c>
      <c r="I299" s="63" t="s">
        <v>2388</v>
      </c>
      <c r="J299" s="63" t="s">
        <v>2204</v>
      </c>
      <c r="K299" s="63" t="s">
        <v>2204</v>
      </c>
      <c r="L299" s="63" t="s">
        <v>1910</v>
      </c>
      <c r="M299" s="63" t="s">
        <v>1595</v>
      </c>
      <c r="N299" s="63" t="s">
        <v>1595</v>
      </c>
      <c r="O299" s="63" t="s">
        <v>1604</v>
      </c>
      <c r="P299" s="63" t="s">
        <v>1790</v>
      </c>
      <c r="Q299" s="63" t="s">
        <v>3064</v>
      </c>
      <c r="R299" s="63" t="s">
        <v>3065</v>
      </c>
      <c r="S299" s="63" t="s">
        <v>1633</v>
      </c>
      <c r="T299" s="63"/>
      <c r="U299" s="63"/>
      <c r="V299" s="63"/>
      <c r="W299" s="63"/>
      <c r="X299" s="63"/>
      <c r="Y299" s="63"/>
      <c r="Z299" s="63"/>
    </row>
    <row r="300" spans="1:26" ht="15.75" customHeight="1" x14ac:dyDescent="0.25">
      <c r="A300" s="63" t="s">
        <v>1146</v>
      </c>
      <c r="B300" s="63" t="s">
        <v>1115</v>
      </c>
      <c r="C300" s="63" t="s">
        <v>159</v>
      </c>
      <c r="D300" s="63" t="s">
        <v>1595</v>
      </c>
      <c r="E300" s="63" t="s">
        <v>2743</v>
      </c>
      <c r="F300" s="63" t="s">
        <v>1597</v>
      </c>
      <c r="G300" s="63" t="s">
        <v>3066</v>
      </c>
      <c r="H300" s="63" t="s">
        <v>1627</v>
      </c>
      <c r="I300" s="63" t="s">
        <v>2094</v>
      </c>
      <c r="J300" s="63" t="s">
        <v>2939</v>
      </c>
      <c r="K300" s="63"/>
      <c r="L300" s="63" t="s">
        <v>1621</v>
      </c>
      <c r="M300" s="63" t="s">
        <v>1622</v>
      </c>
      <c r="N300" s="63" t="s">
        <v>1595</v>
      </c>
      <c r="O300" s="63" t="s">
        <v>1604</v>
      </c>
      <c r="P300" s="63" t="s">
        <v>2095</v>
      </c>
      <c r="Q300" s="63" t="s">
        <v>3067</v>
      </c>
      <c r="R300" s="63" t="s">
        <v>3068</v>
      </c>
      <c r="S300" s="63" t="s">
        <v>1633</v>
      </c>
      <c r="T300" s="63"/>
      <c r="U300" s="63"/>
      <c r="V300" s="63"/>
      <c r="W300" s="63"/>
      <c r="X300" s="63"/>
      <c r="Y300" s="63"/>
      <c r="Z300" s="63"/>
    </row>
    <row r="301" spans="1:26" ht="15.75" customHeight="1" x14ac:dyDescent="0.25">
      <c r="A301" s="63" t="s">
        <v>1148</v>
      </c>
      <c r="B301" s="63" t="s">
        <v>773</v>
      </c>
      <c r="C301" s="63" t="s">
        <v>304</v>
      </c>
      <c r="D301" s="63" t="s">
        <v>1954</v>
      </c>
      <c r="E301" s="63" t="s">
        <v>3069</v>
      </c>
      <c r="F301" s="63" t="s">
        <v>1597</v>
      </c>
      <c r="G301" s="63" t="s">
        <v>3070</v>
      </c>
      <c r="H301" s="63" t="s">
        <v>1627</v>
      </c>
      <c r="I301" s="63" t="s">
        <v>3071</v>
      </c>
      <c r="J301" s="63" t="s">
        <v>3072</v>
      </c>
      <c r="K301" s="63" t="s">
        <v>2121</v>
      </c>
      <c r="L301" s="63" t="s">
        <v>2310</v>
      </c>
      <c r="M301" s="63" t="s">
        <v>1647</v>
      </c>
      <c r="N301" s="63" t="s">
        <v>1595</v>
      </c>
      <c r="O301" s="63" t="s">
        <v>1604</v>
      </c>
      <c r="P301" s="63" t="s">
        <v>3073</v>
      </c>
      <c r="Q301" s="63" t="s">
        <v>3074</v>
      </c>
      <c r="R301" s="63" t="s">
        <v>3074</v>
      </c>
      <c r="S301" s="63" t="s">
        <v>1633</v>
      </c>
      <c r="T301" s="63"/>
      <c r="U301" s="63"/>
      <c r="V301" s="63"/>
      <c r="W301" s="63"/>
      <c r="X301" s="63"/>
      <c r="Y301" s="63"/>
      <c r="Z301" s="63"/>
    </row>
    <row r="302" spans="1:26" ht="15.75" customHeight="1" x14ac:dyDescent="0.25">
      <c r="A302" s="63" t="s">
        <v>1150</v>
      </c>
      <c r="B302" s="63" t="s">
        <v>3075</v>
      </c>
      <c r="C302" s="63" t="s">
        <v>3076</v>
      </c>
      <c r="D302" s="63" t="s">
        <v>1595</v>
      </c>
      <c r="E302" s="63" t="s">
        <v>1844</v>
      </c>
      <c r="F302" s="63" t="s">
        <v>1597</v>
      </c>
      <c r="G302" s="63" t="s">
        <v>3077</v>
      </c>
      <c r="H302" s="63" t="s">
        <v>1627</v>
      </c>
      <c r="I302" s="63" t="s">
        <v>3078</v>
      </c>
      <c r="J302" s="63" t="s">
        <v>2428</v>
      </c>
      <c r="K302" s="63"/>
      <c r="L302" s="63" t="s">
        <v>1938</v>
      </c>
      <c r="M302" s="63" t="s">
        <v>1603</v>
      </c>
      <c r="N302" s="63" t="s">
        <v>1595</v>
      </c>
      <c r="O302" s="63" t="s">
        <v>1604</v>
      </c>
      <c r="P302" s="63" t="s">
        <v>1823</v>
      </c>
      <c r="Q302" s="63" t="s">
        <v>3079</v>
      </c>
      <c r="R302" s="63" t="s">
        <v>3080</v>
      </c>
      <c r="S302" s="63" t="s">
        <v>1723</v>
      </c>
      <c r="T302" s="63"/>
      <c r="U302" s="63"/>
      <c r="V302" s="63"/>
      <c r="W302" s="63"/>
      <c r="X302" s="63"/>
      <c r="Y302" s="63"/>
      <c r="Z302" s="63"/>
    </row>
    <row r="303" spans="1:26" ht="15.75" customHeight="1" x14ac:dyDescent="0.25">
      <c r="A303" s="63" t="s">
        <v>1152</v>
      </c>
      <c r="B303" s="63" t="s">
        <v>1423</v>
      </c>
      <c r="C303" s="63" t="s">
        <v>68</v>
      </c>
      <c r="D303" s="63" t="s">
        <v>1595</v>
      </c>
      <c r="E303" s="63" t="s">
        <v>3081</v>
      </c>
      <c r="F303" s="63" t="s">
        <v>1597</v>
      </c>
      <c r="G303" s="63" t="s">
        <v>3082</v>
      </c>
      <c r="H303" s="63" t="s">
        <v>1610</v>
      </c>
      <c r="I303" s="63" t="s">
        <v>3083</v>
      </c>
      <c r="J303" s="63" t="s">
        <v>554</v>
      </c>
      <c r="K303" s="63" t="s">
        <v>1601</v>
      </c>
      <c r="L303" s="63" t="s">
        <v>1621</v>
      </c>
      <c r="M303" s="63" t="s">
        <v>1622</v>
      </c>
      <c r="N303" s="63" t="s">
        <v>1595</v>
      </c>
      <c r="O303" s="63" t="s">
        <v>1604</v>
      </c>
      <c r="P303" s="63" t="s">
        <v>2378</v>
      </c>
      <c r="Q303" s="63" t="s">
        <v>2121</v>
      </c>
      <c r="R303" s="63" t="s">
        <v>3084</v>
      </c>
      <c r="S303" s="63" t="s">
        <v>1723</v>
      </c>
      <c r="T303" s="63"/>
      <c r="U303" s="63"/>
      <c r="V303" s="63"/>
      <c r="W303" s="63"/>
      <c r="X303" s="63"/>
      <c r="Y303" s="63"/>
      <c r="Z303" s="63"/>
    </row>
    <row r="304" spans="1:26" ht="15.75" customHeight="1" x14ac:dyDescent="0.25">
      <c r="A304" s="63" t="s">
        <v>1154</v>
      </c>
      <c r="B304" s="63" t="s">
        <v>1297</v>
      </c>
      <c r="C304" s="63" t="s">
        <v>248</v>
      </c>
      <c r="D304" s="63" t="s">
        <v>1595</v>
      </c>
      <c r="E304" s="63" t="s">
        <v>2006</v>
      </c>
      <c r="F304" s="63" t="s">
        <v>1597</v>
      </c>
      <c r="G304" s="63" t="s">
        <v>3085</v>
      </c>
      <c r="H304" s="63" t="s">
        <v>3086</v>
      </c>
      <c r="I304" s="63" t="s">
        <v>3087</v>
      </c>
      <c r="J304" s="63" t="s">
        <v>3088</v>
      </c>
      <c r="K304" s="63"/>
      <c r="L304" s="63" t="s">
        <v>1695</v>
      </c>
      <c r="M304" s="63" t="s">
        <v>1696</v>
      </c>
      <c r="N304" s="63" t="s">
        <v>1595</v>
      </c>
      <c r="O304" s="63" t="s">
        <v>1604</v>
      </c>
      <c r="P304" s="63" t="s">
        <v>1697</v>
      </c>
      <c r="Q304" s="63" t="s">
        <v>3089</v>
      </c>
      <c r="R304" s="63" t="s">
        <v>3090</v>
      </c>
      <c r="S304" s="63" t="s">
        <v>1633</v>
      </c>
      <c r="T304" s="63"/>
      <c r="U304" s="63"/>
      <c r="V304" s="63"/>
      <c r="W304" s="63"/>
      <c r="X304" s="63"/>
      <c r="Y304" s="63"/>
      <c r="Z304" s="63"/>
    </row>
    <row r="305" spans="1:26" ht="15.75" customHeight="1" x14ac:dyDescent="0.25">
      <c r="A305" s="63" t="s">
        <v>1156</v>
      </c>
      <c r="B305" s="63" t="s">
        <v>3091</v>
      </c>
      <c r="C305" s="63" t="s">
        <v>3092</v>
      </c>
      <c r="D305" s="63" t="s">
        <v>1595</v>
      </c>
      <c r="E305" s="63" t="s">
        <v>3093</v>
      </c>
      <c r="F305" s="63" t="s">
        <v>1597</v>
      </c>
      <c r="G305" s="63" t="s">
        <v>3094</v>
      </c>
      <c r="H305" s="63" t="s">
        <v>1610</v>
      </c>
      <c r="I305" s="63" t="s">
        <v>3095</v>
      </c>
      <c r="J305" s="63" t="s">
        <v>562</v>
      </c>
      <c r="K305" s="63" t="s">
        <v>1601</v>
      </c>
      <c r="L305" s="63" t="s">
        <v>1938</v>
      </c>
      <c r="M305" s="63" t="s">
        <v>1603</v>
      </c>
      <c r="N305" s="63" t="s">
        <v>1595</v>
      </c>
      <c r="O305" s="63" t="s">
        <v>1604</v>
      </c>
      <c r="P305" s="63" t="s">
        <v>1939</v>
      </c>
      <c r="Q305" s="63" t="s">
        <v>3096</v>
      </c>
      <c r="R305" s="63" t="s">
        <v>3096</v>
      </c>
      <c r="S305" s="63" t="s">
        <v>1633</v>
      </c>
      <c r="T305" s="63"/>
      <c r="U305" s="63"/>
      <c r="V305" s="63"/>
      <c r="W305" s="63"/>
      <c r="X305" s="63"/>
      <c r="Y305" s="63"/>
      <c r="Z305" s="63"/>
    </row>
    <row r="306" spans="1:26" ht="15.75" customHeight="1" x14ac:dyDescent="0.25">
      <c r="A306" s="63" t="s">
        <v>1158</v>
      </c>
      <c r="B306" s="63" t="s">
        <v>1439</v>
      </c>
      <c r="C306" s="63" t="s">
        <v>77</v>
      </c>
      <c r="D306" s="63" t="s">
        <v>1885</v>
      </c>
      <c r="E306" s="63" t="s">
        <v>2917</v>
      </c>
      <c r="F306" s="63" t="s">
        <v>1597</v>
      </c>
      <c r="G306" s="63" t="s">
        <v>2673</v>
      </c>
      <c r="H306" s="63" t="s">
        <v>3097</v>
      </c>
      <c r="I306" s="63" t="s">
        <v>3098</v>
      </c>
      <c r="J306" s="63" t="s">
        <v>2428</v>
      </c>
      <c r="K306" s="63"/>
      <c r="L306" s="63" t="s">
        <v>2166</v>
      </c>
      <c r="M306" s="63" t="s">
        <v>1603</v>
      </c>
      <c r="N306" s="63" t="s">
        <v>1595</v>
      </c>
      <c r="O306" s="63" t="s">
        <v>1604</v>
      </c>
      <c r="P306" s="63" t="s">
        <v>2158</v>
      </c>
      <c r="Q306" s="63" t="s">
        <v>3099</v>
      </c>
      <c r="R306" s="63" t="s">
        <v>3100</v>
      </c>
      <c r="S306" s="63" t="s">
        <v>1723</v>
      </c>
      <c r="T306" s="63"/>
      <c r="U306" s="63"/>
      <c r="V306" s="63"/>
      <c r="W306" s="63"/>
      <c r="X306" s="63"/>
      <c r="Y306" s="63"/>
      <c r="Z306" s="63"/>
    </row>
    <row r="307" spans="1:26" ht="15.75" customHeight="1" x14ac:dyDescent="0.25">
      <c r="A307" s="63" t="s">
        <v>1160</v>
      </c>
      <c r="B307" s="63" t="s">
        <v>611</v>
      </c>
      <c r="C307" s="63" t="s">
        <v>474</v>
      </c>
      <c r="D307" s="63" t="s">
        <v>1595</v>
      </c>
      <c r="E307" s="63" t="s">
        <v>3101</v>
      </c>
      <c r="F307" s="63" t="s">
        <v>1597</v>
      </c>
      <c r="G307" s="63" t="s">
        <v>3102</v>
      </c>
      <c r="H307" s="63" t="s">
        <v>3103</v>
      </c>
      <c r="I307" s="63" t="s">
        <v>2930</v>
      </c>
      <c r="J307" s="63" t="s">
        <v>2914</v>
      </c>
      <c r="K307" s="63"/>
      <c r="L307" s="63" t="s">
        <v>1637</v>
      </c>
      <c r="M307" s="63" t="s">
        <v>1595</v>
      </c>
      <c r="N307" s="63" t="s">
        <v>1595</v>
      </c>
      <c r="O307" s="63" t="s">
        <v>1604</v>
      </c>
      <c r="P307" s="63" t="s">
        <v>1731</v>
      </c>
      <c r="Q307" s="63" t="s">
        <v>3104</v>
      </c>
      <c r="R307" s="63" t="s">
        <v>3105</v>
      </c>
      <c r="S307" s="63" t="s">
        <v>1607</v>
      </c>
      <c r="T307" s="63"/>
      <c r="U307" s="63"/>
      <c r="V307" s="63"/>
      <c r="W307" s="63"/>
      <c r="X307" s="63"/>
      <c r="Y307" s="63"/>
      <c r="Z307" s="63"/>
    </row>
    <row r="308" spans="1:26" ht="15.75" customHeight="1" x14ac:dyDescent="0.25">
      <c r="A308" s="63" t="s">
        <v>1162</v>
      </c>
      <c r="B308" s="63" t="s">
        <v>617</v>
      </c>
      <c r="C308" s="63" t="s">
        <v>477</v>
      </c>
      <c r="D308" s="63" t="s">
        <v>2014</v>
      </c>
      <c r="E308" s="63" t="s">
        <v>3106</v>
      </c>
      <c r="F308" s="63" t="s">
        <v>1597</v>
      </c>
      <c r="G308" s="63" t="s">
        <v>3107</v>
      </c>
      <c r="H308" s="63" t="s">
        <v>1627</v>
      </c>
      <c r="I308" s="63" t="s">
        <v>3108</v>
      </c>
      <c r="J308" s="63" t="s">
        <v>558</v>
      </c>
      <c r="K308" s="63" t="s">
        <v>1601</v>
      </c>
      <c r="L308" s="63" t="s">
        <v>1832</v>
      </c>
      <c r="M308" s="63" t="s">
        <v>1630</v>
      </c>
      <c r="N308" s="63" t="s">
        <v>1595</v>
      </c>
      <c r="O308" s="63" t="s">
        <v>1604</v>
      </c>
      <c r="P308" s="63" t="s">
        <v>1671</v>
      </c>
      <c r="Q308" s="63" t="s">
        <v>3109</v>
      </c>
      <c r="R308" s="63" t="s">
        <v>3110</v>
      </c>
      <c r="S308" s="63" t="s">
        <v>1607</v>
      </c>
      <c r="T308" s="63"/>
      <c r="U308" s="63"/>
      <c r="V308" s="63"/>
      <c r="W308" s="63"/>
      <c r="X308" s="63"/>
      <c r="Y308" s="63"/>
      <c r="Z308" s="63"/>
    </row>
    <row r="309" spans="1:26" ht="15.75" customHeight="1" x14ac:dyDescent="0.25">
      <c r="A309" s="63" t="s">
        <v>1164</v>
      </c>
      <c r="B309" s="63" t="s">
        <v>1503</v>
      </c>
      <c r="C309" s="63" t="s">
        <v>109</v>
      </c>
      <c r="D309" s="63" t="s">
        <v>1595</v>
      </c>
      <c r="E309" s="63" t="s">
        <v>3111</v>
      </c>
      <c r="F309" s="63" t="s">
        <v>1597</v>
      </c>
      <c r="G309" s="63" t="s">
        <v>3112</v>
      </c>
      <c r="H309" s="63" t="s">
        <v>1610</v>
      </c>
      <c r="I309" s="63" t="s">
        <v>1889</v>
      </c>
      <c r="J309" s="63" t="s">
        <v>554</v>
      </c>
      <c r="K309" s="63" t="s">
        <v>1601</v>
      </c>
      <c r="L309" s="63" t="s">
        <v>1800</v>
      </c>
      <c r="M309" s="63" t="s">
        <v>1595</v>
      </c>
      <c r="N309" s="63" t="s">
        <v>1595</v>
      </c>
      <c r="O309" s="63" t="s">
        <v>1604</v>
      </c>
      <c r="P309" s="63" t="s">
        <v>1946</v>
      </c>
      <c r="Q309" s="63" t="s">
        <v>3113</v>
      </c>
      <c r="R309" s="63" t="s">
        <v>3114</v>
      </c>
      <c r="S309" s="63" t="s">
        <v>1723</v>
      </c>
      <c r="T309" s="63"/>
      <c r="U309" s="63"/>
      <c r="V309" s="63"/>
      <c r="W309" s="63"/>
      <c r="X309" s="63"/>
      <c r="Y309" s="63"/>
      <c r="Z309" s="63"/>
    </row>
    <row r="310" spans="1:26" ht="15.75" customHeight="1" x14ac:dyDescent="0.25">
      <c r="A310" s="63" t="s">
        <v>1166</v>
      </c>
      <c r="B310" s="63" t="s">
        <v>1215</v>
      </c>
      <c r="C310" s="63" t="s">
        <v>207</v>
      </c>
      <c r="D310" s="63" t="s">
        <v>1595</v>
      </c>
      <c r="E310" s="63" t="s">
        <v>1880</v>
      </c>
      <c r="F310" s="63" t="s">
        <v>1597</v>
      </c>
      <c r="G310" s="63" t="s">
        <v>3115</v>
      </c>
      <c r="H310" s="63" t="s">
        <v>1619</v>
      </c>
      <c r="I310" s="63" t="s">
        <v>3116</v>
      </c>
      <c r="J310" s="63" t="s">
        <v>2204</v>
      </c>
      <c r="K310" s="63"/>
      <c r="L310" s="63" t="s">
        <v>2712</v>
      </c>
      <c r="M310" s="63" t="s">
        <v>1687</v>
      </c>
      <c r="N310" s="63" t="s">
        <v>1595</v>
      </c>
      <c r="O310" s="63" t="s">
        <v>1604</v>
      </c>
      <c r="P310" s="63" t="s">
        <v>1751</v>
      </c>
      <c r="Q310" s="63" t="s">
        <v>3117</v>
      </c>
      <c r="R310" s="63" t="s">
        <v>3118</v>
      </c>
      <c r="S310" s="63" t="s">
        <v>1633</v>
      </c>
      <c r="T310" s="63"/>
      <c r="U310" s="63"/>
      <c r="V310" s="63"/>
      <c r="W310" s="63"/>
      <c r="X310" s="63"/>
      <c r="Y310" s="63"/>
      <c r="Z310" s="63"/>
    </row>
    <row r="311" spans="1:26" ht="15.75" customHeight="1" x14ac:dyDescent="0.25">
      <c r="A311" s="63" t="s">
        <v>1168</v>
      </c>
      <c r="B311" s="63" t="s">
        <v>935</v>
      </c>
      <c r="C311" s="63" t="s">
        <v>378</v>
      </c>
      <c r="D311" s="63" t="s">
        <v>1595</v>
      </c>
      <c r="E311" s="63" t="s">
        <v>2241</v>
      </c>
      <c r="F311" s="63" t="s">
        <v>1597</v>
      </c>
      <c r="G311" s="63" t="s">
        <v>3119</v>
      </c>
      <c r="H311" s="63" t="s">
        <v>3103</v>
      </c>
      <c r="I311" s="63" t="s">
        <v>3120</v>
      </c>
      <c r="J311" s="63" t="s">
        <v>2703</v>
      </c>
      <c r="K311" s="63"/>
      <c r="L311" s="63" t="s">
        <v>1660</v>
      </c>
      <c r="M311" s="63" t="s">
        <v>1654</v>
      </c>
      <c r="N311" s="63" t="s">
        <v>1595</v>
      </c>
      <c r="O311" s="63" t="s">
        <v>1604</v>
      </c>
      <c r="P311" s="63" t="s">
        <v>1655</v>
      </c>
      <c r="Q311" s="63" t="s">
        <v>3121</v>
      </c>
      <c r="R311" s="63" t="s">
        <v>3122</v>
      </c>
      <c r="S311" s="63" t="s">
        <v>1616</v>
      </c>
      <c r="T311" s="63"/>
      <c r="U311" s="63"/>
      <c r="V311" s="63"/>
      <c r="W311" s="63"/>
      <c r="X311" s="63"/>
      <c r="Y311" s="63"/>
      <c r="Z311" s="63"/>
    </row>
    <row r="312" spans="1:26" ht="15.75" customHeight="1" x14ac:dyDescent="0.25">
      <c r="A312" s="63" t="s">
        <v>1170</v>
      </c>
      <c r="B312" s="63" t="s">
        <v>967</v>
      </c>
      <c r="C312" s="63" t="s">
        <v>394</v>
      </c>
      <c r="D312" s="63" t="s">
        <v>1595</v>
      </c>
      <c r="E312" s="63" t="s">
        <v>1596</v>
      </c>
      <c r="F312" s="63" t="s">
        <v>1597</v>
      </c>
      <c r="G312" s="63" t="s">
        <v>3123</v>
      </c>
      <c r="H312" s="63" t="s">
        <v>1927</v>
      </c>
      <c r="I312" s="63" t="s">
        <v>3124</v>
      </c>
      <c r="J312" s="63" t="s">
        <v>560</v>
      </c>
      <c r="K312" s="63" t="s">
        <v>1601</v>
      </c>
      <c r="L312" s="63" t="s">
        <v>1785</v>
      </c>
      <c r="M312" s="63" t="s">
        <v>1785</v>
      </c>
      <c r="N312" s="63" t="s">
        <v>1595</v>
      </c>
      <c r="O312" s="63" t="s">
        <v>1604</v>
      </c>
      <c r="P312" s="63" t="s">
        <v>1786</v>
      </c>
      <c r="Q312" s="63" t="s">
        <v>3125</v>
      </c>
      <c r="R312" s="63" t="s">
        <v>3126</v>
      </c>
      <c r="S312" s="63" t="s">
        <v>1616</v>
      </c>
      <c r="T312" s="63"/>
      <c r="U312" s="63"/>
      <c r="V312" s="63"/>
      <c r="W312" s="63"/>
      <c r="X312" s="63"/>
      <c r="Y312" s="63"/>
      <c r="Z312" s="63"/>
    </row>
    <row r="313" spans="1:26" ht="15.75" customHeight="1" x14ac:dyDescent="0.25">
      <c r="A313" s="63" t="s">
        <v>1172</v>
      </c>
      <c r="B313" s="63" t="s">
        <v>3127</v>
      </c>
      <c r="C313" s="63" t="s">
        <v>3128</v>
      </c>
      <c r="D313" s="63" t="s">
        <v>2014</v>
      </c>
      <c r="E313" s="63" t="s">
        <v>3129</v>
      </c>
      <c r="F313" s="63" t="s">
        <v>1597</v>
      </c>
      <c r="G313" s="63" t="s">
        <v>3130</v>
      </c>
      <c r="H313" s="63" t="s">
        <v>1619</v>
      </c>
      <c r="I313" s="63" t="s">
        <v>3131</v>
      </c>
      <c r="J313" s="63" t="s">
        <v>2914</v>
      </c>
      <c r="K313" s="63" t="s">
        <v>3088</v>
      </c>
      <c r="L313" s="63" t="s">
        <v>3132</v>
      </c>
      <c r="M313" s="63" t="s">
        <v>3133</v>
      </c>
      <c r="N313" s="63" t="s">
        <v>2014</v>
      </c>
      <c r="O313" s="63" t="s">
        <v>1604</v>
      </c>
      <c r="P313" s="63" t="s">
        <v>3134</v>
      </c>
      <c r="Q313" s="63" t="s">
        <v>3135</v>
      </c>
      <c r="R313" s="63" t="s">
        <v>3136</v>
      </c>
      <c r="S313" s="63" t="s">
        <v>1723</v>
      </c>
      <c r="T313" s="63"/>
      <c r="U313" s="63"/>
      <c r="V313" s="63"/>
      <c r="W313" s="63"/>
      <c r="X313" s="63"/>
      <c r="Y313" s="63"/>
      <c r="Z313" s="63"/>
    </row>
    <row r="314" spans="1:26" ht="15.75" customHeight="1" x14ac:dyDescent="0.25">
      <c r="A314" s="63" t="s">
        <v>1174</v>
      </c>
      <c r="B314" s="63" t="s">
        <v>1081</v>
      </c>
      <c r="C314" s="63" t="s">
        <v>142</v>
      </c>
      <c r="D314" s="63" t="s">
        <v>1595</v>
      </c>
      <c r="E314" s="63" t="s">
        <v>3137</v>
      </c>
      <c r="F314" s="63" t="s">
        <v>1597</v>
      </c>
      <c r="G314" s="63" t="s">
        <v>3138</v>
      </c>
      <c r="H314" s="63" t="s">
        <v>2223</v>
      </c>
      <c r="I314" s="63" t="s">
        <v>3139</v>
      </c>
      <c r="J314" s="63" t="s">
        <v>3140</v>
      </c>
      <c r="K314" s="63"/>
      <c r="L314" s="63" t="s">
        <v>1695</v>
      </c>
      <c r="M314" s="63" t="s">
        <v>1696</v>
      </c>
      <c r="N314" s="63" t="s">
        <v>1595</v>
      </c>
      <c r="O314" s="63" t="s">
        <v>1604</v>
      </c>
      <c r="P314" s="63" t="s">
        <v>1697</v>
      </c>
      <c r="Q314" s="63" t="s">
        <v>3141</v>
      </c>
      <c r="R314" s="63" t="s">
        <v>3142</v>
      </c>
      <c r="S314" s="63" t="s">
        <v>1633</v>
      </c>
      <c r="T314" s="63"/>
      <c r="U314" s="63"/>
      <c r="V314" s="63"/>
      <c r="W314" s="63"/>
      <c r="X314" s="63"/>
      <c r="Y314" s="63"/>
      <c r="Z314" s="63"/>
    </row>
    <row r="315" spans="1:26" ht="15.75" customHeight="1" x14ac:dyDescent="0.25">
      <c r="A315" s="63" t="s">
        <v>1176</v>
      </c>
      <c r="B315" s="63" t="s">
        <v>983</v>
      </c>
      <c r="C315" s="63" t="s">
        <v>402</v>
      </c>
      <c r="D315" s="63" t="s">
        <v>1595</v>
      </c>
      <c r="E315" s="63" t="s">
        <v>3143</v>
      </c>
      <c r="F315" s="63" t="s">
        <v>1597</v>
      </c>
      <c r="G315" s="63" t="s">
        <v>3144</v>
      </c>
      <c r="H315" s="63" t="s">
        <v>1627</v>
      </c>
      <c r="I315" s="63" t="s">
        <v>1986</v>
      </c>
      <c r="J315" s="63" t="s">
        <v>2483</v>
      </c>
      <c r="K315" s="63"/>
      <c r="L315" s="63" t="s">
        <v>2320</v>
      </c>
      <c r="M315" s="63" t="s">
        <v>1622</v>
      </c>
      <c r="N315" s="63" t="s">
        <v>1595</v>
      </c>
      <c r="O315" s="63" t="s">
        <v>1604</v>
      </c>
      <c r="P315" s="63" t="s">
        <v>2108</v>
      </c>
      <c r="Q315" s="63" t="s">
        <v>3145</v>
      </c>
      <c r="R315" s="63" t="s">
        <v>3146</v>
      </c>
      <c r="S315" s="63" t="s">
        <v>1616</v>
      </c>
      <c r="T315" s="63"/>
      <c r="U315" s="63"/>
      <c r="V315" s="63"/>
      <c r="W315" s="63"/>
      <c r="X315" s="63"/>
      <c r="Y315" s="63"/>
      <c r="Z315" s="63"/>
    </row>
    <row r="316" spans="1:26" ht="15.75" customHeight="1" x14ac:dyDescent="0.25">
      <c r="A316" s="63" t="s">
        <v>1178</v>
      </c>
      <c r="B316" s="63" t="s">
        <v>777</v>
      </c>
      <c r="C316" s="63" t="s">
        <v>5092</v>
      </c>
      <c r="D316" s="63" t="s">
        <v>1595</v>
      </c>
      <c r="E316" s="63" t="s">
        <v>2406</v>
      </c>
      <c r="F316" s="63" t="s">
        <v>1597</v>
      </c>
      <c r="G316" s="63" t="s">
        <v>3147</v>
      </c>
      <c r="H316" s="63" t="s">
        <v>1610</v>
      </c>
      <c r="I316" s="63" t="s">
        <v>3148</v>
      </c>
      <c r="J316" s="63" t="s">
        <v>2225</v>
      </c>
      <c r="K316" s="63" t="s">
        <v>3149</v>
      </c>
      <c r="L316" s="63" t="s">
        <v>1811</v>
      </c>
      <c r="M316" s="63" t="s">
        <v>1812</v>
      </c>
      <c r="N316" s="63" t="s">
        <v>1595</v>
      </c>
      <c r="O316" s="63" t="s">
        <v>1604</v>
      </c>
      <c r="P316" s="63" t="s">
        <v>1813</v>
      </c>
      <c r="Q316" s="63" t="s">
        <v>3150</v>
      </c>
      <c r="R316" s="63" t="s">
        <v>3151</v>
      </c>
      <c r="S316" s="63" t="s">
        <v>1633</v>
      </c>
      <c r="T316" s="63"/>
      <c r="U316" s="63"/>
      <c r="V316" s="63"/>
      <c r="W316" s="63"/>
      <c r="X316" s="63"/>
      <c r="Y316" s="63"/>
      <c r="Z316" s="63"/>
    </row>
    <row r="317" spans="1:26" ht="15.75" customHeight="1" x14ac:dyDescent="0.25">
      <c r="A317" s="63" t="s">
        <v>1180</v>
      </c>
      <c r="B317" s="63" t="s">
        <v>3152</v>
      </c>
      <c r="C317" s="63" t="s">
        <v>3153</v>
      </c>
      <c r="D317" s="63" t="s">
        <v>1595</v>
      </c>
      <c r="E317" s="63" t="s">
        <v>1967</v>
      </c>
      <c r="F317" s="63" t="s">
        <v>1597</v>
      </c>
      <c r="G317" s="63" t="s">
        <v>3154</v>
      </c>
      <c r="H317" s="63" t="s">
        <v>1610</v>
      </c>
      <c r="I317" s="63" t="s">
        <v>1937</v>
      </c>
      <c r="J317" s="63" t="s">
        <v>2204</v>
      </c>
      <c r="K317" s="63" t="s">
        <v>1601</v>
      </c>
      <c r="L317" s="63" t="s">
        <v>1822</v>
      </c>
      <c r="M317" s="63" t="s">
        <v>1613</v>
      </c>
      <c r="N317" s="63" t="s">
        <v>1595</v>
      </c>
      <c r="O317" s="63" t="s">
        <v>1604</v>
      </c>
      <c r="P317" s="63" t="s">
        <v>1666</v>
      </c>
      <c r="Q317" s="63" t="s">
        <v>3155</v>
      </c>
      <c r="R317" s="63" t="s">
        <v>3156</v>
      </c>
      <c r="S317" s="63" t="s">
        <v>1633</v>
      </c>
      <c r="T317" s="63"/>
      <c r="U317" s="63"/>
      <c r="V317" s="63"/>
      <c r="W317" s="63"/>
      <c r="X317" s="63"/>
      <c r="Y317" s="63"/>
      <c r="Z317" s="63"/>
    </row>
    <row r="318" spans="1:26" ht="15.75" customHeight="1" x14ac:dyDescent="0.25">
      <c r="A318" s="63" t="s">
        <v>1182</v>
      </c>
      <c r="B318" s="63" t="s">
        <v>809</v>
      </c>
      <c r="C318" s="63" t="s">
        <v>321</v>
      </c>
      <c r="D318" s="63" t="s">
        <v>3157</v>
      </c>
      <c r="E318" s="63" t="s">
        <v>1733</v>
      </c>
      <c r="F318" s="63" t="s">
        <v>1597</v>
      </c>
      <c r="G318" s="63" t="s">
        <v>3158</v>
      </c>
      <c r="H318" s="63" t="s">
        <v>2121</v>
      </c>
      <c r="I318" s="63" t="s">
        <v>3159</v>
      </c>
      <c r="J318" s="63" t="s">
        <v>2914</v>
      </c>
      <c r="K318" s="63" t="s">
        <v>2121</v>
      </c>
      <c r="L318" s="63" t="s">
        <v>2320</v>
      </c>
      <c r="M318" s="63" t="s">
        <v>1622</v>
      </c>
      <c r="N318" s="63" t="s">
        <v>1595</v>
      </c>
      <c r="O318" s="63" t="s">
        <v>1604</v>
      </c>
      <c r="P318" s="63" t="s">
        <v>2378</v>
      </c>
      <c r="Q318" s="63" t="s">
        <v>3160</v>
      </c>
      <c r="R318" s="63" t="s">
        <v>3161</v>
      </c>
      <c r="S318" s="63" t="s">
        <v>1616</v>
      </c>
      <c r="T318" s="63"/>
      <c r="U318" s="63"/>
      <c r="V318" s="63"/>
      <c r="W318" s="63"/>
      <c r="X318" s="63"/>
      <c r="Y318" s="63"/>
      <c r="Z318" s="63"/>
    </row>
    <row r="319" spans="1:26" ht="15.75" customHeight="1" x14ac:dyDescent="0.25">
      <c r="A319" s="63" t="s">
        <v>1184</v>
      </c>
      <c r="B319" s="63" t="s">
        <v>1155</v>
      </c>
      <c r="C319" s="63" t="s">
        <v>178</v>
      </c>
      <c r="D319" s="63" t="s">
        <v>1595</v>
      </c>
      <c r="E319" s="63" t="s">
        <v>1862</v>
      </c>
      <c r="F319" s="63" t="s">
        <v>1597</v>
      </c>
      <c r="G319" s="63" t="s">
        <v>3162</v>
      </c>
      <c r="H319" s="63" t="s">
        <v>1627</v>
      </c>
      <c r="I319" s="63" t="s">
        <v>3163</v>
      </c>
      <c r="J319" s="63" t="s">
        <v>3164</v>
      </c>
      <c r="K319" s="63" t="s">
        <v>1601</v>
      </c>
      <c r="L319" s="63" t="s">
        <v>1750</v>
      </c>
      <c r="M319" s="63" t="s">
        <v>1687</v>
      </c>
      <c r="N319" s="63" t="s">
        <v>1595</v>
      </c>
      <c r="O319" s="63" t="s">
        <v>1604</v>
      </c>
      <c r="P319" s="63" t="s">
        <v>1726</v>
      </c>
      <c r="Q319" s="63" t="s">
        <v>3165</v>
      </c>
      <c r="R319" s="63" t="s">
        <v>3166</v>
      </c>
      <c r="S319" s="63" t="s">
        <v>1633</v>
      </c>
      <c r="T319" s="63"/>
      <c r="U319" s="63"/>
      <c r="V319" s="63"/>
      <c r="W319" s="63"/>
      <c r="X319" s="63"/>
      <c r="Y319" s="63"/>
      <c r="Z319" s="63"/>
    </row>
    <row r="320" spans="1:26" ht="15.75" customHeight="1" x14ac:dyDescent="0.25">
      <c r="A320" s="63" t="s">
        <v>1186</v>
      </c>
      <c r="B320" s="63" t="s">
        <v>3167</v>
      </c>
      <c r="C320" s="63" t="s">
        <v>3168</v>
      </c>
      <c r="D320" s="63" t="s">
        <v>1595</v>
      </c>
      <c r="E320" s="63" t="s">
        <v>3169</v>
      </c>
      <c r="F320" s="63" t="s">
        <v>1597</v>
      </c>
      <c r="G320" s="63" t="s">
        <v>3170</v>
      </c>
      <c r="H320" s="63" t="s">
        <v>1627</v>
      </c>
      <c r="I320" s="63" t="s">
        <v>3171</v>
      </c>
      <c r="J320" s="63" t="s">
        <v>562</v>
      </c>
      <c r="K320" s="63" t="s">
        <v>1601</v>
      </c>
      <c r="L320" s="63" t="s">
        <v>2320</v>
      </c>
      <c r="M320" s="63" t="s">
        <v>1622</v>
      </c>
      <c r="N320" s="63" t="s">
        <v>1595</v>
      </c>
      <c r="O320" s="63" t="s">
        <v>1604</v>
      </c>
      <c r="P320" s="63" t="s">
        <v>2095</v>
      </c>
      <c r="Q320" s="63" t="s">
        <v>3172</v>
      </c>
      <c r="R320" s="63" t="s">
        <v>3173</v>
      </c>
      <c r="S320" s="63" t="s">
        <v>1616</v>
      </c>
      <c r="T320" s="63"/>
      <c r="U320" s="63"/>
      <c r="V320" s="63"/>
      <c r="W320" s="63"/>
      <c r="X320" s="63"/>
      <c r="Y320" s="63"/>
      <c r="Z320" s="63"/>
    </row>
    <row r="321" spans="1:26" ht="15.75" customHeight="1" x14ac:dyDescent="0.25">
      <c r="A321" s="63" t="s">
        <v>1188</v>
      </c>
      <c r="B321" s="63" t="s">
        <v>1393</v>
      </c>
      <c r="C321" s="63" t="s">
        <v>294</v>
      </c>
      <c r="D321" s="63" t="s">
        <v>1595</v>
      </c>
      <c r="E321" s="63" t="s">
        <v>3174</v>
      </c>
      <c r="F321" s="63" t="s">
        <v>1597</v>
      </c>
      <c r="G321" s="63" t="s">
        <v>3175</v>
      </c>
      <c r="H321" s="63" t="s">
        <v>3176</v>
      </c>
      <c r="I321" s="63" t="s">
        <v>2930</v>
      </c>
      <c r="J321" s="63" t="s">
        <v>2703</v>
      </c>
      <c r="K321" s="63" t="s">
        <v>1601</v>
      </c>
      <c r="L321" s="63" t="s">
        <v>1938</v>
      </c>
      <c r="M321" s="63" t="s">
        <v>1603</v>
      </c>
      <c r="N321" s="63" t="s">
        <v>1595</v>
      </c>
      <c r="O321" s="63" t="s">
        <v>1604</v>
      </c>
      <c r="P321" s="63" t="s">
        <v>1939</v>
      </c>
      <c r="Q321" s="63" t="s">
        <v>3177</v>
      </c>
      <c r="R321" s="63" t="s">
        <v>3178</v>
      </c>
      <c r="S321" s="63" t="s">
        <v>1633</v>
      </c>
      <c r="T321" s="63"/>
      <c r="U321" s="63"/>
      <c r="V321" s="63"/>
      <c r="W321" s="63"/>
      <c r="X321" s="63"/>
      <c r="Y321" s="63"/>
      <c r="Z321" s="63"/>
    </row>
    <row r="322" spans="1:26" ht="15.75" customHeight="1" x14ac:dyDescent="0.25">
      <c r="A322" s="63" t="s">
        <v>1190</v>
      </c>
      <c r="B322" s="63" t="s">
        <v>891</v>
      </c>
      <c r="C322" s="63" t="s">
        <v>358</v>
      </c>
      <c r="D322" s="63" t="s">
        <v>1595</v>
      </c>
      <c r="E322" s="63" t="s">
        <v>2943</v>
      </c>
      <c r="F322" s="63" t="s">
        <v>1597</v>
      </c>
      <c r="G322" s="63" t="s">
        <v>2089</v>
      </c>
      <c r="H322" s="63" t="s">
        <v>1610</v>
      </c>
      <c r="I322" s="63" t="s">
        <v>3179</v>
      </c>
      <c r="J322" s="63" t="s">
        <v>558</v>
      </c>
      <c r="K322" s="63" t="s">
        <v>1601</v>
      </c>
      <c r="L322" s="63" t="s">
        <v>2728</v>
      </c>
      <c r="M322" s="63" t="s">
        <v>1622</v>
      </c>
      <c r="N322" s="63" t="s">
        <v>1595</v>
      </c>
      <c r="O322" s="63" t="s">
        <v>1604</v>
      </c>
      <c r="P322" s="63" t="s">
        <v>3180</v>
      </c>
      <c r="Q322" s="63" t="s">
        <v>3181</v>
      </c>
      <c r="R322" s="63" t="s">
        <v>3182</v>
      </c>
      <c r="S322" s="63" t="s">
        <v>1616</v>
      </c>
      <c r="T322" s="63"/>
      <c r="U322" s="63"/>
      <c r="V322" s="63"/>
      <c r="W322" s="63"/>
      <c r="X322" s="63"/>
      <c r="Y322" s="63"/>
      <c r="Z322" s="63"/>
    </row>
    <row r="323" spans="1:26" ht="15.75" customHeight="1" x14ac:dyDescent="0.25">
      <c r="A323" s="63" t="s">
        <v>1192</v>
      </c>
      <c r="B323" s="63" t="s">
        <v>1495</v>
      </c>
      <c r="C323" s="63" t="s">
        <v>105</v>
      </c>
      <c r="D323" s="63" t="s">
        <v>1595</v>
      </c>
      <c r="E323" s="63" t="s">
        <v>3183</v>
      </c>
      <c r="F323" s="63" t="s">
        <v>1597</v>
      </c>
      <c r="G323" s="63" t="s">
        <v>3184</v>
      </c>
      <c r="H323" s="63" t="s">
        <v>1619</v>
      </c>
      <c r="I323" s="63" t="s">
        <v>3185</v>
      </c>
      <c r="J323" s="63" t="s">
        <v>2718</v>
      </c>
      <c r="K323" s="63" t="s">
        <v>2121</v>
      </c>
      <c r="L323" s="63" t="s">
        <v>2268</v>
      </c>
      <c r="M323" s="63" t="s">
        <v>1812</v>
      </c>
      <c r="N323" s="63" t="s">
        <v>1595</v>
      </c>
      <c r="O323" s="63" t="s">
        <v>1604</v>
      </c>
      <c r="P323" s="63" t="s">
        <v>2269</v>
      </c>
      <c r="Q323" s="63" t="s">
        <v>3186</v>
      </c>
      <c r="R323" s="63" t="s">
        <v>3187</v>
      </c>
      <c r="S323" s="63" t="s">
        <v>1723</v>
      </c>
      <c r="T323" s="63"/>
      <c r="U323" s="63"/>
      <c r="V323" s="63"/>
      <c r="W323" s="63"/>
      <c r="X323" s="63"/>
      <c r="Y323" s="63"/>
      <c r="Z323" s="63"/>
    </row>
    <row r="324" spans="1:26" ht="15.75" customHeight="1" x14ac:dyDescent="0.25">
      <c r="A324" s="63" t="s">
        <v>1194</v>
      </c>
      <c r="B324" s="63" t="s">
        <v>3188</v>
      </c>
      <c r="C324" s="63" t="s">
        <v>3189</v>
      </c>
      <c r="D324" s="63" t="s">
        <v>1595</v>
      </c>
      <c r="E324" s="63" t="s">
        <v>2860</v>
      </c>
      <c r="F324" s="63" t="s">
        <v>1597</v>
      </c>
      <c r="G324" s="63" t="s">
        <v>3190</v>
      </c>
      <c r="H324" s="63" t="s">
        <v>3191</v>
      </c>
      <c r="I324" s="63" t="s">
        <v>1965</v>
      </c>
      <c r="J324" s="63" t="s">
        <v>646</v>
      </c>
      <c r="K324" s="63"/>
      <c r="L324" s="63" t="s">
        <v>2338</v>
      </c>
      <c r="M324" s="63" t="s">
        <v>1859</v>
      </c>
      <c r="N324" s="63" t="s">
        <v>1595</v>
      </c>
      <c r="O324" s="63" t="s">
        <v>1604</v>
      </c>
      <c r="P324" s="63" t="s">
        <v>1860</v>
      </c>
      <c r="Q324" s="63" t="s">
        <v>3192</v>
      </c>
      <c r="R324" s="63" t="s">
        <v>3193</v>
      </c>
      <c r="S324" s="63" t="s">
        <v>1633</v>
      </c>
      <c r="T324" s="63"/>
      <c r="U324" s="63"/>
      <c r="V324" s="63"/>
      <c r="W324" s="63"/>
      <c r="X324" s="63"/>
      <c r="Y324" s="63"/>
      <c r="Z324" s="63"/>
    </row>
    <row r="325" spans="1:26" ht="15.75" customHeight="1" x14ac:dyDescent="0.25">
      <c r="A325" s="63" t="s">
        <v>1196</v>
      </c>
      <c r="B325" s="63" t="s">
        <v>1305</v>
      </c>
      <c r="C325" s="63" t="s">
        <v>251</v>
      </c>
      <c r="D325" s="63" t="s">
        <v>1595</v>
      </c>
      <c r="E325" s="63" t="s">
        <v>3194</v>
      </c>
      <c r="F325" s="63" t="s">
        <v>1597</v>
      </c>
      <c r="G325" s="63" t="s">
        <v>2452</v>
      </c>
      <c r="H325" s="63" t="s">
        <v>1610</v>
      </c>
      <c r="I325" s="63" t="s">
        <v>3195</v>
      </c>
      <c r="J325" s="63" t="s">
        <v>3088</v>
      </c>
      <c r="K325" s="63" t="s">
        <v>2121</v>
      </c>
      <c r="L325" s="63" t="s">
        <v>1785</v>
      </c>
      <c r="M325" s="63" t="s">
        <v>1785</v>
      </c>
      <c r="N325" s="63" t="s">
        <v>1595</v>
      </c>
      <c r="O325" s="63" t="s">
        <v>1604</v>
      </c>
      <c r="P325" s="63" t="s">
        <v>5062</v>
      </c>
      <c r="Q325" s="63" t="s">
        <v>3196</v>
      </c>
      <c r="R325" s="63" t="s">
        <v>3197</v>
      </c>
      <c r="S325" s="63" t="s">
        <v>1633</v>
      </c>
      <c r="T325" s="63"/>
      <c r="U325" s="63"/>
      <c r="V325" s="63"/>
      <c r="W325" s="63"/>
      <c r="X325" s="63"/>
      <c r="Y325" s="63"/>
      <c r="Z325" s="63"/>
    </row>
    <row r="326" spans="1:26" ht="15.75" customHeight="1" x14ac:dyDescent="0.25">
      <c r="A326" s="63" t="s">
        <v>1198</v>
      </c>
      <c r="B326" s="63" t="s">
        <v>1203</v>
      </c>
      <c r="C326" s="63" t="s">
        <v>202</v>
      </c>
      <c r="D326" s="63" t="s">
        <v>1595</v>
      </c>
      <c r="E326" s="63" t="s">
        <v>3035</v>
      </c>
      <c r="F326" s="63" t="s">
        <v>1597</v>
      </c>
      <c r="G326" s="63" t="s">
        <v>3198</v>
      </c>
      <c r="H326" s="63" t="s">
        <v>2938</v>
      </c>
      <c r="I326" s="63" t="s">
        <v>3199</v>
      </c>
      <c r="J326" s="63" t="s">
        <v>3072</v>
      </c>
      <c r="K326" s="63" t="s">
        <v>2121</v>
      </c>
      <c r="L326" s="63" t="s">
        <v>1822</v>
      </c>
      <c r="M326" s="63" t="s">
        <v>1613</v>
      </c>
      <c r="N326" s="63" t="s">
        <v>1595</v>
      </c>
      <c r="O326" s="63" t="s">
        <v>1604</v>
      </c>
      <c r="P326" s="63" t="s">
        <v>1701</v>
      </c>
      <c r="Q326" s="63" t="s">
        <v>3200</v>
      </c>
      <c r="R326" s="63" t="s">
        <v>3201</v>
      </c>
      <c r="S326" s="63" t="s">
        <v>1633</v>
      </c>
      <c r="T326" s="63"/>
      <c r="U326" s="63"/>
      <c r="V326" s="63"/>
      <c r="W326" s="63"/>
      <c r="X326" s="63"/>
      <c r="Y326" s="63"/>
      <c r="Z326" s="63"/>
    </row>
    <row r="327" spans="1:26" ht="15.75" customHeight="1" x14ac:dyDescent="0.25">
      <c r="A327" s="63" t="s">
        <v>1200</v>
      </c>
      <c r="B327" s="63" t="s">
        <v>1195</v>
      </c>
      <c r="C327" s="63" t="s">
        <v>197</v>
      </c>
      <c r="D327" s="63" t="s">
        <v>1595</v>
      </c>
      <c r="E327" s="63" t="s">
        <v>3202</v>
      </c>
      <c r="F327" s="63" t="s">
        <v>1597</v>
      </c>
      <c r="G327" s="63" t="s">
        <v>3203</v>
      </c>
      <c r="H327" s="63" t="s">
        <v>1610</v>
      </c>
      <c r="I327" s="63" t="s">
        <v>3204</v>
      </c>
      <c r="J327" s="63" t="s">
        <v>562</v>
      </c>
      <c r="K327" s="63" t="s">
        <v>1601</v>
      </c>
      <c r="L327" s="63" t="s">
        <v>1750</v>
      </c>
      <c r="M327" s="63" t="s">
        <v>1687</v>
      </c>
      <c r="N327" s="63" t="s">
        <v>1595</v>
      </c>
      <c r="O327" s="63" t="s">
        <v>1604</v>
      </c>
      <c r="P327" s="63" t="s">
        <v>1751</v>
      </c>
      <c r="Q327" s="63" t="s">
        <v>3205</v>
      </c>
      <c r="R327" s="63" t="s">
        <v>3206</v>
      </c>
      <c r="S327" s="63" t="s">
        <v>1633</v>
      </c>
      <c r="T327" s="63"/>
      <c r="U327" s="63"/>
      <c r="V327" s="63"/>
      <c r="W327" s="63"/>
      <c r="X327" s="63"/>
      <c r="Y327" s="63"/>
      <c r="Z327" s="63"/>
    </row>
    <row r="328" spans="1:26" ht="15.75" customHeight="1" x14ac:dyDescent="0.25">
      <c r="A328" s="63" t="s">
        <v>1202</v>
      </c>
      <c r="B328" s="63" t="s">
        <v>857</v>
      </c>
      <c r="C328" s="63" t="s">
        <v>343</v>
      </c>
      <c r="D328" s="63" t="s">
        <v>1595</v>
      </c>
      <c r="E328" s="63" t="s">
        <v>3207</v>
      </c>
      <c r="F328" s="63" t="s">
        <v>1597</v>
      </c>
      <c r="G328" s="63" t="s">
        <v>3208</v>
      </c>
      <c r="H328" s="63" t="s">
        <v>1627</v>
      </c>
      <c r="I328" s="63" t="s">
        <v>3209</v>
      </c>
      <c r="J328" s="63" t="s">
        <v>556</v>
      </c>
      <c r="K328" s="63" t="s">
        <v>1601</v>
      </c>
      <c r="L328" s="63" t="s">
        <v>1784</v>
      </c>
      <c r="M328" s="63" t="s">
        <v>1785</v>
      </c>
      <c r="N328" s="63" t="s">
        <v>1595</v>
      </c>
      <c r="O328" s="63" t="s">
        <v>1604</v>
      </c>
      <c r="P328" s="63" t="s">
        <v>1795</v>
      </c>
      <c r="Q328" s="63" t="s">
        <v>3210</v>
      </c>
      <c r="R328" s="63" t="s">
        <v>3211</v>
      </c>
      <c r="S328" s="63" t="s">
        <v>1616</v>
      </c>
      <c r="T328" s="63"/>
      <c r="U328" s="63"/>
      <c r="V328" s="63"/>
      <c r="W328" s="63"/>
      <c r="X328" s="63"/>
      <c r="Y328" s="63"/>
      <c r="Z328" s="63"/>
    </row>
    <row r="329" spans="1:26" ht="15.75" customHeight="1" x14ac:dyDescent="0.25">
      <c r="A329" s="63" t="s">
        <v>1204</v>
      </c>
      <c r="B329" s="63" t="s">
        <v>1441</v>
      </c>
      <c r="C329" s="63" t="s">
        <v>78</v>
      </c>
      <c r="D329" s="63" t="s">
        <v>2942</v>
      </c>
      <c r="E329" s="63" t="s">
        <v>3212</v>
      </c>
      <c r="F329" s="63" t="s">
        <v>1597</v>
      </c>
      <c r="G329" s="63" t="s">
        <v>3213</v>
      </c>
      <c r="H329" s="63" t="s">
        <v>1627</v>
      </c>
      <c r="I329" s="63" t="s">
        <v>3214</v>
      </c>
      <c r="J329" s="63" t="s">
        <v>552</v>
      </c>
      <c r="K329" s="63" t="s">
        <v>1601</v>
      </c>
      <c r="L329" s="63" t="s">
        <v>1637</v>
      </c>
      <c r="M329" s="63" t="s">
        <v>1595</v>
      </c>
      <c r="N329" s="63" t="s">
        <v>1595</v>
      </c>
      <c r="O329" s="63" t="s">
        <v>1604</v>
      </c>
      <c r="P329" s="63" t="s">
        <v>3215</v>
      </c>
      <c r="Q329" s="63" t="s">
        <v>3216</v>
      </c>
      <c r="R329" s="63" t="s">
        <v>3217</v>
      </c>
      <c r="S329" s="63" t="s">
        <v>1723</v>
      </c>
      <c r="T329" s="63"/>
      <c r="U329" s="63"/>
      <c r="V329" s="63"/>
      <c r="W329" s="63"/>
      <c r="X329" s="63"/>
      <c r="Y329" s="63"/>
      <c r="Z329" s="63"/>
    </row>
    <row r="330" spans="1:26" ht="15.75" customHeight="1" x14ac:dyDescent="0.25">
      <c r="A330" s="63" t="s">
        <v>1206</v>
      </c>
      <c r="B330" s="63" t="s">
        <v>3218</v>
      </c>
      <c r="C330" s="63" t="s">
        <v>3219</v>
      </c>
      <c r="D330" s="63" t="s">
        <v>1595</v>
      </c>
      <c r="E330" s="63" t="s">
        <v>2502</v>
      </c>
      <c r="F330" s="63" t="s">
        <v>1597</v>
      </c>
      <c r="G330" s="63" t="s">
        <v>3220</v>
      </c>
      <c r="H330" s="63" t="s">
        <v>1610</v>
      </c>
      <c r="I330" s="63" t="s">
        <v>1842</v>
      </c>
      <c r="J330" s="63" t="s">
        <v>2718</v>
      </c>
      <c r="K330" s="63"/>
      <c r="L330" s="63" t="s">
        <v>1706</v>
      </c>
      <c r="M330" s="63" t="s">
        <v>1696</v>
      </c>
      <c r="N330" s="63" t="s">
        <v>1595</v>
      </c>
      <c r="O330" s="63" t="s">
        <v>1604</v>
      </c>
      <c r="P330" s="63" t="s">
        <v>1817</v>
      </c>
      <c r="Q330" s="63" t="s">
        <v>3221</v>
      </c>
      <c r="R330" s="63" t="s">
        <v>3222</v>
      </c>
      <c r="S330" s="63" t="s">
        <v>1633</v>
      </c>
      <c r="T330" s="63"/>
      <c r="U330" s="63"/>
      <c r="V330" s="63"/>
      <c r="W330" s="63"/>
      <c r="X330" s="63"/>
      <c r="Y330" s="63"/>
      <c r="Z330" s="63"/>
    </row>
    <row r="331" spans="1:26" ht="15.75" customHeight="1" x14ac:dyDescent="0.25">
      <c r="A331" s="63" t="s">
        <v>1208</v>
      </c>
      <c r="B331" s="63" t="s">
        <v>1477</v>
      </c>
      <c r="C331" s="63" t="s">
        <v>96</v>
      </c>
      <c r="D331" s="63" t="s">
        <v>1595</v>
      </c>
      <c r="E331" s="63" t="s">
        <v>3223</v>
      </c>
      <c r="F331" s="63" t="s">
        <v>1597</v>
      </c>
      <c r="G331" s="63" t="s">
        <v>3224</v>
      </c>
      <c r="H331" s="63" t="s">
        <v>1610</v>
      </c>
      <c r="I331" s="63" t="s">
        <v>3139</v>
      </c>
      <c r="J331" s="63" t="s">
        <v>648</v>
      </c>
      <c r="K331" s="63" t="s">
        <v>1601</v>
      </c>
      <c r="L331" s="63" t="s">
        <v>1695</v>
      </c>
      <c r="M331" s="63" t="s">
        <v>1696</v>
      </c>
      <c r="N331" s="63" t="s">
        <v>1595</v>
      </c>
      <c r="O331" s="63" t="s">
        <v>1604</v>
      </c>
      <c r="P331" s="63" t="s">
        <v>3225</v>
      </c>
      <c r="Q331" s="63" t="s">
        <v>3226</v>
      </c>
      <c r="R331" s="63" t="s">
        <v>3227</v>
      </c>
      <c r="S331" s="63" t="s">
        <v>1723</v>
      </c>
      <c r="T331" s="63"/>
      <c r="U331" s="63"/>
      <c r="V331" s="63"/>
      <c r="W331" s="63"/>
      <c r="X331" s="63"/>
      <c r="Y331" s="63"/>
      <c r="Z331" s="63"/>
    </row>
    <row r="332" spans="1:26" ht="15.75" customHeight="1" x14ac:dyDescent="0.25">
      <c r="A332" s="63" t="s">
        <v>1210</v>
      </c>
      <c r="B332" s="63" t="s">
        <v>841</v>
      </c>
      <c r="C332" s="63" t="s">
        <v>336</v>
      </c>
      <c r="D332" s="63" t="s">
        <v>1595</v>
      </c>
      <c r="E332" s="63" t="s">
        <v>3228</v>
      </c>
      <c r="F332" s="63" t="s">
        <v>1597</v>
      </c>
      <c r="G332" s="63" t="s">
        <v>3229</v>
      </c>
      <c r="H332" s="63" t="s">
        <v>1927</v>
      </c>
      <c r="I332" s="63" t="s">
        <v>2956</v>
      </c>
      <c r="J332" s="63" t="s">
        <v>572</v>
      </c>
      <c r="K332" s="63" t="s">
        <v>1601</v>
      </c>
      <c r="L332" s="63" t="s">
        <v>2100</v>
      </c>
      <c r="M332" s="63" t="s">
        <v>1630</v>
      </c>
      <c r="N332" s="63" t="s">
        <v>1595</v>
      </c>
      <c r="O332" s="63" t="s">
        <v>1604</v>
      </c>
      <c r="P332" s="63" t="s">
        <v>2892</v>
      </c>
      <c r="Q332" s="63" t="s">
        <v>3230</v>
      </c>
      <c r="R332" s="63" t="s">
        <v>3231</v>
      </c>
      <c r="S332" s="63" t="s">
        <v>1616</v>
      </c>
      <c r="T332" s="63"/>
      <c r="U332" s="63"/>
      <c r="V332" s="63"/>
      <c r="W332" s="63"/>
      <c r="X332" s="63"/>
      <c r="Y332" s="63"/>
      <c r="Z332" s="63"/>
    </row>
    <row r="333" spans="1:26" ht="15.75" customHeight="1" x14ac:dyDescent="0.25">
      <c r="A333" s="63" t="s">
        <v>1212</v>
      </c>
      <c r="B333" s="63" t="s">
        <v>925</v>
      </c>
      <c r="C333" s="63" t="s">
        <v>5052</v>
      </c>
      <c r="D333" s="63" t="s">
        <v>1595</v>
      </c>
      <c r="E333" s="63" t="s">
        <v>3232</v>
      </c>
      <c r="F333" s="63" t="s">
        <v>1597</v>
      </c>
      <c r="G333" s="63" t="s">
        <v>3233</v>
      </c>
      <c r="H333" s="63" t="s">
        <v>1627</v>
      </c>
      <c r="I333" s="63" t="s">
        <v>3001</v>
      </c>
      <c r="J333" s="63" t="s">
        <v>2718</v>
      </c>
      <c r="K333" s="63"/>
      <c r="L333" s="63" t="s">
        <v>2144</v>
      </c>
      <c r="M333" s="63" t="s">
        <v>2145</v>
      </c>
      <c r="N333" s="63" t="s">
        <v>1595</v>
      </c>
      <c r="O333" s="63" t="s">
        <v>1604</v>
      </c>
      <c r="P333" s="63" t="s">
        <v>2526</v>
      </c>
      <c r="Q333" s="63" t="s">
        <v>3234</v>
      </c>
      <c r="R333" s="63" t="s">
        <v>3234</v>
      </c>
      <c r="S333" s="63" t="s">
        <v>1633</v>
      </c>
      <c r="T333" s="63"/>
      <c r="U333" s="63"/>
      <c r="V333" s="63"/>
      <c r="W333" s="63"/>
      <c r="X333" s="63"/>
      <c r="Y333" s="63"/>
      <c r="Z333" s="63"/>
    </row>
    <row r="334" spans="1:26" ht="15.75" customHeight="1" x14ac:dyDescent="0.25">
      <c r="A334" s="63" t="s">
        <v>1214</v>
      </c>
      <c r="B334" s="63" t="s">
        <v>3235</v>
      </c>
      <c r="C334" s="63" t="s">
        <v>3236</v>
      </c>
      <c r="D334" s="63" t="s">
        <v>1595</v>
      </c>
      <c r="E334" s="63" t="s">
        <v>3237</v>
      </c>
      <c r="F334" s="63" t="s">
        <v>1597</v>
      </c>
      <c r="G334" s="63" t="s">
        <v>3238</v>
      </c>
      <c r="H334" s="63" t="s">
        <v>1610</v>
      </c>
      <c r="I334" s="63" t="s">
        <v>3239</v>
      </c>
      <c r="J334" s="63" t="s">
        <v>2225</v>
      </c>
      <c r="K334" s="63"/>
      <c r="L334" s="63" t="s">
        <v>2166</v>
      </c>
      <c r="M334" s="63" t="s">
        <v>1603</v>
      </c>
      <c r="N334" s="63" t="s">
        <v>1595</v>
      </c>
      <c r="O334" s="63" t="s">
        <v>1604</v>
      </c>
      <c r="P334" s="63" t="s">
        <v>1605</v>
      </c>
      <c r="Q334" s="63" t="s">
        <v>3240</v>
      </c>
      <c r="R334" s="63" t="s">
        <v>3241</v>
      </c>
      <c r="S334" s="63" t="s">
        <v>1616</v>
      </c>
      <c r="T334" s="63"/>
      <c r="U334" s="63"/>
      <c r="V334" s="63"/>
      <c r="W334" s="63"/>
      <c r="X334" s="63"/>
      <c r="Y334" s="63"/>
      <c r="Z334" s="63"/>
    </row>
    <row r="335" spans="1:26" ht="15.75" customHeight="1" x14ac:dyDescent="0.25">
      <c r="A335" s="63" t="s">
        <v>1216</v>
      </c>
      <c r="B335" s="63" t="s">
        <v>835</v>
      </c>
      <c r="C335" s="63" t="s">
        <v>333</v>
      </c>
      <c r="D335" s="63" t="s">
        <v>1595</v>
      </c>
      <c r="E335" s="63" t="s">
        <v>3013</v>
      </c>
      <c r="F335" s="63" t="s">
        <v>1597</v>
      </c>
      <c r="G335" s="63" t="s">
        <v>2038</v>
      </c>
      <c r="H335" s="63" t="s">
        <v>3242</v>
      </c>
      <c r="I335" s="63" t="s">
        <v>5043</v>
      </c>
      <c r="J335" s="63" t="s">
        <v>562</v>
      </c>
      <c r="K335" s="63"/>
      <c r="L335" s="63" t="s">
        <v>2166</v>
      </c>
      <c r="M335" s="63" t="s">
        <v>1603</v>
      </c>
      <c r="N335" s="63" t="s">
        <v>1595</v>
      </c>
      <c r="O335" s="63" t="s">
        <v>1604</v>
      </c>
      <c r="P335" s="63" t="s">
        <v>1823</v>
      </c>
      <c r="Q335" s="63" t="s">
        <v>3243</v>
      </c>
      <c r="R335" s="63" t="s">
        <v>3244</v>
      </c>
      <c r="S335" s="63" t="s">
        <v>1616</v>
      </c>
      <c r="T335" s="63"/>
      <c r="U335" s="63"/>
      <c r="V335" s="63"/>
      <c r="W335" s="63"/>
      <c r="X335" s="63"/>
      <c r="Y335" s="63"/>
      <c r="Z335" s="63"/>
    </row>
    <row r="336" spans="1:26" ht="15.75" customHeight="1" x14ac:dyDescent="0.25">
      <c r="A336" s="63" t="s">
        <v>1218</v>
      </c>
      <c r="B336" s="63" t="s">
        <v>627</v>
      </c>
      <c r="C336" s="63" t="s">
        <v>482</v>
      </c>
      <c r="D336" s="63" t="s">
        <v>1595</v>
      </c>
      <c r="E336" s="63" t="s">
        <v>3101</v>
      </c>
      <c r="F336" s="63" t="s">
        <v>1597</v>
      </c>
      <c r="G336" s="63" t="s">
        <v>3245</v>
      </c>
      <c r="H336" s="63" t="s">
        <v>1619</v>
      </c>
      <c r="I336" s="63" t="s">
        <v>3246</v>
      </c>
      <c r="J336" s="63" t="s">
        <v>562</v>
      </c>
      <c r="K336" s="63" t="s">
        <v>1601</v>
      </c>
      <c r="L336" s="63" t="s">
        <v>1621</v>
      </c>
      <c r="M336" s="63" t="s">
        <v>1622</v>
      </c>
      <c r="N336" s="63" t="s">
        <v>1595</v>
      </c>
      <c r="O336" s="63" t="s">
        <v>1604</v>
      </c>
      <c r="P336" s="63" t="s">
        <v>2352</v>
      </c>
      <c r="Q336" s="63" t="s">
        <v>3247</v>
      </c>
      <c r="R336" s="63" t="s">
        <v>3248</v>
      </c>
      <c r="S336" s="63" t="s">
        <v>1607</v>
      </c>
      <c r="T336" s="63"/>
      <c r="U336" s="63"/>
      <c r="V336" s="63"/>
      <c r="W336" s="63"/>
      <c r="X336" s="63"/>
      <c r="Y336" s="63"/>
      <c r="Z336" s="63"/>
    </row>
    <row r="337" spans="1:26" ht="15.75" customHeight="1" x14ac:dyDescent="0.25">
      <c r="A337" s="63" t="s">
        <v>1220</v>
      </c>
      <c r="B337" s="63" t="s">
        <v>629</v>
      </c>
      <c r="C337" s="63" t="s">
        <v>483</v>
      </c>
      <c r="D337" s="63" t="s">
        <v>1595</v>
      </c>
      <c r="E337" s="63" t="s">
        <v>3101</v>
      </c>
      <c r="F337" s="63" t="s">
        <v>1597</v>
      </c>
      <c r="G337" s="63" t="s">
        <v>3245</v>
      </c>
      <c r="H337" s="63" t="s">
        <v>3176</v>
      </c>
      <c r="I337" s="63" t="s">
        <v>3246</v>
      </c>
      <c r="J337" s="63" t="s">
        <v>2547</v>
      </c>
      <c r="K337" s="63"/>
      <c r="L337" s="63" t="s">
        <v>1621</v>
      </c>
      <c r="M337" s="63" t="s">
        <v>1622</v>
      </c>
      <c r="N337" s="63" t="s">
        <v>1595</v>
      </c>
      <c r="O337" s="63" t="s">
        <v>1604</v>
      </c>
      <c r="P337" s="63" t="s">
        <v>5063</v>
      </c>
      <c r="Q337" s="63" t="s">
        <v>3247</v>
      </c>
      <c r="R337" s="63" t="s">
        <v>3249</v>
      </c>
      <c r="S337" s="63" t="s">
        <v>1607</v>
      </c>
      <c r="T337" s="63"/>
      <c r="U337" s="63"/>
      <c r="V337" s="63"/>
      <c r="W337" s="63"/>
      <c r="X337" s="63"/>
      <c r="Y337" s="63"/>
      <c r="Z337" s="63"/>
    </row>
    <row r="338" spans="1:26" ht="15.75" customHeight="1" x14ac:dyDescent="0.25">
      <c r="A338" s="63" t="s">
        <v>1222</v>
      </c>
      <c r="B338" s="63" t="s">
        <v>1467</v>
      </c>
      <c r="C338" s="63" t="s">
        <v>91</v>
      </c>
      <c r="D338" s="63" t="s">
        <v>1595</v>
      </c>
      <c r="E338" s="63" t="s">
        <v>3250</v>
      </c>
      <c r="F338" s="63" t="s">
        <v>1597</v>
      </c>
      <c r="G338" s="63" t="s">
        <v>3251</v>
      </c>
      <c r="H338" s="63" t="s">
        <v>1619</v>
      </c>
      <c r="I338" s="63" t="s">
        <v>3252</v>
      </c>
      <c r="J338" s="63" t="s">
        <v>3072</v>
      </c>
      <c r="K338" s="63" t="s">
        <v>2121</v>
      </c>
      <c r="L338" s="63" t="s">
        <v>2282</v>
      </c>
      <c r="M338" s="63" t="s">
        <v>2283</v>
      </c>
      <c r="N338" s="63" t="s">
        <v>1595</v>
      </c>
      <c r="O338" s="63" t="s">
        <v>1604</v>
      </c>
      <c r="P338" s="63" t="s">
        <v>2134</v>
      </c>
      <c r="Q338" s="63" t="s">
        <v>3253</v>
      </c>
      <c r="R338" s="63" t="s">
        <v>3253</v>
      </c>
      <c r="S338" s="63" t="s">
        <v>1633</v>
      </c>
      <c r="T338" s="63"/>
      <c r="U338" s="63"/>
      <c r="V338" s="63"/>
      <c r="W338" s="63"/>
      <c r="X338" s="63"/>
      <c r="Y338" s="63"/>
      <c r="Z338" s="63"/>
    </row>
    <row r="339" spans="1:26" ht="15.75" customHeight="1" x14ac:dyDescent="0.25">
      <c r="A339" s="63" t="s">
        <v>1224</v>
      </c>
      <c r="B339" s="63" t="s">
        <v>1085</v>
      </c>
      <c r="C339" s="63" t="s">
        <v>144</v>
      </c>
      <c r="D339" s="63" t="s">
        <v>1595</v>
      </c>
      <c r="E339" s="63" t="s">
        <v>2834</v>
      </c>
      <c r="F339" s="63" t="s">
        <v>1597</v>
      </c>
      <c r="G339" s="63" t="s">
        <v>3254</v>
      </c>
      <c r="H339" s="63" t="s">
        <v>2938</v>
      </c>
      <c r="I339" s="63" t="s">
        <v>3255</v>
      </c>
      <c r="J339" s="63" t="s">
        <v>600</v>
      </c>
      <c r="K339" s="63"/>
      <c r="L339" s="63" t="s">
        <v>2338</v>
      </c>
      <c r="M339" s="63" t="s">
        <v>1859</v>
      </c>
      <c r="N339" s="63" t="s">
        <v>1595</v>
      </c>
      <c r="O339" s="63" t="s">
        <v>1604</v>
      </c>
      <c r="P339" s="63" t="s">
        <v>2352</v>
      </c>
      <c r="Q339" s="63" t="s">
        <v>3256</v>
      </c>
      <c r="R339" s="63" t="s">
        <v>3257</v>
      </c>
      <c r="S339" s="63" t="s">
        <v>1633</v>
      </c>
      <c r="T339" s="63"/>
      <c r="U339" s="63"/>
      <c r="V339" s="63"/>
      <c r="W339" s="63"/>
      <c r="X339" s="63"/>
      <c r="Y339" s="63"/>
      <c r="Z339" s="63"/>
    </row>
    <row r="340" spans="1:26" ht="15.75" customHeight="1" x14ac:dyDescent="0.25">
      <c r="A340" s="63" t="s">
        <v>1226</v>
      </c>
      <c r="B340" s="63" t="s">
        <v>1163</v>
      </c>
      <c r="C340" s="63" t="s">
        <v>182</v>
      </c>
      <c r="D340" s="63" t="s">
        <v>1595</v>
      </c>
      <c r="E340" s="63" t="s">
        <v>3258</v>
      </c>
      <c r="F340" s="63" t="s">
        <v>1597</v>
      </c>
      <c r="G340" s="63" t="s">
        <v>2421</v>
      </c>
      <c r="H340" s="63" t="s">
        <v>1610</v>
      </c>
      <c r="I340" s="63" t="s">
        <v>3259</v>
      </c>
      <c r="J340" s="63" t="s">
        <v>570</v>
      </c>
      <c r="K340" s="63"/>
      <c r="L340" s="63" t="s">
        <v>2166</v>
      </c>
      <c r="M340" s="63" t="s">
        <v>1603</v>
      </c>
      <c r="N340" s="63" t="s">
        <v>1595</v>
      </c>
      <c r="O340" s="63" t="s">
        <v>1604</v>
      </c>
      <c r="P340" s="63" t="s">
        <v>1790</v>
      </c>
      <c r="Q340" s="63" t="s">
        <v>3260</v>
      </c>
      <c r="R340" s="63" t="s">
        <v>3261</v>
      </c>
      <c r="S340" s="63" t="s">
        <v>1616</v>
      </c>
      <c r="T340" s="63"/>
      <c r="U340" s="63"/>
      <c r="V340" s="63"/>
      <c r="W340" s="63"/>
      <c r="X340" s="63"/>
      <c r="Y340" s="63"/>
      <c r="Z340" s="63"/>
    </row>
    <row r="341" spans="1:26" ht="15.75" customHeight="1" x14ac:dyDescent="0.25">
      <c r="A341" s="63" t="s">
        <v>1228</v>
      </c>
      <c r="B341" s="63" t="s">
        <v>1349</v>
      </c>
      <c r="C341" s="63" t="s">
        <v>272</v>
      </c>
      <c r="D341" s="63" t="s">
        <v>1595</v>
      </c>
      <c r="E341" s="63" t="s">
        <v>3262</v>
      </c>
      <c r="F341" s="63" t="s">
        <v>1597</v>
      </c>
      <c r="G341" s="63" t="s">
        <v>3263</v>
      </c>
      <c r="H341" s="63" t="s">
        <v>1610</v>
      </c>
      <c r="I341" s="63" t="s">
        <v>3264</v>
      </c>
      <c r="J341" s="63" t="s">
        <v>554</v>
      </c>
      <c r="K341" s="63" t="s">
        <v>1601</v>
      </c>
      <c r="L341" s="63" t="s">
        <v>1920</v>
      </c>
      <c r="M341" s="63" t="s">
        <v>1812</v>
      </c>
      <c r="N341" s="63" t="s">
        <v>1595</v>
      </c>
      <c r="O341" s="63" t="s">
        <v>1604</v>
      </c>
      <c r="P341" s="63" t="s">
        <v>1790</v>
      </c>
      <c r="Q341" s="63" t="s">
        <v>3265</v>
      </c>
      <c r="R341" s="63" t="s">
        <v>3266</v>
      </c>
      <c r="S341" s="63" t="s">
        <v>1633</v>
      </c>
      <c r="T341" s="63"/>
      <c r="U341" s="63"/>
      <c r="V341" s="63"/>
      <c r="W341" s="63"/>
      <c r="X341" s="63"/>
      <c r="Y341" s="63"/>
      <c r="Z341" s="63"/>
    </row>
    <row r="342" spans="1:26" ht="15.75" customHeight="1" x14ac:dyDescent="0.25">
      <c r="A342" s="63" t="s">
        <v>1230</v>
      </c>
      <c r="B342" s="63" t="s">
        <v>1025</v>
      </c>
      <c r="C342" s="63" t="s">
        <v>423</v>
      </c>
      <c r="D342" s="63" t="s">
        <v>1595</v>
      </c>
      <c r="E342" s="63" t="s">
        <v>3267</v>
      </c>
      <c r="F342" s="63" t="s">
        <v>1597</v>
      </c>
      <c r="G342" s="63" t="s">
        <v>3268</v>
      </c>
      <c r="H342" s="63" t="s">
        <v>1610</v>
      </c>
      <c r="I342" s="63" t="s">
        <v>3269</v>
      </c>
      <c r="J342" s="63" t="s">
        <v>552</v>
      </c>
      <c r="K342" s="63" t="s">
        <v>1601</v>
      </c>
      <c r="L342" s="63" t="s">
        <v>1938</v>
      </c>
      <c r="M342" s="63" t="s">
        <v>1603</v>
      </c>
      <c r="N342" s="63" t="s">
        <v>1595</v>
      </c>
      <c r="O342" s="63" t="s">
        <v>1604</v>
      </c>
      <c r="P342" s="63" t="s">
        <v>2579</v>
      </c>
      <c r="Q342" s="63" t="s">
        <v>3270</v>
      </c>
      <c r="R342" s="63" t="s">
        <v>3271</v>
      </c>
      <c r="S342" s="63" t="s">
        <v>1616</v>
      </c>
      <c r="T342" s="63"/>
      <c r="U342" s="63"/>
      <c r="V342" s="63"/>
      <c r="W342" s="63"/>
      <c r="X342" s="63"/>
      <c r="Y342" s="63"/>
      <c r="Z342" s="63"/>
    </row>
    <row r="343" spans="1:26" ht="15.75" customHeight="1" x14ac:dyDescent="0.25">
      <c r="A343" s="63" t="s">
        <v>1232</v>
      </c>
      <c r="B343" s="63" t="s">
        <v>1117</v>
      </c>
      <c r="C343" s="63" t="s">
        <v>160</v>
      </c>
      <c r="D343" s="63" t="s">
        <v>1595</v>
      </c>
      <c r="E343" s="63" t="s">
        <v>3272</v>
      </c>
      <c r="F343" s="63" t="s">
        <v>1597</v>
      </c>
      <c r="G343" s="63" t="s">
        <v>3273</v>
      </c>
      <c r="H343" s="63" t="s">
        <v>1610</v>
      </c>
      <c r="I343" s="63" t="s">
        <v>1630</v>
      </c>
      <c r="J343" s="63" t="s">
        <v>566</v>
      </c>
      <c r="K343" s="63" t="s">
        <v>1601</v>
      </c>
      <c r="L343" s="63" t="s">
        <v>2320</v>
      </c>
      <c r="M343" s="63" t="s">
        <v>1622</v>
      </c>
      <c r="N343" s="63" t="s">
        <v>1595</v>
      </c>
      <c r="O343" s="63" t="s">
        <v>1604</v>
      </c>
      <c r="P343" s="63" t="s">
        <v>2378</v>
      </c>
      <c r="Q343" s="63" t="s">
        <v>3274</v>
      </c>
      <c r="R343" s="63" t="s">
        <v>2121</v>
      </c>
      <c r="S343" s="63" t="s">
        <v>1633</v>
      </c>
      <c r="T343" s="63"/>
      <c r="U343" s="63"/>
      <c r="V343" s="63"/>
      <c r="W343" s="63"/>
      <c r="X343" s="63"/>
      <c r="Y343" s="63"/>
      <c r="Z343" s="63"/>
    </row>
    <row r="344" spans="1:26" ht="15.75" customHeight="1" x14ac:dyDescent="0.25">
      <c r="A344" s="63" t="s">
        <v>1234</v>
      </c>
      <c r="B344" s="63" t="s">
        <v>1095</v>
      </c>
      <c r="C344" s="63" t="s">
        <v>149</v>
      </c>
      <c r="D344" s="63" t="s">
        <v>1595</v>
      </c>
      <c r="E344" s="63" t="s">
        <v>1904</v>
      </c>
      <c r="F344" s="63" t="s">
        <v>1597</v>
      </c>
      <c r="G344" s="63" t="s">
        <v>3275</v>
      </c>
      <c r="H344" s="63" t="s">
        <v>1619</v>
      </c>
      <c r="I344" s="63" t="s">
        <v>3276</v>
      </c>
      <c r="J344" s="63" t="s">
        <v>552</v>
      </c>
      <c r="K344" s="63" t="s">
        <v>1601</v>
      </c>
      <c r="L344" s="63" t="s">
        <v>1602</v>
      </c>
      <c r="M344" s="63" t="s">
        <v>1603</v>
      </c>
      <c r="N344" s="63" t="s">
        <v>1595</v>
      </c>
      <c r="O344" s="63" t="s">
        <v>1604</v>
      </c>
      <c r="P344" s="63" t="s">
        <v>3277</v>
      </c>
      <c r="Q344" s="63" t="s">
        <v>3278</v>
      </c>
      <c r="R344" s="63" t="s">
        <v>3279</v>
      </c>
      <c r="S344" s="63" t="s">
        <v>1633</v>
      </c>
      <c r="T344" s="63"/>
      <c r="U344" s="63"/>
      <c r="V344" s="63"/>
      <c r="W344" s="63"/>
      <c r="X344" s="63"/>
      <c r="Y344" s="63"/>
      <c r="Z344" s="63"/>
    </row>
    <row r="345" spans="1:26" ht="15.75" customHeight="1" x14ac:dyDescent="0.25">
      <c r="A345" s="63" t="s">
        <v>1236</v>
      </c>
      <c r="B345" s="63" t="s">
        <v>921</v>
      </c>
      <c r="C345" s="63" t="s">
        <v>372</v>
      </c>
      <c r="D345" s="63" t="s">
        <v>1595</v>
      </c>
      <c r="E345" s="63" t="s">
        <v>2706</v>
      </c>
      <c r="F345" s="63" t="s">
        <v>1597</v>
      </c>
      <c r="G345" s="63" t="s">
        <v>3280</v>
      </c>
      <c r="H345" s="63" t="s">
        <v>3281</v>
      </c>
      <c r="I345" s="63" t="s">
        <v>3282</v>
      </c>
      <c r="J345" s="63" t="s">
        <v>660</v>
      </c>
      <c r="K345" s="63" t="s">
        <v>1601</v>
      </c>
      <c r="L345" s="63" t="s">
        <v>2065</v>
      </c>
      <c r="M345" s="63" t="s">
        <v>1622</v>
      </c>
      <c r="N345" s="63" t="s">
        <v>1595</v>
      </c>
      <c r="O345" s="63" t="s">
        <v>1604</v>
      </c>
      <c r="P345" s="63" t="s">
        <v>2095</v>
      </c>
      <c r="Q345" s="63" t="s">
        <v>3283</v>
      </c>
      <c r="R345" s="63" t="s">
        <v>3283</v>
      </c>
      <c r="S345" s="63" t="s">
        <v>1616</v>
      </c>
      <c r="T345" s="63"/>
      <c r="U345" s="63"/>
      <c r="V345" s="63"/>
      <c r="W345" s="63"/>
      <c r="X345" s="63"/>
      <c r="Y345" s="63"/>
      <c r="Z345" s="63"/>
    </row>
    <row r="346" spans="1:26" ht="15.75" customHeight="1" x14ac:dyDescent="0.25">
      <c r="A346" s="63" t="s">
        <v>1238</v>
      </c>
      <c r="B346" s="63" t="s">
        <v>949</v>
      </c>
      <c r="C346" s="63" t="s">
        <v>385</v>
      </c>
      <c r="D346" s="63" t="s">
        <v>3284</v>
      </c>
      <c r="E346" s="63" t="s">
        <v>3285</v>
      </c>
      <c r="F346" s="63" t="s">
        <v>1597</v>
      </c>
      <c r="G346" s="63" t="s">
        <v>3286</v>
      </c>
      <c r="H346" s="63" t="s">
        <v>1619</v>
      </c>
      <c r="I346" s="63" t="s">
        <v>3287</v>
      </c>
      <c r="J346" s="63" t="s">
        <v>2318</v>
      </c>
      <c r="K346" s="63" t="s">
        <v>2468</v>
      </c>
      <c r="L346" s="63" t="s">
        <v>1766</v>
      </c>
      <c r="M346" s="63" t="s">
        <v>1595</v>
      </c>
      <c r="N346" s="63" t="s">
        <v>1595</v>
      </c>
      <c r="O346" s="63" t="s">
        <v>1604</v>
      </c>
      <c r="P346" s="63" t="s">
        <v>1790</v>
      </c>
      <c r="Q346" s="63" t="s">
        <v>3288</v>
      </c>
      <c r="R346" s="63" t="s">
        <v>3289</v>
      </c>
      <c r="S346" s="63" t="s">
        <v>1616</v>
      </c>
      <c r="T346" s="63"/>
      <c r="U346" s="63"/>
      <c r="V346" s="63"/>
      <c r="W346" s="63"/>
      <c r="X346" s="63"/>
      <c r="Y346" s="63"/>
      <c r="Z346" s="63"/>
    </row>
    <row r="347" spans="1:26" ht="15.75" customHeight="1" x14ac:dyDescent="0.25">
      <c r="A347" s="63" t="s">
        <v>1240</v>
      </c>
      <c r="B347" s="63" t="s">
        <v>901</v>
      </c>
      <c r="C347" s="63" t="s">
        <v>363</v>
      </c>
      <c r="D347" s="63" t="s">
        <v>1885</v>
      </c>
      <c r="E347" s="63" t="s">
        <v>3290</v>
      </c>
      <c r="F347" s="63" t="s">
        <v>1597</v>
      </c>
      <c r="G347" s="63" t="s">
        <v>3291</v>
      </c>
      <c r="H347" s="63" t="s">
        <v>2938</v>
      </c>
      <c r="I347" s="63" t="s">
        <v>3292</v>
      </c>
      <c r="J347" s="63" t="s">
        <v>1601</v>
      </c>
      <c r="K347" s="63" t="s">
        <v>1601</v>
      </c>
      <c r="L347" s="63" t="s">
        <v>1938</v>
      </c>
      <c r="M347" s="63" t="s">
        <v>1603</v>
      </c>
      <c r="N347" s="63" t="s">
        <v>1595</v>
      </c>
      <c r="O347" s="63" t="s">
        <v>1604</v>
      </c>
      <c r="P347" s="63" t="s">
        <v>1939</v>
      </c>
      <c r="Q347" s="63" t="s">
        <v>3293</v>
      </c>
      <c r="R347" s="63" t="s">
        <v>3294</v>
      </c>
      <c r="S347" s="63" t="s">
        <v>1616</v>
      </c>
      <c r="T347" s="63"/>
      <c r="U347" s="63"/>
      <c r="V347" s="63"/>
      <c r="W347" s="63"/>
      <c r="X347" s="63"/>
      <c r="Y347" s="63"/>
      <c r="Z347" s="63"/>
    </row>
    <row r="348" spans="1:26" ht="15.75" customHeight="1" x14ac:dyDescent="0.25">
      <c r="A348" s="63" t="s">
        <v>1242</v>
      </c>
      <c r="B348" s="63" t="s">
        <v>785</v>
      </c>
      <c r="C348" s="63" t="s">
        <v>309</v>
      </c>
      <c r="D348" s="63" t="s">
        <v>1595</v>
      </c>
      <c r="E348" s="63" t="s">
        <v>3295</v>
      </c>
      <c r="F348" s="63" t="s">
        <v>1597</v>
      </c>
      <c r="G348" s="63" t="s">
        <v>3296</v>
      </c>
      <c r="H348" s="63" t="s">
        <v>1627</v>
      </c>
      <c r="I348" s="63" t="s">
        <v>2956</v>
      </c>
      <c r="J348" s="63" t="s">
        <v>614</v>
      </c>
      <c r="K348" s="63" t="s">
        <v>1601</v>
      </c>
      <c r="L348" s="63" t="s">
        <v>2065</v>
      </c>
      <c r="M348" s="63" t="s">
        <v>1622</v>
      </c>
      <c r="N348" s="63" t="s">
        <v>1595</v>
      </c>
      <c r="O348" s="63" t="s">
        <v>1604</v>
      </c>
      <c r="P348" s="63" t="s">
        <v>2108</v>
      </c>
      <c r="Q348" s="63" t="s">
        <v>3297</v>
      </c>
      <c r="R348" s="63" t="s">
        <v>3298</v>
      </c>
      <c r="S348" s="63" t="s">
        <v>1616</v>
      </c>
      <c r="T348" s="63"/>
      <c r="U348" s="63"/>
      <c r="V348" s="63"/>
      <c r="W348" s="63"/>
      <c r="X348" s="63"/>
      <c r="Y348" s="63"/>
      <c r="Z348" s="63"/>
    </row>
    <row r="349" spans="1:26" ht="15.75" customHeight="1" x14ac:dyDescent="0.25">
      <c r="A349" s="63" t="s">
        <v>1244</v>
      </c>
      <c r="B349" s="63" t="s">
        <v>613</v>
      </c>
      <c r="C349" s="63" t="s">
        <v>475</v>
      </c>
      <c r="D349" s="63" t="s">
        <v>1595</v>
      </c>
      <c r="E349" s="63" t="s">
        <v>3299</v>
      </c>
      <c r="F349" s="63" t="s">
        <v>1597</v>
      </c>
      <c r="G349" s="63" t="s">
        <v>3300</v>
      </c>
      <c r="H349" s="63" t="s">
        <v>1888</v>
      </c>
      <c r="I349" s="63" t="s">
        <v>3124</v>
      </c>
      <c r="J349" s="63" t="s">
        <v>560</v>
      </c>
      <c r="K349" s="63" t="s">
        <v>1601</v>
      </c>
      <c r="L349" s="63" t="s">
        <v>1785</v>
      </c>
      <c r="M349" s="63" t="s">
        <v>1785</v>
      </c>
      <c r="N349" s="63" t="s">
        <v>1595</v>
      </c>
      <c r="O349" s="63" t="s">
        <v>1604</v>
      </c>
      <c r="P349" s="63" t="s">
        <v>1786</v>
      </c>
      <c r="Q349" s="63" t="s">
        <v>3301</v>
      </c>
      <c r="R349" s="63" t="s">
        <v>3302</v>
      </c>
      <c r="S349" s="63" t="s">
        <v>1607</v>
      </c>
      <c r="T349" s="63"/>
      <c r="U349" s="63"/>
      <c r="V349" s="63"/>
      <c r="W349" s="63"/>
      <c r="X349" s="63"/>
      <c r="Y349" s="63"/>
      <c r="Z349" s="63"/>
    </row>
    <row r="350" spans="1:26" ht="15.75" customHeight="1" x14ac:dyDescent="0.25">
      <c r="A350" s="63" t="s">
        <v>1246</v>
      </c>
      <c r="B350" s="63" t="s">
        <v>893</v>
      </c>
      <c r="C350" s="63" t="s">
        <v>359</v>
      </c>
      <c r="D350" s="63" t="s">
        <v>1595</v>
      </c>
      <c r="E350" s="63" t="s">
        <v>2924</v>
      </c>
      <c r="F350" s="63" t="s">
        <v>1597</v>
      </c>
      <c r="G350" s="63" t="s">
        <v>3303</v>
      </c>
      <c r="H350" s="63" t="s">
        <v>1610</v>
      </c>
      <c r="I350" s="63" t="s">
        <v>3304</v>
      </c>
      <c r="J350" s="63" t="s">
        <v>556</v>
      </c>
      <c r="K350" s="63" t="s">
        <v>1601</v>
      </c>
      <c r="L350" s="63" t="s">
        <v>1938</v>
      </c>
      <c r="M350" s="63" t="s">
        <v>1603</v>
      </c>
      <c r="N350" s="63" t="s">
        <v>1595</v>
      </c>
      <c r="O350" s="63" t="s">
        <v>1604</v>
      </c>
      <c r="P350" s="63" t="s">
        <v>2158</v>
      </c>
      <c r="Q350" s="63" t="s">
        <v>3305</v>
      </c>
      <c r="R350" s="63" t="s">
        <v>3306</v>
      </c>
      <c r="S350" s="63" t="s">
        <v>1723</v>
      </c>
      <c r="T350" s="63"/>
      <c r="U350" s="63"/>
      <c r="V350" s="63"/>
      <c r="W350" s="63"/>
      <c r="X350" s="63"/>
      <c r="Y350" s="63"/>
      <c r="Z350" s="63"/>
    </row>
    <row r="351" spans="1:26" ht="15.75" customHeight="1" x14ac:dyDescent="0.25">
      <c r="A351" s="63" t="s">
        <v>1248</v>
      </c>
      <c r="B351" s="63" t="s">
        <v>3307</v>
      </c>
      <c r="C351" s="63" t="s">
        <v>3308</v>
      </c>
      <c r="D351" s="63" t="s">
        <v>3309</v>
      </c>
      <c r="E351" s="63" t="s">
        <v>3310</v>
      </c>
      <c r="F351" s="63" t="s">
        <v>1597</v>
      </c>
      <c r="G351" s="63" t="s">
        <v>3311</v>
      </c>
      <c r="H351" s="63" t="s">
        <v>1610</v>
      </c>
      <c r="I351" s="63" t="s">
        <v>3312</v>
      </c>
      <c r="J351" s="63" t="s">
        <v>2204</v>
      </c>
      <c r="K351" s="63"/>
      <c r="L351" s="63" t="s">
        <v>2996</v>
      </c>
      <c r="M351" s="63" t="s">
        <v>2283</v>
      </c>
      <c r="N351" s="63" t="s">
        <v>1595</v>
      </c>
      <c r="O351" s="63" t="s">
        <v>1604</v>
      </c>
      <c r="P351" s="63" t="s">
        <v>3313</v>
      </c>
      <c r="Q351" s="63" t="s">
        <v>3314</v>
      </c>
      <c r="R351" s="63" t="s">
        <v>3315</v>
      </c>
      <c r="S351" s="63" t="s">
        <v>1633</v>
      </c>
      <c r="T351" s="63"/>
      <c r="U351" s="63"/>
      <c r="V351" s="63"/>
      <c r="W351" s="63"/>
      <c r="X351" s="63"/>
      <c r="Y351" s="63"/>
      <c r="Z351" s="63"/>
    </row>
    <row r="352" spans="1:26" ht="15.75" customHeight="1" x14ac:dyDescent="0.25">
      <c r="A352" s="63" t="s">
        <v>1250</v>
      </c>
      <c r="B352" s="63" t="s">
        <v>3316</v>
      </c>
      <c r="C352" s="63" t="s">
        <v>3317</v>
      </c>
      <c r="D352" s="63" t="s">
        <v>1595</v>
      </c>
      <c r="E352" s="63" t="s">
        <v>2522</v>
      </c>
      <c r="F352" s="63" t="s">
        <v>1597</v>
      </c>
      <c r="G352" s="63" t="s">
        <v>3318</v>
      </c>
      <c r="H352" s="63" t="s">
        <v>3281</v>
      </c>
      <c r="I352" s="63" t="s">
        <v>3319</v>
      </c>
      <c r="J352" s="63" t="s">
        <v>2318</v>
      </c>
      <c r="K352" s="63" t="s">
        <v>2121</v>
      </c>
      <c r="L352" s="63" t="s">
        <v>1621</v>
      </c>
      <c r="M352" s="63" t="s">
        <v>1622</v>
      </c>
      <c r="N352" s="63" t="s">
        <v>1595</v>
      </c>
      <c r="O352" s="63" t="s">
        <v>1604</v>
      </c>
      <c r="P352" s="63" t="s">
        <v>2095</v>
      </c>
      <c r="Q352" s="63" t="s">
        <v>3320</v>
      </c>
      <c r="R352" s="63" t="s">
        <v>3320</v>
      </c>
      <c r="S352" s="63" t="s">
        <v>1633</v>
      </c>
      <c r="T352" s="63"/>
      <c r="U352" s="63"/>
      <c r="V352" s="63"/>
      <c r="W352" s="63"/>
      <c r="X352" s="63"/>
      <c r="Y352" s="63"/>
      <c r="Z352" s="63"/>
    </row>
    <row r="353" spans="1:26" ht="15.75" customHeight="1" x14ac:dyDescent="0.25">
      <c r="A353" s="63" t="s">
        <v>1252</v>
      </c>
      <c r="B353" s="63" t="s">
        <v>1251</v>
      </c>
      <c r="C353" s="63" t="s">
        <v>225</v>
      </c>
      <c r="D353" s="63" t="s">
        <v>3321</v>
      </c>
      <c r="E353" s="63" t="s">
        <v>2217</v>
      </c>
      <c r="F353" s="63" t="s">
        <v>1597</v>
      </c>
      <c r="G353" s="63" t="s">
        <v>3322</v>
      </c>
      <c r="H353" s="63" t="s">
        <v>1619</v>
      </c>
      <c r="I353" s="63" t="s">
        <v>3323</v>
      </c>
      <c r="J353" s="63" t="s">
        <v>562</v>
      </c>
      <c r="K353" s="63" t="s">
        <v>1601</v>
      </c>
      <c r="L353" s="63" t="s">
        <v>2166</v>
      </c>
      <c r="M353" s="63" t="s">
        <v>1603</v>
      </c>
      <c r="N353" s="63" t="s">
        <v>1595</v>
      </c>
      <c r="O353" s="63" t="s">
        <v>1604</v>
      </c>
      <c r="P353" s="63" t="s">
        <v>3324</v>
      </c>
      <c r="Q353" s="63" t="s">
        <v>3325</v>
      </c>
      <c r="R353" s="63" t="s">
        <v>3326</v>
      </c>
      <c r="S353" s="63" t="s">
        <v>1633</v>
      </c>
      <c r="T353" s="63"/>
      <c r="U353" s="63"/>
      <c r="V353" s="63"/>
      <c r="W353" s="63"/>
      <c r="X353" s="63"/>
      <c r="Y353" s="63"/>
      <c r="Z353" s="63"/>
    </row>
    <row r="354" spans="1:26" ht="15.75" customHeight="1" x14ac:dyDescent="0.25">
      <c r="A354" s="63" t="s">
        <v>1254</v>
      </c>
      <c r="B354" s="63" t="s">
        <v>3327</v>
      </c>
      <c r="C354" s="63" t="s">
        <v>3328</v>
      </c>
      <c r="D354" s="63" t="s">
        <v>1595</v>
      </c>
      <c r="E354" s="63" t="s">
        <v>3329</v>
      </c>
      <c r="F354" s="63" t="s">
        <v>1597</v>
      </c>
      <c r="G354" s="63" t="s">
        <v>3330</v>
      </c>
      <c r="H354" s="63" t="s">
        <v>1610</v>
      </c>
      <c r="I354" s="63" t="s">
        <v>3331</v>
      </c>
      <c r="J354" s="63" t="s">
        <v>558</v>
      </c>
      <c r="K354" s="63"/>
      <c r="L354" s="63" t="s">
        <v>1612</v>
      </c>
      <c r="M354" s="63" t="s">
        <v>1613</v>
      </c>
      <c r="N354" s="63" t="s">
        <v>1595</v>
      </c>
      <c r="O354" s="63" t="s">
        <v>1604</v>
      </c>
      <c r="P354" s="63" t="s">
        <v>1915</v>
      </c>
      <c r="Q354" s="63" t="s">
        <v>3332</v>
      </c>
      <c r="R354" s="63" t="s">
        <v>3333</v>
      </c>
      <c r="S354" s="63" t="s">
        <v>1633</v>
      </c>
      <c r="T354" s="63"/>
      <c r="U354" s="63"/>
      <c r="V354" s="63"/>
      <c r="W354" s="63"/>
      <c r="X354" s="63"/>
      <c r="Y354" s="63"/>
      <c r="Z354" s="63"/>
    </row>
    <row r="355" spans="1:26" ht="15.75" customHeight="1" x14ac:dyDescent="0.25">
      <c r="A355" s="63" t="s">
        <v>1256</v>
      </c>
      <c r="B355" s="63" t="s">
        <v>1303</v>
      </c>
      <c r="C355" s="63" t="s">
        <v>250</v>
      </c>
      <c r="D355" s="63" t="s">
        <v>1595</v>
      </c>
      <c r="E355" s="63" t="s">
        <v>3334</v>
      </c>
      <c r="F355" s="63" t="s">
        <v>1597</v>
      </c>
      <c r="G355" s="63" t="s">
        <v>3335</v>
      </c>
      <c r="H355" s="63" t="s">
        <v>2210</v>
      </c>
      <c r="I355" s="63" t="s">
        <v>3336</v>
      </c>
      <c r="J355" s="63" t="s">
        <v>2318</v>
      </c>
      <c r="K355" s="63"/>
      <c r="L355" s="63" t="s">
        <v>1910</v>
      </c>
      <c r="M355" s="63" t="s">
        <v>1595</v>
      </c>
      <c r="N355" s="63" t="s">
        <v>1595</v>
      </c>
      <c r="O355" s="63" t="s">
        <v>1604</v>
      </c>
      <c r="P355" s="63" t="s">
        <v>3337</v>
      </c>
      <c r="Q355" s="63" t="s">
        <v>3338</v>
      </c>
      <c r="R355" s="63" t="s">
        <v>3339</v>
      </c>
      <c r="S355" s="63" t="s">
        <v>1633</v>
      </c>
      <c r="T355" s="63"/>
      <c r="U355" s="63"/>
      <c r="V355" s="63"/>
      <c r="W355" s="63"/>
      <c r="X355" s="63"/>
      <c r="Y355" s="63"/>
      <c r="Z355" s="63"/>
    </row>
    <row r="356" spans="1:26" ht="15.75" customHeight="1" x14ac:dyDescent="0.25">
      <c r="A356" s="63" t="s">
        <v>1258</v>
      </c>
      <c r="B356" s="63" t="s">
        <v>589</v>
      </c>
      <c r="C356" s="63" t="s">
        <v>463</v>
      </c>
      <c r="D356" s="63" t="s">
        <v>1595</v>
      </c>
      <c r="E356" s="63" t="s">
        <v>3340</v>
      </c>
      <c r="F356" s="63" t="s">
        <v>1597</v>
      </c>
      <c r="G356" s="63" t="s">
        <v>3341</v>
      </c>
      <c r="H356" s="63" t="s">
        <v>1610</v>
      </c>
      <c r="I356" s="63" t="s">
        <v>2613</v>
      </c>
      <c r="J356" s="63" t="s">
        <v>2318</v>
      </c>
      <c r="K356" s="63"/>
      <c r="L356" s="63" t="s">
        <v>2166</v>
      </c>
      <c r="M356" s="63" t="s">
        <v>1603</v>
      </c>
      <c r="N356" s="63" t="s">
        <v>1595</v>
      </c>
      <c r="O356" s="63" t="s">
        <v>1604</v>
      </c>
      <c r="P356" s="63" t="s">
        <v>3324</v>
      </c>
      <c r="Q356" s="63" t="s">
        <v>3342</v>
      </c>
      <c r="R356" s="63" t="s">
        <v>3343</v>
      </c>
      <c r="S356" s="63" t="s">
        <v>1607</v>
      </c>
      <c r="T356" s="63"/>
      <c r="U356" s="63"/>
      <c r="V356" s="63"/>
      <c r="W356" s="63"/>
      <c r="X356" s="63"/>
      <c r="Y356" s="63"/>
      <c r="Z356" s="63"/>
    </row>
    <row r="357" spans="1:26" ht="15.75" customHeight="1" x14ac:dyDescent="0.25">
      <c r="A357" s="63" t="s">
        <v>1260</v>
      </c>
      <c r="B357" s="63" t="s">
        <v>1381</v>
      </c>
      <c r="C357" s="63" t="s">
        <v>288</v>
      </c>
      <c r="D357" s="63" t="s">
        <v>1595</v>
      </c>
      <c r="E357" s="63" t="s">
        <v>3344</v>
      </c>
      <c r="F357" s="63" t="s">
        <v>1597</v>
      </c>
      <c r="G357" s="63" t="s">
        <v>3345</v>
      </c>
      <c r="H357" s="63" t="s">
        <v>1610</v>
      </c>
      <c r="I357" s="63" t="s">
        <v>3346</v>
      </c>
      <c r="J357" s="63" t="s">
        <v>560</v>
      </c>
      <c r="K357" s="63" t="s">
        <v>1601</v>
      </c>
      <c r="L357" s="63" t="s">
        <v>2338</v>
      </c>
      <c r="M357" s="63" t="s">
        <v>1859</v>
      </c>
      <c r="N357" s="63" t="s">
        <v>1595</v>
      </c>
      <c r="O357" s="63" t="s">
        <v>1604</v>
      </c>
      <c r="P357" s="63" t="s">
        <v>1860</v>
      </c>
      <c r="Q357" s="63" t="s">
        <v>3347</v>
      </c>
      <c r="R357" s="63" t="s">
        <v>3347</v>
      </c>
      <c r="S357" s="63" t="s">
        <v>1633</v>
      </c>
      <c r="T357" s="63"/>
      <c r="U357" s="63"/>
      <c r="V357" s="63"/>
      <c r="W357" s="63"/>
      <c r="X357" s="63"/>
      <c r="Y357" s="63"/>
      <c r="Z357" s="63"/>
    </row>
    <row r="358" spans="1:26" ht="15.75" customHeight="1" x14ac:dyDescent="0.25">
      <c r="A358" s="63" t="s">
        <v>1262</v>
      </c>
      <c r="B358" s="63" t="s">
        <v>1063</v>
      </c>
      <c r="C358" s="63" t="s">
        <v>442</v>
      </c>
      <c r="D358" s="63" t="s">
        <v>3157</v>
      </c>
      <c r="E358" s="63" t="s">
        <v>3348</v>
      </c>
      <c r="F358" s="63" t="s">
        <v>1597</v>
      </c>
      <c r="G358" s="63" t="s">
        <v>3349</v>
      </c>
      <c r="H358" s="63" t="s">
        <v>1619</v>
      </c>
      <c r="I358" s="63" t="s">
        <v>1859</v>
      </c>
      <c r="J358" s="63" t="s">
        <v>2703</v>
      </c>
      <c r="K358" s="63"/>
      <c r="L358" s="63" t="s">
        <v>2351</v>
      </c>
      <c r="M358" s="63" t="s">
        <v>1859</v>
      </c>
      <c r="N358" s="63" t="s">
        <v>1595</v>
      </c>
      <c r="O358" s="63" t="s">
        <v>1604</v>
      </c>
      <c r="P358" s="63" t="s">
        <v>3350</v>
      </c>
      <c r="Q358" s="63" t="s">
        <v>3351</v>
      </c>
      <c r="R358" s="63" t="s">
        <v>3352</v>
      </c>
      <c r="S358" s="63" t="s">
        <v>1633</v>
      </c>
      <c r="T358" s="63"/>
      <c r="U358" s="63"/>
      <c r="V358" s="63"/>
      <c r="W358" s="63"/>
      <c r="X358" s="63"/>
      <c r="Y358" s="63"/>
      <c r="Z358" s="63"/>
    </row>
    <row r="359" spans="1:26" ht="15.75" customHeight="1" x14ac:dyDescent="0.25">
      <c r="A359" s="63" t="s">
        <v>1264</v>
      </c>
      <c r="B359" s="63" t="s">
        <v>603</v>
      </c>
      <c r="C359" s="63" t="s">
        <v>470</v>
      </c>
      <c r="D359" s="63" t="s">
        <v>1595</v>
      </c>
      <c r="E359" s="63" t="s">
        <v>2070</v>
      </c>
      <c r="F359" s="63" t="s">
        <v>1597</v>
      </c>
      <c r="G359" s="63" t="s">
        <v>3353</v>
      </c>
      <c r="H359" s="63" t="s">
        <v>3354</v>
      </c>
      <c r="I359" s="63" t="s">
        <v>3355</v>
      </c>
      <c r="J359" s="63" t="s">
        <v>2483</v>
      </c>
      <c r="K359" s="63"/>
      <c r="L359" s="63" t="s">
        <v>3356</v>
      </c>
      <c r="M359" s="63" t="s">
        <v>1630</v>
      </c>
      <c r="N359" s="63" t="s">
        <v>1595</v>
      </c>
      <c r="O359" s="63" t="s">
        <v>1604</v>
      </c>
      <c r="P359" s="63" t="s">
        <v>3357</v>
      </c>
      <c r="Q359" s="63" t="s">
        <v>3358</v>
      </c>
      <c r="R359" s="63" t="s">
        <v>3359</v>
      </c>
      <c r="S359" s="63" t="s">
        <v>1607</v>
      </c>
      <c r="T359" s="63"/>
      <c r="U359" s="63"/>
      <c r="V359" s="63"/>
      <c r="W359" s="63"/>
      <c r="X359" s="63"/>
      <c r="Y359" s="63"/>
      <c r="Z359" s="63"/>
    </row>
    <row r="360" spans="1:26" ht="15.75" customHeight="1" x14ac:dyDescent="0.25">
      <c r="A360" s="63" t="s">
        <v>1266</v>
      </c>
      <c r="B360" s="63" t="s">
        <v>3360</v>
      </c>
      <c r="C360" s="63" t="s">
        <v>3361</v>
      </c>
      <c r="D360" s="63" t="s">
        <v>1595</v>
      </c>
      <c r="E360" s="63" t="s">
        <v>3362</v>
      </c>
      <c r="F360" s="63" t="s">
        <v>1597</v>
      </c>
      <c r="G360" s="63" t="s">
        <v>3363</v>
      </c>
      <c r="H360" s="63" t="s">
        <v>1619</v>
      </c>
      <c r="I360" s="63" t="s">
        <v>2801</v>
      </c>
      <c r="J360" s="63" t="s">
        <v>2483</v>
      </c>
      <c r="K360" s="63" t="s">
        <v>2468</v>
      </c>
      <c r="L360" s="63" t="s">
        <v>1744</v>
      </c>
      <c r="M360" s="63" t="s">
        <v>1647</v>
      </c>
      <c r="N360" s="63" t="s">
        <v>1595</v>
      </c>
      <c r="O360" s="63" t="s">
        <v>1604</v>
      </c>
      <c r="P360" s="63" t="s">
        <v>3364</v>
      </c>
      <c r="Q360" s="63" t="s">
        <v>3365</v>
      </c>
      <c r="R360" s="63" t="s">
        <v>3366</v>
      </c>
      <c r="S360" s="63" t="s">
        <v>1633</v>
      </c>
      <c r="T360" s="63"/>
      <c r="U360" s="63"/>
      <c r="V360" s="63"/>
      <c r="W360" s="63"/>
      <c r="X360" s="63"/>
      <c r="Y360" s="63"/>
      <c r="Z360" s="63"/>
    </row>
    <row r="361" spans="1:26" ht="15.75" customHeight="1" x14ac:dyDescent="0.25">
      <c r="A361" s="63" t="s">
        <v>1268</v>
      </c>
      <c r="B361" s="63" t="s">
        <v>1053</v>
      </c>
      <c r="C361" s="63" t="s">
        <v>437</v>
      </c>
      <c r="D361" s="63" t="s">
        <v>1595</v>
      </c>
      <c r="E361" s="63" t="s">
        <v>3367</v>
      </c>
      <c r="F361" s="63" t="s">
        <v>1597</v>
      </c>
      <c r="G361" s="63" t="s">
        <v>3368</v>
      </c>
      <c r="H361" s="63" t="s">
        <v>1619</v>
      </c>
      <c r="I361" s="63" t="s">
        <v>3369</v>
      </c>
      <c r="J361" s="63" t="s">
        <v>618</v>
      </c>
      <c r="K361" s="63" t="s">
        <v>1601</v>
      </c>
      <c r="L361" s="63" t="s">
        <v>2065</v>
      </c>
      <c r="M361" s="63" t="s">
        <v>1622</v>
      </c>
      <c r="N361" s="63" t="s">
        <v>1595</v>
      </c>
      <c r="O361" s="63" t="s">
        <v>1604</v>
      </c>
      <c r="P361" s="63" t="s">
        <v>2108</v>
      </c>
      <c r="Q361" s="63" t="s">
        <v>3370</v>
      </c>
      <c r="R361" s="63" t="s">
        <v>2121</v>
      </c>
      <c r="S361" s="63" t="s">
        <v>1616</v>
      </c>
      <c r="T361" s="63"/>
      <c r="U361" s="63"/>
      <c r="V361" s="63"/>
      <c r="W361" s="63"/>
      <c r="X361" s="63"/>
      <c r="Y361" s="63"/>
      <c r="Z361" s="63"/>
    </row>
    <row r="362" spans="1:26" ht="15.75" customHeight="1" x14ac:dyDescent="0.25">
      <c r="A362" s="63" t="s">
        <v>1270</v>
      </c>
      <c r="B362" s="63" t="s">
        <v>3371</v>
      </c>
      <c r="C362" s="63" t="s">
        <v>3372</v>
      </c>
      <c r="D362" s="63" t="s">
        <v>3373</v>
      </c>
      <c r="E362" s="63" t="s">
        <v>2864</v>
      </c>
      <c r="F362" s="63" t="s">
        <v>1597</v>
      </c>
      <c r="G362" s="63" t="s">
        <v>2550</v>
      </c>
      <c r="H362" s="63" t="s">
        <v>1619</v>
      </c>
      <c r="I362" s="63" t="s">
        <v>3374</v>
      </c>
      <c r="J362" s="63" t="s">
        <v>2225</v>
      </c>
      <c r="K362" s="63"/>
      <c r="L362" s="63" t="s">
        <v>2190</v>
      </c>
      <c r="M362" s="63" t="s">
        <v>1603</v>
      </c>
      <c r="N362" s="63" t="s">
        <v>1595</v>
      </c>
      <c r="O362" s="63" t="s">
        <v>1604</v>
      </c>
      <c r="P362" s="63" t="s">
        <v>3375</v>
      </c>
      <c r="Q362" s="63" t="s">
        <v>3376</v>
      </c>
      <c r="R362" s="63" t="s">
        <v>3377</v>
      </c>
      <c r="S362" s="63" t="s">
        <v>1607</v>
      </c>
      <c r="T362" s="63"/>
      <c r="U362" s="63"/>
      <c r="V362" s="63"/>
      <c r="W362" s="63"/>
      <c r="X362" s="63"/>
      <c r="Y362" s="63"/>
      <c r="Z362" s="63"/>
    </row>
    <row r="363" spans="1:26" ht="15.75" customHeight="1" x14ac:dyDescent="0.25">
      <c r="A363" s="63" t="s">
        <v>1272</v>
      </c>
      <c r="B363" s="63" t="s">
        <v>3378</v>
      </c>
      <c r="C363" s="63" t="s">
        <v>3379</v>
      </c>
      <c r="D363" s="63" t="s">
        <v>1595</v>
      </c>
      <c r="E363" s="63" t="s">
        <v>3380</v>
      </c>
      <c r="F363" s="63" t="s">
        <v>1597</v>
      </c>
      <c r="G363" s="63" t="s">
        <v>3381</v>
      </c>
      <c r="H363" s="63" t="s">
        <v>1610</v>
      </c>
      <c r="I363" s="63" t="s">
        <v>2727</v>
      </c>
      <c r="J363" s="63" t="s">
        <v>556</v>
      </c>
      <c r="K363" s="63"/>
      <c r="L363" s="63" t="s">
        <v>2728</v>
      </c>
      <c r="M363" s="63" t="s">
        <v>1622</v>
      </c>
      <c r="N363" s="63" t="s">
        <v>1595</v>
      </c>
      <c r="O363" s="63" t="s">
        <v>1604</v>
      </c>
      <c r="P363" s="63" t="s">
        <v>2734</v>
      </c>
      <c r="Q363" s="63" t="s">
        <v>3382</v>
      </c>
      <c r="R363" s="63" t="s">
        <v>3383</v>
      </c>
      <c r="S363" s="63" t="s">
        <v>1633</v>
      </c>
      <c r="T363" s="63"/>
      <c r="U363" s="63"/>
      <c r="V363" s="63"/>
      <c r="W363" s="63"/>
      <c r="X363" s="63"/>
      <c r="Y363" s="63"/>
      <c r="Z363" s="63"/>
    </row>
    <row r="364" spans="1:26" ht="15.75" customHeight="1" x14ac:dyDescent="0.25">
      <c r="A364" s="63" t="s">
        <v>1274</v>
      </c>
      <c r="B364" s="63" t="s">
        <v>1227</v>
      </c>
      <c r="C364" s="63" t="s">
        <v>213</v>
      </c>
      <c r="D364" s="63" t="s">
        <v>1595</v>
      </c>
      <c r="E364" s="63" t="s">
        <v>1975</v>
      </c>
      <c r="F364" s="63" t="s">
        <v>1597</v>
      </c>
      <c r="G364" s="63" t="s">
        <v>3384</v>
      </c>
      <c r="H364" s="63" t="s">
        <v>1627</v>
      </c>
      <c r="I364" s="63" t="s">
        <v>2288</v>
      </c>
      <c r="J364" s="63" t="s">
        <v>3385</v>
      </c>
      <c r="K364" s="63" t="s">
        <v>2121</v>
      </c>
      <c r="L364" s="63" t="s">
        <v>2166</v>
      </c>
      <c r="M364" s="63" t="s">
        <v>1603</v>
      </c>
      <c r="N364" s="63" t="s">
        <v>1595</v>
      </c>
      <c r="O364" s="63" t="s">
        <v>1604</v>
      </c>
      <c r="P364" s="63" t="s">
        <v>1631</v>
      </c>
      <c r="Q364" s="63" t="s">
        <v>3386</v>
      </c>
      <c r="R364" s="63" t="s">
        <v>3387</v>
      </c>
      <c r="S364" s="63" t="s">
        <v>1633</v>
      </c>
      <c r="T364" s="63"/>
      <c r="U364" s="63"/>
      <c r="V364" s="63"/>
      <c r="W364" s="63"/>
      <c r="X364" s="63"/>
      <c r="Y364" s="63"/>
      <c r="Z364" s="63"/>
    </row>
    <row r="365" spans="1:26" ht="15.75" customHeight="1" x14ac:dyDescent="0.25">
      <c r="A365" s="63" t="s">
        <v>1276</v>
      </c>
      <c r="B365" s="63" t="s">
        <v>3388</v>
      </c>
      <c r="C365" s="63" t="s">
        <v>3389</v>
      </c>
      <c r="D365" s="63" t="s">
        <v>2405</v>
      </c>
      <c r="E365" s="63" t="s">
        <v>3194</v>
      </c>
      <c r="F365" s="63" t="s">
        <v>1597</v>
      </c>
      <c r="G365" s="63" t="s">
        <v>3390</v>
      </c>
      <c r="H365" s="63" t="s">
        <v>1627</v>
      </c>
      <c r="I365" s="63" t="s">
        <v>3391</v>
      </c>
      <c r="J365" s="63" t="s">
        <v>560</v>
      </c>
      <c r="K365" s="63" t="s">
        <v>554</v>
      </c>
      <c r="L365" s="63" t="s">
        <v>3391</v>
      </c>
      <c r="M365" s="63" t="s">
        <v>3392</v>
      </c>
      <c r="N365" s="63" t="s">
        <v>2405</v>
      </c>
      <c r="O365" s="63" t="s">
        <v>2411</v>
      </c>
      <c r="P365" s="63" t="s">
        <v>3393</v>
      </c>
      <c r="Q365" s="63" t="s">
        <v>3394</v>
      </c>
      <c r="R365" s="63" t="s">
        <v>3395</v>
      </c>
      <c r="S365" s="63" t="s">
        <v>1607</v>
      </c>
      <c r="T365" s="63"/>
      <c r="U365" s="63"/>
      <c r="V365" s="63"/>
      <c r="W365" s="63"/>
      <c r="X365" s="63"/>
      <c r="Y365" s="63"/>
      <c r="Z365" s="63"/>
    </row>
    <row r="366" spans="1:26" ht="15.75" customHeight="1" x14ac:dyDescent="0.25">
      <c r="A366" s="63" t="s">
        <v>1278</v>
      </c>
      <c r="B366" s="63" t="s">
        <v>977</v>
      </c>
      <c r="C366" s="63" t="s">
        <v>399</v>
      </c>
      <c r="D366" s="63" t="s">
        <v>1595</v>
      </c>
      <c r="E366" s="63" t="s">
        <v>2755</v>
      </c>
      <c r="F366" s="63" t="s">
        <v>1597</v>
      </c>
      <c r="G366" s="63" t="s">
        <v>3396</v>
      </c>
      <c r="H366" s="63" t="s">
        <v>1610</v>
      </c>
      <c r="I366" s="63" t="s">
        <v>3209</v>
      </c>
      <c r="J366" s="63" t="s">
        <v>2318</v>
      </c>
      <c r="K366" s="63"/>
      <c r="L366" s="63" t="s">
        <v>2728</v>
      </c>
      <c r="M366" s="63" t="s">
        <v>1622</v>
      </c>
      <c r="N366" s="63" t="s">
        <v>1595</v>
      </c>
      <c r="O366" s="63" t="s">
        <v>1604</v>
      </c>
      <c r="P366" s="63" t="s">
        <v>2378</v>
      </c>
      <c r="Q366" s="63" t="s">
        <v>3397</v>
      </c>
      <c r="R366" s="63" t="s">
        <v>3397</v>
      </c>
      <c r="S366" s="63" t="s">
        <v>1616</v>
      </c>
      <c r="T366" s="63"/>
      <c r="U366" s="63"/>
      <c r="V366" s="63"/>
      <c r="W366" s="63"/>
      <c r="X366" s="63"/>
      <c r="Y366" s="63"/>
      <c r="Z366" s="63"/>
    </row>
    <row r="367" spans="1:26" ht="15.75" customHeight="1" x14ac:dyDescent="0.25">
      <c r="A367" s="63" t="s">
        <v>1280</v>
      </c>
      <c r="B367" s="63" t="s">
        <v>1541</v>
      </c>
      <c r="C367" s="63" t="s">
        <v>127</v>
      </c>
      <c r="D367" s="63" t="s">
        <v>2881</v>
      </c>
      <c r="E367" s="63" t="s">
        <v>3398</v>
      </c>
      <c r="F367" s="63" t="s">
        <v>1597</v>
      </c>
      <c r="G367" s="63" t="s">
        <v>3399</v>
      </c>
      <c r="H367" s="63" t="s">
        <v>1610</v>
      </c>
      <c r="I367" s="63" t="s">
        <v>3400</v>
      </c>
      <c r="J367" s="63" t="s">
        <v>558</v>
      </c>
      <c r="K367" s="63"/>
      <c r="L367" s="63" t="s">
        <v>1595</v>
      </c>
      <c r="M367" s="63" t="s">
        <v>1595</v>
      </c>
      <c r="N367" s="63" t="s">
        <v>1595</v>
      </c>
      <c r="O367" s="63" t="s">
        <v>1604</v>
      </c>
      <c r="P367" s="63" t="s">
        <v>1939</v>
      </c>
      <c r="Q367" s="63" t="s">
        <v>3401</v>
      </c>
      <c r="R367" s="63" t="s">
        <v>3402</v>
      </c>
      <c r="S367" s="63" t="s">
        <v>1723</v>
      </c>
      <c r="T367" s="63"/>
      <c r="U367" s="63"/>
      <c r="V367" s="63"/>
      <c r="W367" s="63"/>
      <c r="X367" s="63"/>
      <c r="Y367" s="63"/>
      <c r="Z367" s="63"/>
    </row>
    <row r="368" spans="1:26" ht="15.75" customHeight="1" x14ac:dyDescent="0.25">
      <c r="A368" s="63" t="s">
        <v>1282</v>
      </c>
      <c r="B368" s="63" t="s">
        <v>1469</v>
      </c>
      <c r="C368" s="63" t="s">
        <v>92</v>
      </c>
      <c r="D368" s="63" t="s">
        <v>1595</v>
      </c>
      <c r="E368" s="63" t="s">
        <v>3403</v>
      </c>
      <c r="F368" s="63" t="s">
        <v>1597</v>
      </c>
      <c r="G368" s="63" t="s">
        <v>3404</v>
      </c>
      <c r="H368" s="63" t="s">
        <v>1610</v>
      </c>
      <c r="I368" s="63" t="s">
        <v>3405</v>
      </c>
      <c r="J368" s="63" t="s">
        <v>2483</v>
      </c>
      <c r="K368" s="63"/>
      <c r="L368" s="63" t="s">
        <v>3406</v>
      </c>
      <c r="M368" s="63" t="s">
        <v>2283</v>
      </c>
      <c r="N368" s="63" t="s">
        <v>1595</v>
      </c>
      <c r="O368" s="63" t="s">
        <v>1604</v>
      </c>
      <c r="P368" s="63" t="s">
        <v>3313</v>
      </c>
      <c r="Q368" s="63" t="s">
        <v>3407</v>
      </c>
      <c r="R368" s="63" t="s">
        <v>3408</v>
      </c>
      <c r="S368" s="63" t="s">
        <v>1633</v>
      </c>
      <c r="T368" s="63"/>
      <c r="U368" s="63"/>
      <c r="V368" s="63"/>
      <c r="W368" s="63"/>
      <c r="X368" s="63"/>
      <c r="Y368" s="63"/>
      <c r="Z368" s="63"/>
    </row>
    <row r="369" spans="1:26" ht="15.75" customHeight="1" x14ac:dyDescent="0.25">
      <c r="A369" s="63" t="s">
        <v>1284</v>
      </c>
      <c r="B369" s="63" t="s">
        <v>867</v>
      </c>
      <c r="C369" s="63" t="s">
        <v>346</v>
      </c>
      <c r="D369" s="63" t="s">
        <v>1595</v>
      </c>
      <c r="E369" s="63" t="s">
        <v>3019</v>
      </c>
      <c r="F369" s="63" t="s">
        <v>1597</v>
      </c>
      <c r="G369" s="63" t="s">
        <v>3409</v>
      </c>
      <c r="H369" s="63" t="s">
        <v>1619</v>
      </c>
      <c r="I369" s="63" t="s">
        <v>2281</v>
      </c>
      <c r="J369" s="63" t="s">
        <v>756</v>
      </c>
      <c r="K369" s="63" t="s">
        <v>1601</v>
      </c>
      <c r="L369" s="63" t="s">
        <v>1695</v>
      </c>
      <c r="M369" s="63" t="s">
        <v>1696</v>
      </c>
      <c r="N369" s="63" t="s">
        <v>1595</v>
      </c>
      <c r="O369" s="63" t="s">
        <v>1604</v>
      </c>
      <c r="P369" s="63" t="s">
        <v>3410</v>
      </c>
      <c r="Q369" s="63" t="s">
        <v>3411</v>
      </c>
      <c r="R369" s="63" t="s">
        <v>2121</v>
      </c>
      <c r="S369" s="63" t="s">
        <v>1616</v>
      </c>
      <c r="T369" s="63"/>
      <c r="U369" s="63"/>
      <c r="V369" s="63"/>
      <c r="W369" s="63"/>
      <c r="X369" s="63"/>
      <c r="Y369" s="63"/>
      <c r="Z369" s="63"/>
    </row>
    <row r="370" spans="1:26" ht="15.75" customHeight="1" x14ac:dyDescent="0.25">
      <c r="A370" s="63" t="s">
        <v>1286</v>
      </c>
      <c r="B370" s="63" t="s">
        <v>1329</v>
      </c>
      <c r="C370" s="63" t="s">
        <v>262</v>
      </c>
      <c r="D370" s="63" t="s">
        <v>1595</v>
      </c>
      <c r="E370" s="63" t="s">
        <v>3310</v>
      </c>
      <c r="F370" s="63" t="s">
        <v>1597</v>
      </c>
      <c r="G370" s="63" t="s">
        <v>3412</v>
      </c>
      <c r="H370" s="63" t="s">
        <v>1627</v>
      </c>
      <c r="I370" s="63" t="s">
        <v>3413</v>
      </c>
      <c r="J370" s="63" t="s">
        <v>3414</v>
      </c>
      <c r="K370" s="63" t="s">
        <v>2468</v>
      </c>
      <c r="L370" s="63" t="s">
        <v>2100</v>
      </c>
      <c r="M370" s="63" t="s">
        <v>1630</v>
      </c>
      <c r="N370" s="63" t="s">
        <v>1595</v>
      </c>
      <c r="O370" s="63" t="s">
        <v>1604</v>
      </c>
      <c r="P370" s="63" t="s">
        <v>1631</v>
      </c>
      <c r="Q370" s="63" t="s">
        <v>3415</v>
      </c>
      <c r="R370" s="63" t="s">
        <v>3416</v>
      </c>
      <c r="S370" s="63" t="s">
        <v>1607</v>
      </c>
      <c r="T370" s="63"/>
      <c r="U370" s="63"/>
      <c r="V370" s="63"/>
      <c r="W370" s="63"/>
      <c r="X370" s="63"/>
      <c r="Y370" s="63"/>
      <c r="Z370" s="63"/>
    </row>
    <row r="371" spans="1:26" ht="15.75" customHeight="1" x14ac:dyDescent="0.25">
      <c r="A371" s="63" t="s">
        <v>1288</v>
      </c>
      <c r="B371" s="63" t="s">
        <v>1007</v>
      </c>
      <c r="C371" s="63" t="s">
        <v>414</v>
      </c>
      <c r="D371" s="63" t="s">
        <v>3417</v>
      </c>
      <c r="E371" s="63" t="s">
        <v>3418</v>
      </c>
      <c r="F371" s="63" t="s">
        <v>1597</v>
      </c>
      <c r="G371" s="63" t="s">
        <v>3419</v>
      </c>
      <c r="H371" s="63" t="s">
        <v>1619</v>
      </c>
      <c r="I371" s="63" t="s">
        <v>3420</v>
      </c>
      <c r="J371" s="63" t="s">
        <v>3088</v>
      </c>
      <c r="K371" s="63" t="s">
        <v>3088</v>
      </c>
      <c r="L371" s="63" t="s">
        <v>1621</v>
      </c>
      <c r="M371" s="63" t="s">
        <v>1622</v>
      </c>
      <c r="N371" s="63" t="s">
        <v>1595</v>
      </c>
      <c r="O371" s="63" t="s">
        <v>1604</v>
      </c>
      <c r="P371" s="63" t="s">
        <v>3180</v>
      </c>
      <c r="Q371" s="63" t="s">
        <v>3421</v>
      </c>
      <c r="R371" s="63" t="s">
        <v>3422</v>
      </c>
      <c r="S371" s="63" t="s">
        <v>1616</v>
      </c>
      <c r="T371" s="63"/>
      <c r="U371" s="63"/>
      <c r="V371" s="63"/>
      <c r="W371" s="63"/>
      <c r="X371" s="63"/>
      <c r="Y371" s="63"/>
      <c r="Z371" s="63"/>
    </row>
    <row r="372" spans="1:26" ht="15.75" customHeight="1" x14ac:dyDescent="0.25">
      <c r="A372" s="63" t="s">
        <v>1290</v>
      </c>
      <c r="B372" s="63" t="s">
        <v>1313</v>
      </c>
      <c r="C372" s="63" t="s">
        <v>255</v>
      </c>
      <c r="D372" s="63" t="s">
        <v>1595</v>
      </c>
      <c r="E372" s="63" t="s">
        <v>1764</v>
      </c>
      <c r="F372" s="63" t="s">
        <v>1597</v>
      </c>
      <c r="G372" s="63" t="s">
        <v>3423</v>
      </c>
      <c r="H372" s="63" t="s">
        <v>3424</v>
      </c>
      <c r="I372" s="63" t="s">
        <v>3425</v>
      </c>
      <c r="J372" s="63" t="s">
        <v>562</v>
      </c>
      <c r="K372" s="63"/>
      <c r="L372" s="63" t="s">
        <v>2190</v>
      </c>
      <c r="M372" s="63" t="s">
        <v>1603</v>
      </c>
      <c r="N372" s="63" t="s">
        <v>1595</v>
      </c>
      <c r="O372" s="63" t="s">
        <v>1604</v>
      </c>
      <c r="P372" s="63" t="s">
        <v>3426</v>
      </c>
      <c r="Q372" s="63" t="s">
        <v>3427</v>
      </c>
      <c r="R372" s="63" t="s">
        <v>3428</v>
      </c>
      <c r="S372" s="63" t="s">
        <v>1633</v>
      </c>
      <c r="T372" s="63"/>
      <c r="U372" s="63"/>
      <c r="V372" s="63"/>
      <c r="W372" s="63"/>
      <c r="X372" s="63"/>
      <c r="Y372" s="63"/>
      <c r="Z372" s="63"/>
    </row>
    <row r="373" spans="1:26" ht="15.75" customHeight="1" x14ac:dyDescent="0.25">
      <c r="A373" s="63" t="s">
        <v>1292</v>
      </c>
      <c r="B373" s="63" t="s">
        <v>1143</v>
      </c>
      <c r="C373" s="63" t="s">
        <v>172</v>
      </c>
      <c r="D373" s="63" t="s">
        <v>1595</v>
      </c>
      <c r="E373" s="63" t="s">
        <v>3429</v>
      </c>
      <c r="F373" s="63" t="s">
        <v>1597</v>
      </c>
      <c r="G373" s="63" t="s">
        <v>3430</v>
      </c>
      <c r="H373" s="63" t="s">
        <v>1610</v>
      </c>
      <c r="I373" s="63" t="s">
        <v>3431</v>
      </c>
      <c r="J373" s="63" t="s">
        <v>558</v>
      </c>
      <c r="K373" s="63" t="s">
        <v>1601</v>
      </c>
      <c r="L373" s="63" t="s">
        <v>1744</v>
      </c>
      <c r="M373" s="63" t="s">
        <v>1647</v>
      </c>
      <c r="N373" s="63" t="s">
        <v>1595</v>
      </c>
      <c r="O373" s="63" t="s">
        <v>1604</v>
      </c>
      <c r="P373" s="63" t="s">
        <v>1864</v>
      </c>
      <c r="Q373" s="63" t="s">
        <v>3432</v>
      </c>
      <c r="R373" s="63" t="s">
        <v>3433</v>
      </c>
      <c r="S373" s="63" t="s">
        <v>1633</v>
      </c>
      <c r="T373" s="63"/>
      <c r="U373" s="63"/>
      <c r="V373" s="63"/>
      <c r="W373" s="63"/>
      <c r="X373" s="63"/>
      <c r="Y373" s="63"/>
      <c r="Z373" s="63"/>
    </row>
    <row r="374" spans="1:26" ht="15.75" customHeight="1" x14ac:dyDescent="0.25">
      <c r="A374" s="63" t="s">
        <v>1294</v>
      </c>
      <c r="B374" s="63" t="s">
        <v>769</v>
      </c>
      <c r="C374" s="63" t="s">
        <v>48</v>
      </c>
      <c r="D374" s="63" t="s">
        <v>3434</v>
      </c>
      <c r="E374" s="63" t="s">
        <v>3435</v>
      </c>
      <c r="F374" s="63" t="s">
        <v>1597</v>
      </c>
      <c r="G374" s="63" t="s">
        <v>3436</v>
      </c>
      <c r="H374" s="63" t="s">
        <v>1627</v>
      </c>
      <c r="I374" s="63" t="s">
        <v>3420</v>
      </c>
      <c r="J374" s="63" t="s">
        <v>3088</v>
      </c>
      <c r="K374" s="63" t="s">
        <v>3088</v>
      </c>
      <c r="L374" s="63" t="s">
        <v>1621</v>
      </c>
      <c r="M374" s="63" t="s">
        <v>1622</v>
      </c>
      <c r="N374" s="63" t="s">
        <v>1595</v>
      </c>
      <c r="O374" s="63" t="s">
        <v>1604</v>
      </c>
      <c r="P374" s="63" t="s">
        <v>1623</v>
      </c>
      <c r="Q374" s="63" t="s">
        <v>3437</v>
      </c>
      <c r="R374" s="63" t="s">
        <v>3438</v>
      </c>
      <c r="S374" s="63" t="s">
        <v>1607</v>
      </c>
      <c r="T374" s="63"/>
      <c r="U374" s="63"/>
      <c r="V374" s="63"/>
      <c r="W374" s="63"/>
      <c r="X374" s="63"/>
      <c r="Y374" s="63"/>
      <c r="Z374" s="63"/>
    </row>
    <row r="375" spans="1:26" ht="15.75" customHeight="1" x14ac:dyDescent="0.25">
      <c r="A375" s="63" t="s">
        <v>1296</v>
      </c>
      <c r="B375" s="63" t="s">
        <v>3439</v>
      </c>
      <c r="C375" s="63" t="s">
        <v>3440</v>
      </c>
      <c r="D375" s="63" t="s">
        <v>3441</v>
      </c>
      <c r="E375" s="63" t="s">
        <v>3442</v>
      </c>
      <c r="F375" s="63" t="s">
        <v>1597</v>
      </c>
      <c r="G375" s="63" t="s">
        <v>3443</v>
      </c>
      <c r="H375" s="63" t="s">
        <v>1627</v>
      </c>
      <c r="I375" s="63" t="s">
        <v>3420</v>
      </c>
      <c r="J375" s="63" t="s">
        <v>2476</v>
      </c>
      <c r="K375" s="63" t="s">
        <v>3088</v>
      </c>
      <c r="L375" s="63" t="s">
        <v>1621</v>
      </c>
      <c r="M375" s="63" t="s">
        <v>1622</v>
      </c>
      <c r="N375" s="63" t="s">
        <v>1595</v>
      </c>
      <c r="O375" s="63" t="s">
        <v>1604</v>
      </c>
      <c r="P375" s="63" t="s">
        <v>1623</v>
      </c>
      <c r="Q375" s="63" t="s">
        <v>3444</v>
      </c>
      <c r="R375" s="63" t="s">
        <v>3445</v>
      </c>
      <c r="S375" s="63" t="s">
        <v>1616</v>
      </c>
      <c r="T375" s="63"/>
      <c r="U375" s="63"/>
      <c r="V375" s="63"/>
      <c r="W375" s="63"/>
      <c r="X375" s="63"/>
      <c r="Y375" s="63"/>
      <c r="Z375" s="63"/>
    </row>
    <row r="376" spans="1:26" ht="15.75" customHeight="1" x14ac:dyDescent="0.25">
      <c r="A376" s="63" t="s">
        <v>1298</v>
      </c>
      <c r="B376" s="63" t="s">
        <v>961</v>
      </c>
      <c r="C376" s="63" t="s">
        <v>391</v>
      </c>
      <c r="D376" s="63" t="s">
        <v>1595</v>
      </c>
      <c r="E376" s="63" t="s">
        <v>2687</v>
      </c>
      <c r="F376" s="63" t="s">
        <v>1597</v>
      </c>
      <c r="G376" s="63" t="s">
        <v>3446</v>
      </c>
      <c r="H376" s="63" t="s">
        <v>1610</v>
      </c>
      <c r="I376" s="63" t="s">
        <v>3120</v>
      </c>
      <c r="J376" s="63" t="s">
        <v>2718</v>
      </c>
      <c r="K376" s="63" t="s">
        <v>584</v>
      </c>
      <c r="L376" s="63" t="s">
        <v>1660</v>
      </c>
      <c r="M376" s="63" t="s">
        <v>1654</v>
      </c>
      <c r="N376" s="63" t="s">
        <v>1595</v>
      </c>
      <c r="O376" s="63" t="s">
        <v>1604</v>
      </c>
      <c r="P376" s="63" t="s">
        <v>1671</v>
      </c>
      <c r="Q376" s="63" t="s">
        <v>3447</v>
      </c>
      <c r="R376" s="63" t="s">
        <v>3448</v>
      </c>
      <c r="S376" s="63" t="s">
        <v>1616</v>
      </c>
      <c r="T376" s="63"/>
      <c r="U376" s="63"/>
      <c r="V376" s="63"/>
      <c r="W376" s="63"/>
      <c r="X376" s="63"/>
      <c r="Y376" s="63"/>
      <c r="Z376" s="63"/>
    </row>
    <row r="377" spans="1:26" ht="15.75" customHeight="1" x14ac:dyDescent="0.25">
      <c r="A377" s="63" t="s">
        <v>1300</v>
      </c>
      <c r="B377" s="63" t="s">
        <v>3449</v>
      </c>
      <c r="C377" s="63" t="s">
        <v>3450</v>
      </c>
      <c r="D377" s="63" t="s">
        <v>2084</v>
      </c>
      <c r="E377" s="63" t="s">
        <v>3451</v>
      </c>
      <c r="F377" s="63" t="s">
        <v>1597</v>
      </c>
      <c r="G377" s="63" t="s">
        <v>3452</v>
      </c>
      <c r="H377" s="63" t="s">
        <v>1742</v>
      </c>
      <c r="I377" s="63" t="s">
        <v>3453</v>
      </c>
      <c r="J377" s="63" t="s">
        <v>624</v>
      </c>
      <c r="K377" s="63" t="s">
        <v>572</v>
      </c>
      <c r="L377" s="63" t="s">
        <v>2663</v>
      </c>
      <c r="M377" s="63" t="s">
        <v>2083</v>
      </c>
      <c r="N377" s="63" t="s">
        <v>2084</v>
      </c>
      <c r="O377" s="63" t="s">
        <v>1604</v>
      </c>
      <c r="P377" s="63" t="s">
        <v>2085</v>
      </c>
      <c r="Q377" s="63" t="s">
        <v>3454</v>
      </c>
      <c r="R377" s="63" t="s">
        <v>3455</v>
      </c>
      <c r="S377" s="63" t="s">
        <v>1633</v>
      </c>
      <c r="T377" s="63"/>
      <c r="U377" s="63"/>
      <c r="V377" s="63"/>
      <c r="W377" s="63"/>
      <c r="X377" s="63"/>
      <c r="Y377" s="63"/>
      <c r="Z377" s="63"/>
    </row>
    <row r="378" spans="1:26" ht="15.75" customHeight="1" x14ac:dyDescent="0.25">
      <c r="A378" s="63" t="s">
        <v>1302</v>
      </c>
      <c r="B378" s="63" t="s">
        <v>775</v>
      </c>
      <c r="C378" s="63" t="s">
        <v>305</v>
      </c>
      <c r="D378" s="63" t="s">
        <v>3456</v>
      </c>
      <c r="E378" s="63" t="s">
        <v>3457</v>
      </c>
      <c r="F378" s="63" t="s">
        <v>1597</v>
      </c>
      <c r="G378" s="63" t="s">
        <v>3458</v>
      </c>
      <c r="H378" s="63" t="s">
        <v>1610</v>
      </c>
      <c r="I378" s="63" t="s">
        <v>3459</v>
      </c>
      <c r="J378" s="63" t="s">
        <v>556</v>
      </c>
      <c r="K378" s="63" t="s">
        <v>1601</v>
      </c>
      <c r="L378" s="63" t="s">
        <v>3460</v>
      </c>
      <c r="M378" s="63" t="s">
        <v>2145</v>
      </c>
      <c r="N378" s="63" t="s">
        <v>1595</v>
      </c>
      <c r="O378" s="63" t="s">
        <v>1604</v>
      </c>
      <c r="P378" s="63" t="s">
        <v>3461</v>
      </c>
      <c r="Q378" s="63" t="s">
        <v>3462</v>
      </c>
      <c r="R378" s="63" t="s">
        <v>3463</v>
      </c>
      <c r="S378" s="63" t="s">
        <v>1616</v>
      </c>
      <c r="T378" s="63"/>
      <c r="U378" s="63"/>
      <c r="V378" s="63"/>
      <c r="W378" s="63"/>
      <c r="X378" s="63"/>
      <c r="Y378" s="63"/>
      <c r="Z378" s="63"/>
    </row>
    <row r="379" spans="1:26" ht="15.75" customHeight="1" x14ac:dyDescent="0.25">
      <c r="A379" s="63" t="s">
        <v>1304</v>
      </c>
      <c r="B379" s="63" t="s">
        <v>851</v>
      </c>
      <c r="C379" s="63" t="s">
        <v>341</v>
      </c>
      <c r="D379" s="63" t="s">
        <v>2014</v>
      </c>
      <c r="E379" s="63" t="s">
        <v>3464</v>
      </c>
      <c r="F379" s="63" t="s">
        <v>1597</v>
      </c>
      <c r="G379" s="63" t="s">
        <v>3465</v>
      </c>
      <c r="H379" s="63" t="s">
        <v>1610</v>
      </c>
      <c r="I379" s="63" t="s">
        <v>3466</v>
      </c>
      <c r="J379" s="63" t="s">
        <v>3467</v>
      </c>
      <c r="K379" s="63" t="s">
        <v>3468</v>
      </c>
      <c r="L379" s="63" t="s">
        <v>3132</v>
      </c>
      <c r="M379" s="63" t="s">
        <v>3133</v>
      </c>
      <c r="N379" s="63" t="s">
        <v>2014</v>
      </c>
      <c r="O379" s="63" t="s">
        <v>1604</v>
      </c>
      <c r="P379" s="63" t="s">
        <v>5059</v>
      </c>
      <c r="Q379" s="63" t="s">
        <v>3469</v>
      </c>
      <c r="R379" s="63" t="s">
        <v>3470</v>
      </c>
      <c r="S379" s="63" t="s">
        <v>1633</v>
      </c>
      <c r="T379" s="63"/>
      <c r="U379" s="63"/>
      <c r="V379" s="63"/>
      <c r="W379" s="63"/>
      <c r="X379" s="63"/>
      <c r="Y379" s="63"/>
      <c r="Z379" s="63"/>
    </row>
    <row r="380" spans="1:26" ht="15.75" customHeight="1" x14ac:dyDescent="0.25">
      <c r="A380" s="63" t="s">
        <v>1306</v>
      </c>
      <c r="B380" s="63" t="s">
        <v>605</v>
      </c>
      <c r="C380" s="63" t="s">
        <v>471</v>
      </c>
      <c r="D380" s="63" t="s">
        <v>1595</v>
      </c>
      <c r="E380" s="63" t="s">
        <v>2904</v>
      </c>
      <c r="F380" s="63" t="s">
        <v>2079</v>
      </c>
      <c r="G380" s="63" t="s">
        <v>3471</v>
      </c>
      <c r="H380" s="63" t="s">
        <v>1627</v>
      </c>
      <c r="I380" s="63" t="s">
        <v>3472</v>
      </c>
      <c r="J380" s="63" t="s">
        <v>2318</v>
      </c>
      <c r="K380" s="63" t="s">
        <v>572</v>
      </c>
      <c r="L380" s="63" t="s">
        <v>2310</v>
      </c>
      <c r="M380" s="63" t="s">
        <v>1647</v>
      </c>
      <c r="N380" s="63" t="s">
        <v>1595</v>
      </c>
      <c r="O380" s="63" t="s">
        <v>1604</v>
      </c>
      <c r="P380" s="63" t="s">
        <v>1745</v>
      </c>
      <c r="Q380" s="63" t="s">
        <v>3473</v>
      </c>
      <c r="R380" s="63" t="s">
        <v>3474</v>
      </c>
      <c r="S380" s="63" t="s">
        <v>1607</v>
      </c>
      <c r="T380" s="63"/>
      <c r="U380" s="63"/>
      <c r="V380" s="63"/>
      <c r="W380" s="63"/>
      <c r="X380" s="63"/>
      <c r="Y380" s="63"/>
      <c r="Z380" s="63"/>
    </row>
    <row r="381" spans="1:26" ht="15.75" customHeight="1" x14ac:dyDescent="0.25">
      <c r="A381" s="63" t="s">
        <v>1308</v>
      </c>
      <c r="B381" s="63" t="s">
        <v>1021</v>
      </c>
      <c r="C381" s="63" t="s">
        <v>421</v>
      </c>
      <c r="D381" s="63" t="s">
        <v>1595</v>
      </c>
      <c r="E381" s="63" t="s">
        <v>3475</v>
      </c>
      <c r="F381" s="63" t="s">
        <v>1597</v>
      </c>
      <c r="G381" s="63" t="s">
        <v>3476</v>
      </c>
      <c r="H381" s="63" t="s">
        <v>1619</v>
      </c>
      <c r="I381" s="63" t="s">
        <v>3477</v>
      </c>
      <c r="J381" s="63" t="s">
        <v>3478</v>
      </c>
      <c r="K381" s="63" t="s">
        <v>2121</v>
      </c>
      <c r="L381" s="63" t="s">
        <v>2065</v>
      </c>
      <c r="M381" s="63" t="s">
        <v>1622</v>
      </c>
      <c r="N381" s="63" t="s">
        <v>1595</v>
      </c>
      <c r="O381" s="63" t="s">
        <v>1604</v>
      </c>
      <c r="P381" s="63" t="s">
        <v>3479</v>
      </c>
      <c r="Q381" s="63" t="s">
        <v>3480</v>
      </c>
      <c r="R381" s="63" t="s">
        <v>3481</v>
      </c>
      <c r="S381" s="63" t="s">
        <v>1723</v>
      </c>
      <c r="T381" s="63"/>
      <c r="U381" s="63"/>
      <c r="V381" s="63"/>
      <c r="W381" s="63"/>
      <c r="X381" s="63"/>
      <c r="Y381" s="63"/>
      <c r="Z381" s="63"/>
    </row>
    <row r="382" spans="1:26" ht="15.75" customHeight="1" x14ac:dyDescent="0.25">
      <c r="A382" s="63" t="s">
        <v>1310</v>
      </c>
      <c r="B382" s="63" t="s">
        <v>555</v>
      </c>
      <c r="C382" s="63" t="s">
        <v>446</v>
      </c>
      <c r="D382" s="63" t="s">
        <v>1595</v>
      </c>
      <c r="E382" s="63" t="s">
        <v>3482</v>
      </c>
      <c r="F382" s="63" t="s">
        <v>1597</v>
      </c>
      <c r="G382" s="63" t="s">
        <v>3483</v>
      </c>
      <c r="H382" s="63" t="s">
        <v>3484</v>
      </c>
      <c r="I382" s="63" t="s">
        <v>3485</v>
      </c>
      <c r="J382" s="63" t="s">
        <v>2225</v>
      </c>
      <c r="K382" s="63"/>
      <c r="L382" s="63" t="s">
        <v>1910</v>
      </c>
      <c r="M382" s="63" t="s">
        <v>1595</v>
      </c>
      <c r="N382" s="63" t="s">
        <v>1595</v>
      </c>
      <c r="O382" s="63" t="s">
        <v>1604</v>
      </c>
      <c r="P382" s="63" t="s">
        <v>5064</v>
      </c>
      <c r="Q382" s="63" t="s">
        <v>3486</v>
      </c>
      <c r="R382" s="63" t="s">
        <v>3487</v>
      </c>
      <c r="S382" s="63" t="s">
        <v>1607</v>
      </c>
      <c r="T382" s="63"/>
      <c r="U382" s="63"/>
      <c r="V382" s="63"/>
      <c r="W382" s="63"/>
      <c r="X382" s="63"/>
      <c r="Y382" s="63"/>
      <c r="Z382" s="63"/>
    </row>
    <row r="383" spans="1:26" ht="15.75" customHeight="1" x14ac:dyDescent="0.25">
      <c r="A383" s="63" t="s">
        <v>1312</v>
      </c>
      <c r="B383" s="63" t="s">
        <v>993</v>
      </c>
      <c r="C383" s="63" t="s">
        <v>407</v>
      </c>
      <c r="D383" s="63" t="s">
        <v>3488</v>
      </c>
      <c r="E383" s="63" t="s">
        <v>3489</v>
      </c>
      <c r="F383" s="63" t="s">
        <v>1597</v>
      </c>
      <c r="G383" s="63" t="s">
        <v>3490</v>
      </c>
      <c r="H383" s="63" t="s">
        <v>2499</v>
      </c>
      <c r="I383" s="63" t="s">
        <v>3491</v>
      </c>
      <c r="J383" s="63" t="s">
        <v>2547</v>
      </c>
      <c r="K383" s="63"/>
      <c r="L383" s="63" t="s">
        <v>3491</v>
      </c>
      <c r="M383" s="63" t="s">
        <v>1630</v>
      </c>
      <c r="N383" s="63" t="s">
        <v>3488</v>
      </c>
      <c r="O383" s="63" t="s">
        <v>1604</v>
      </c>
      <c r="P383" s="63" t="s">
        <v>5065</v>
      </c>
      <c r="Q383" s="63" t="s">
        <v>3492</v>
      </c>
      <c r="R383" s="63" t="s">
        <v>3493</v>
      </c>
      <c r="S383" s="63" t="s">
        <v>1616</v>
      </c>
      <c r="T383" s="63"/>
      <c r="U383" s="63"/>
      <c r="V383" s="63"/>
      <c r="W383" s="63"/>
      <c r="X383" s="63"/>
      <c r="Y383" s="63"/>
      <c r="Z383" s="63"/>
    </row>
    <row r="384" spans="1:26" ht="15.75" customHeight="1" x14ac:dyDescent="0.25">
      <c r="A384" s="63" t="s">
        <v>1314</v>
      </c>
      <c r="B384" s="63" t="s">
        <v>861</v>
      </c>
      <c r="C384" s="63" t="s">
        <v>345</v>
      </c>
      <c r="D384" s="63" t="s">
        <v>1595</v>
      </c>
      <c r="E384" s="63" t="s">
        <v>2486</v>
      </c>
      <c r="F384" s="63" t="s">
        <v>1597</v>
      </c>
      <c r="G384" s="63" t="s">
        <v>3494</v>
      </c>
      <c r="H384" s="63" t="s">
        <v>1927</v>
      </c>
      <c r="I384" s="63" t="s">
        <v>3495</v>
      </c>
      <c r="J384" s="63" t="s">
        <v>558</v>
      </c>
      <c r="K384" s="63" t="s">
        <v>1601</v>
      </c>
      <c r="L384" s="63" t="s">
        <v>2996</v>
      </c>
      <c r="M384" s="63" t="s">
        <v>2283</v>
      </c>
      <c r="N384" s="63" t="s">
        <v>1595</v>
      </c>
      <c r="O384" s="63" t="s">
        <v>1604</v>
      </c>
      <c r="P384" s="63" t="s">
        <v>5066</v>
      </c>
      <c r="Q384" s="63" t="s">
        <v>3496</v>
      </c>
      <c r="R384" s="63" t="s">
        <v>3497</v>
      </c>
      <c r="S384" s="63" t="s">
        <v>1616</v>
      </c>
      <c r="T384" s="63"/>
      <c r="U384" s="63"/>
      <c r="V384" s="63"/>
      <c r="W384" s="63"/>
      <c r="X384" s="63"/>
      <c r="Y384" s="63"/>
      <c r="Z384" s="63"/>
    </row>
    <row r="385" spans="1:26" ht="15.75" customHeight="1" x14ac:dyDescent="0.25">
      <c r="A385" s="63" t="s">
        <v>1316</v>
      </c>
      <c r="B385" s="63" t="s">
        <v>927</v>
      </c>
      <c r="C385" s="63" t="s">
        <v>374</v>
      </c>
      <c r="D385" s="63" t="s">
        <v>3488</v>
      </c>
      <c r="E385" s="63" t="s">
        <v>2237</v>
      </c>
      <c r="F385" s="63" t="s">
        <v>1597</v>
      </c>
      <c r="G385" s="63" t="s">
        <v>3498</v>
      </c>
      <c r="H385" s="63" t="s">
        <v>2499</v>
      </c>
      <c r="I385" s="63" t="s">
        <v>2224</v>
      </c>
      <c r="J385" s="63" t="s">
        <v>2718</v>
      </c>
      <c r="K385" s="63"/>
      <c r="L385" s="63" t="s">
        <v>2224</v>
      </c>
      <c r="M385" s="63" t="s">
        <v>3488</v>
      </c>
      <c r="N385" s="63" t="s">
        <v>3488</v>
      </c>
      <c r="O385" s="63" t="s">
        <v>1604</v>
      </c>
      <c r="P385" s="63" t="s">
        <v>2269</v>
      </c>
      <c r="Q385" s="63" t="s">
        <v>3499</v>
      </c>
      <c r="R385" s="63" t="s">
        <v>3500</v>
      </c>
      <c r="S385" s="63" t="s">
        <v>1616</v>
      </c>
      <c r="T385" s="63"/>
      <c r="U385" s="63"/>
      <c r="V385" s="63"/>
      <c r="W385" s="63"/>
      <c r="X385" s="63"/>
      <c r="Y385" s="63"/>
      <c r="Z385" s="63"/>
    </row>
    <row r="386" spans="1:26" ht="15.75" customHeight="1" x14ac:dyDescent="0.25">
      <c r="A386" s="63" t="s">
        <v>1318</v>
      </c>
      <c r="B386" s="63" t="s">
        <v>3501</v>
      </c>
      <c r="C386" s="63" t="s">
        <v>3502</v>
      </c>
      <c r="D386" s="63" t="s">
        <v>1595</v>
      </c>
      <c r="E386" s="63" t="s">
        <v>2616</v>
      </c>
      <c r="F386" s="63" t="s">
        <v>1597</v>
      </c>
      <c r="G386" s="63" t="s">
        <v>3503</v>
      </c>
      <c r="H386" s="63" t="s">
        <v>1619</v>
      </c>
      <c r="I386" s="63" t="s">
        <v>3504</v>
      </c>
      <c r="J386" s="63" t="s">
        <v>552</v>
      </c>
      <c r="K386" s="63" t="s">
        <v>1601</v>
      </c>
      <c r="L386" s="63" t="s">
        <v>2728</v>
      </c>
      <c r="M386" s="63" t="s">
        <v>1622</v>
      </c>
      <c r="N386" s="63" t="s">
        <v>1595</v>
      </c>
      <c r="O386" s="63" t="s">
        <v>1604</v>
      </c>
      <c r="P386" s="63" t="s">
        <v>1939</v>
      </c>
      <c r="Q386" s="63" t="s">
        <v>3505</v>
      </c>
      <c r="R386" s="63" t="s">
        <v>3506</v>
      </c>
      <c r="S386" s="63" t="s">
        <v>1616</v>
      </c>
      <c r="T386" s="63"/>
      <c r="U386" s="63"/>
      <c r="V386" s="63"/>
      <c r="W386" s="63"/>
      <c r="X386" s="63"/>
      <c r="Y386" s="63"/>
      <c r="Z386" s="63"/>
    </row>
    <row r="387" spans="1:26" ht="15.75" customHeight="1" x14ac:dyDescent="0.25">
      <c r="A387" s="63" t="s">
        <v>1320</v>
      </c>
      <c r="B387" s="63" t="s">
        <v>587</v>
      </c>
      <c r="C387" s="63" t="s">
        <v>462</v>
      </c>
      <c r="D387" s="63" t="s">
        <v>3488</v>
      </c>
      <c r="E387" s="63" t="s">
        <v>1886</v>
      </c>
      <c r="F387" s="63" t="s">
        <v>1597</v>
      </c>
      <c r="G387" s="63" t="s">
        <v>3507</v>
      </c>
      <c r="H387" s="63" t="s">
        <v>2938</v>
      </c>
      <c r="I387" s="63" t="s">
        <v>3508</v>
      </c>
      <c r="J387" s="63" t="s">
        <v>2547</v>
      </c>
      <c r="K387" s="63"/>
      <c r="L387" s="63" t="s">
        <v>1920</v>
      </c>
      <c r="M387" s="63" t="s">
        <v>1812</v>
      </c>
      <c r="N387" s="63" t="s">
        <v>3488</v>
      </c>
      <c r="O387" s="63" t="s">
        <v>1604</v>
      </c>
      <c r="P387" s="63" t="s">
        <v>2269</v>
      </c>
      <c r="Q387" s="63" t="s">
        <v>3509</v>
      </c>
      <c r="R387" s="63" t="s">
        <v>3510</v>
      </c>
      <c r="S387" s="63" t="s">
        <v>1607</v>
      </c>
      <c r="T387" s="63"/>
      <c r="U387" s="63"/>
      <c r="V387" s="63"/>
      <c r="W387" s="63"/>
      <c r="X387" s="63"/>
      <c r="Y387" s="63"/>
      <c r="Z387" s="63"/>
    </row>
    <row r="388" spans="1:26" ht="15.75" customHeight="1" x14ac:dyDescent="0.25">
      <c r="A388" s="63" t="s">
        <v>1322</v>
      </c>
      <c r="B388" s="63" t="s">
        <v>583</v>
      </c>
      <c r="C388" s="63" t="s">
        <v>460</v>
      </c>
      <c r="D388" s="63" t="s">
        <v>1595</v>
      </c>
      <c r="E388" s="63" t="s">
        <v>3511</v>
      </c>
      <c r="F388" s="63" t="s">
        <v>1597</v>
      </c>
      <c r="G388" s="63" t="s">
        <v>3512</v>
      </c>
      <c r="H388" s="63" t="s">
        <v>2121</v>
      </c>
      <c r="I388" s="63" t="s">
        <v>3513</v>
      </c>
      <c r="J388" s="63" t="s">
        <v>2718</v>
      </c>
      <c r="K388" s="63"/>
      <c r="L388" s="63" t="s">
        <v>2310</v>
      </c>
      <c r="M388" s="63" t="s">
        <v>1647</v>
      </c>
      <c r="N388" s="63" t="s">
        <v>1595</v>
      </c>
      <c r="O388" s="63" t="s">
        <v>1604</v>
      </c>
      <c r="P388" s="63" t="s">
        <v>1864</v>
      </c>
      <c r="Q388" s="63" t="s">
        <v>3514</v>
      </c>
      <c r="R388" s="63" t="s">
        <v>3515</v>
      </c>
      <c r="S388" s="63" t="s">
        <v>1607</v>
      </c>
      <c r="T388" s="63"/>
      <c r="U388" s="63"/>
      <c r="V388" s="63"/>
      <c r="W388" s="63"/>
      <c r="X388" s="63"/>
      <c r="Y388" s="63"/>
      <c r="Z388" s="63"/>
    </row>
    <row r="389" spans="1:26" ht="15.75" customHeight="1" x14ac:dyDescent="0.25">
      <c r="A389" s="63" t="s">
        <v>1324</v>
      </c>
      <c r="B389" s="63" t="s">
        <v>1389</v>
      </c>
      <c r="C389" s="63" t="s">
        <v>292</v>
      </c>
      <c r="D389" s="63" t="s">
        <v>3516</v>
      </c>
      <c r="E389" s="63" t="s">
        <v>1740</v>
      </c>
      <c r="F389" s="63" t="s">
        <v>1597</v>
      </c>
      <c r="G389" s="63" t="s">
        <v>3517</v>
      </c>
      <c r="H389" s="63" t="s">
        <v>3518</v>
      </c>
      <c r="I389" s="63" t="s">
        <v>3519</v>
      </c>
      <c r="J389" s="63" t="s">
        <v>562</v>
      </c>
      <c r="K389" s="63"/>
      <c r="L389" s="63" t="s">
        <v>2144</v>
      </c>
      <c r="M389" s="63" t="s">
        <v>2145</v>
      </c>
      <c r="N389" s="63" t="s">
        <v>1595</v>
      </c>
      <c r="O389" s="63" t="s">
        <v>1604</v>
      </c>
      <c r="P389" s="63" t="s">
        <v>2526</v>
      </c>
      <c r="Q389" s="63" t="s">
        <v>3520</v>
      </c>
      <c r="R389" s="63" t="s">
        <v>3521</v>
      </c>
      <c r="S389" s="63" t="s">
        <v>1633</v>
      </c>
      <c r="T389" s="63"/>
      <c r="U389" s="63"/>
      <c r="V389" s="63"/>
      <c r="W389" s="63"/>
      <c r="X389" s="63"/>
      <c r="Y389" s="63"/>
      <c r="Z389" s="63"/>
    </row>
    <row r="390" spans="1:26" ht="15.75" customHeight="1" x14ac:dyDescent="0.25">
      <c r="A390" s="63" t="s">
        <v>1326</v>
      </c>
      <c r="B390" s="63" t="s">
        <v>1493</v>
      </c>
      <c r="C390" s="63" t="s">
        <v>104</v>
      </c>
      <c r="D390" s="63" t="s">
        <v>1595</v>
      </c>
      <c r="E390" s="63" t="s">
        <v>3522</v>
      </c>
      <c r="F390" s="63" t="s">
        <v>1597</v>
      </c>
      <c r="G390" s="63" t="s">
        <v>3523</v>
      </c>
      <c r="H390" s="63" t="s">
        <v>1610</v>
      </c>
      <c r="I390" s="63" t="s">
        <v>3524</v>
      </c>
      <c r="J390" s="63" t="s">
        <v>554</v>
      </c>
      <c r="K390" s="63" t="s">
        <v>2121</v>
      </c>
      <c r="L390" s="63" t="s">
        <v>2190</v>
      </c>
      <c r="M390" s="63" t="s">
        <v>1603</v>
      </c>
      <c r="N390" s="63" t="s">
        <v>1595</v>
      </c>
      <c r="O390" s="63" t="s">
        <v>1604</v>
      </c>
      <c r="P390" s="63" t="s">
        <v>2504</v>
      </c>
      <c r="Q390" s="63" t="s">
        <v>3525</v>
      </c>
      <c r="R390" s="63" t="s">
        <v>3526</v>
      </c>
      <c r="S390" s="63" t="s">
        <v>1633</v>
      </c>
      <c r="T390" s="63"/>
      <c r="U390" s="63"/>
      <c r="V390" s="63"/>
      <c r="W390" s="63"/>
      <c r="X390" s="63"/>
      <c r="Y390" s="63"/>
      <c r="Z390" s="63"/>
    </row>
    <row r="391" spans="1:26" ht="15.75" customHeight="1" x14ac:dyDescent="0.25">
      <c r="A391" s="63" t="s">
        <v>1328</v>
      </c>
      <c r="B391" s="63" t="s">
        <v>957</v>
      </c>
      <c r="C391" s="63" t="s">
        <v>389</v>
      </c>
      <c r="D391" s="63" t="s">
        <v>1595</v>
      </c>
      <c r="E391" s="63" t="s">
        <v>3527</v>
      </c>
      <c r="F391" s="63" t="s">
        <v>1597</v>
      </c>
      <c r="G391" s="63" t="s">
        <v>2639</v>
      </c>
      <c r="H391" s="63" t="s">
        <v>1610</v>
      </c>
      <c r="I391" s="63" t="s">
        <v>3528</v>
      </c>
      <c r="J391" s="63" t="s">
        <v>2547</v>
      </c>
      <c r="K391" s="63" t="s">
        <v>2121</v>
      </c>
      <c r="L391" s="63" t="s">
        <v>1758</v>
      </c>
      <c r="M391" s="63" t="s">
        <v>1613</v>
      </c>
      <c r="N391" s="63" t="s">
        <v>1595</v>
      </c>
      <c r="O391" s="63" t="s">
        <v>1604</v>
      </c>
      <c r="P391" s="63" t="s">
        <v>1666</v>
      </c>
      <c r="Q391" s="63" t="s">
        <v>3529</v>
      </c>
      <c r="R391" s="63" t="s">
        <v>3530</v>
      </c>
      <c r="S391" s="63" t="s">
        <v>1616</v>
      </c>
      <c r="T391" s="63"/>
      <c r="U391" s="63"/>
      <c r="V391" s="63"/>
      <c r="W391" s="63"/>
      <c r="X391" s="63"/>
      <c r="Y391" s="63"/>
      <c r="Z391" s="63"/>
    </row>
    <row r="392" spans="1:26" ht="15.75" customHeight="1" x14ac:dyDescent="0.25">
      <c r="A392" s="63" t="s">
        <v>1330</v>
      </c>
      <c r="B392" s="63" t="s">
        <v>787</v>
      </c>
      <c r="C392" s="63" t="s">
        <v>310</v>
      </c>
      <c r="D392" s="63" t="s">
        <v>1595</v>
      </c>
      <c r="E392" s="63" t="s">
        <v>2202</v>
      </c>
      <c r="F392" s="63" t="s">
        <v>1597</v>
      </c>
      <c r="G392" s="63" t="s">
        <v>3531</v>
      </c>
      <c r="H392" s="63" t="s">
        <v>1610</v>
      </c>
      <c r="I392" s="63" t="s">
        <v>3532</v>
      </c>
      <c r="J392" s="63" t="s">
        <v>2476</v>
      </c>
      <c r="K392" s="63" t="s">
        <v>2121</v>
      </c>
      <c r="L392" s="63" t="s">
        <v>2320</v>
      </c>
      <c r="M392" s="63" t="s">
        <v>1622</v>
      </c>
      <c r="N392" s="63" t="s">
        <v>1595</v>
      </c>
      <c r="O392" s="63" t="s">
        <v>1604</v>
      </c>
      <c r="P392" s="63" t="s">
        <v>2108</v>
      </c>
      <c r="Q392" s="63" t="s">
        <v>3533</v>
      </c>
      <c r="R392" s="63" t="s">
        <v>3534</v>
      </c>
      <c r="S392" s="63" t="s">
        <v>1616</v>
      </c>
      <c r="T392" s="63"/>
      <c r="U392" s="63"/>
      <c r="V392" s="63"/>
      <c r="W392" s="63"/>
      <c r="X392" s="63"/>
      <c r="Y392" s="63"/>
      <c r="Z392" s="63"/>
    </row>
    <row r="393" spans="1:26" ht="15.75" customHeight="1" x14ac:dyDescent="0.25">
      <c r="A393" s="63" t="s">
        <v>1332</v>
      </c>
      <c r="B393" s="63" t="s">
        <v>931</v>
      </c>
      <c r="C393" s="63" t="s">
        <v>376</v>
      </c>
      <c r="D393" s="63" t="s">
        <v>1595</v>
      </c>
      <c r="E393" s="63" t="s">
        <v>3535</v>
      </c>
      <c r="F393" s="63" t="s">
        <v>1597</v>
      </c>
      <c r="G393" s="63" t="s">
        <v>3536</v>
      </c>
      <c r="H393" s="63" t="s">
        <v>1610</v>
      </c>
      <c r="I393" s="63" t="s">
        <v>2356</v>
      </c>
      <c r="J393" s="63" t="s">
        <v>2547</v>
      </c>
      <c r="K393" s="63"/>
      <c r="L393" s="63" t="s">
        <v>3356</v>
      </c>
      <c r="M393" s="63" t="s">
        <v>1630</v>
      </c>
      <c r="N393" s="63" t="s">
        <v>1595</v>
      </c>
      <c r="O393" s="63" t="s">
        <v>1604</v>
      </c>
      <c r="P393" s="63" t="s">
        <v>1833</v>
      </c>
      <c r="Q393" s="63" t="s">
        <v>3537</v>
      </c>
      <c r="R393" s="63" t="s">
        <v>3537</v>
      </c>
      <c r="S393" s="63" t="s">
        <v>1633</v>
      </c>
      <c r="T393" s="63"/>
      <c r="U393" s="63"/>
      <c r="V393" s="63"/>
      <c r="W393" s="63"/>
      <c r="X393" s="63"/>
      <c r="Y393" s="63"/>
      <c r="Z393" s="63"/>
    </row>
    <row r="394" spans="1:26" ht="15.75" customHeight="1" x14ac:dyDescent="0.25">
      <c r="A394" s="63" t="s">
        <v>1334</v>
      </c>
      <c r="B394" s="63" t="s">
        <v>843</v>
      </c>
      <c r="C394" s="63" t="s">
        <v>337</v>
      </c>
      <c r="D394" s="63" t="s">
        <v>1595</v>
      </c>
      <c r="E394" s="63" t="s">
        <v>3538</v>
      </c>
      <c r="F394" s="63" t="s">
        <v>1597</v>
      </c>
      <c r="G394" s="63" t="s">
        <v>3539</v>
      </c>
      <c r="H394" s="63" t="s">
        <v>1619</v>
      </c>
      <c r="I394" s="63" t="s">
        <v>3312</v>
      </c>
      <c r="J394" s="63" t="s">
        <v>2318</v>
      </c>
      <c r="K394" s="63" t="s">
        <v>2121</v>
      </c>
      <c r="L394" s="63" t="s">
        <v>2996</v>
      </c>
      <c r="M394" s="63" t="s">
        <v>2283</v>
      </c>
      <c r="N394" s="63" t="s">
        <v>1595</v>
      </c>
      <c r="O394" s="63" t="s">
        <v>1604</v>
      </c>
      <c r="P394" s="63" t="s">
        <v>5067</v>
      </c>
      <c r="Q394" s="63" t="s">
        <v>3540</v>
      </c>
      <c r="R394" s="63" t="s">
        <v>3541</v>
      </c>
      <c r="S394" s="63" t="s">
        <v>1616</v>
      </c>
      <c r="T394" s="63"/>
      <c r="U394" s="63"/>
      <c r="V394" s="63"/>
      <c r="W394" s="63"/>
      <c r="X394" s="63"/>
      <c r="Y394" s="63"/>
      <c r="Z394" s="63"/>
    </row>
    <row r="395" spans="1:26" ht="15.75" customHeight="1" x14ac:dyDescent="0.25">
      <c r="A395" s="63" t="s">
        <v>1336</v>
      </c>
      <c r="B395" s="63" t="s">
        <v>3542</v>
      </c>
      <c r="C395" s="63" t="s">
        <v>3543</v>
      </c>
      <c r="D395" s="63" t="s">
        <v>1595</v>
      </c>
      <c r="E395" s="63" t="s">
        <v>2834</v>
      </c>
      <c r="F395" s="63" t="s">
        <v>1597</v>
      </c>
      <c r="G395" s="63" t="s">
        <v>3544</v>
      </c>
      <c r="H395" s="63" t="s">
        <v>1619</v>
      </c>
      <c r="I395" s="63" t="s">
        <v>1620</v>
      </c>
      <c r="J395" s="63" t="s">
        <v>568</v>
      </c>
      <c r="K395" s="63" t="s">
        <v>1601</v>
      </c>
      <c r="L395" s="63" t="s">
        <v>1621</v>
      </c>
      <c r="M395" s="63" t="s">
        <v>1622</v>
      </c>
      <c r="N395" s="63" t="s">
        <v>1595</v>
      </c>
      <c r="O395" s="63" t="s">
        <v>1604</v>
      </c>
      <c r="P395" s="63" t="s">
        <v>1623</v>
      </c>
      <c r="Q395" s="63" t="s">
        <v>3545</v>
      </c>
      <c r="R395" s="63" t="s">
        <v>3546</v>
      </c>
      <c r="S395" s="63" t="s">
        <v>1616</v>
      </c>
      <c r="T395" s="63"/>
      <c r="U395" s="63"/>
      <c r="V395" s="63"/>
      <c r="W395" s="63"/>
      <c r="X395" s="63"/>
      <c r="Y395" s="63"/>
      <c r="Z395" s="63"/>
    </row>
    <row r="396" spans="1:26" ht="15.75" customHeight="1" x14ac:dyDescent="0.25">
      <c r="A396" s="63" t="s">
        <v>1338</v>
      </c>
      <c r="B396" s="63" t="s">
        <v>1511</v>
      </c>
      <c r="C396" s="63" t="s">
        <v>112</v>
      </c>
      <c r="D396" s="63" t="s">
        <v>1595</v>
      </c>
      <c r="E396" s="63" t="s">
        <v>3547</v>
      </c>
      <c r="F396" s="63" t="s">
        <v>1597</v>
      </c>
      <c r="G396" s="63" t="s">
        <v>3548</v>
      </c>
      <c r="H396" s="63" t="s">
        <v>3549</v>
      </c>
      <c r="I396" s="63" t="s">
        <v>3550</v>
      </c>
      <c r="J396" s="63" t="s">
        <v>3038</v>
      </c>
      <c r="K396" s="63" t="s">
        <v>2843</v>
      </c>
      <c r="L396" s="63" t="s">
        <v>1785</v>
      </c>
      <c r="M396" s="63" t="s">
        <v>1785</v>
      </c>
      <c r="N396" s="63" t="s">
        <v>1595</v>
      </c>
      <c r="O396" s="63" t="s">
        <v>1604</v>
      </c>
      <c r="P396" s="63" t="s">
        <v>1786</v>
      </c>
      <c r="Q396" s="63" t="s">
        <v>3551</v>
      </c>
      <c r="R396" s="63" t="s">
        <v>3552</v>
      </c>
      <c r="S396" s="63" t="s">
        <v>1723</v>
      </c>
      <c r="T396" s="63"/>
      <c r="U396" s="63"/>
      <c r="V396" s="63"/>
      <c r="W396" s="63"/>
      <c r="X396" s="63"/>
      <c r="Y396" s="63"/>
      <c r="Z396" s="63"/>
    </row>
    <row r="397" spans="1:26" ht="15.75" customHeight="1" x14ac:dyDescent="0.25">
      <c r="A397" s="63" t="s">
        <v>1340</v>
      </c>
      <c r="B397" s="63" t="s">
        <v>3553</v>
      </c>
      <c r="C397" s="63" t="s">
        <v>3554</v>
      </c>
      <c r="D397" s="63" t="s">
        <v>1595</v>
      </c>
      <c r="E397" s="63" t="s">
        <v>3555</v>
      </c>
      <c r="F397" s="63" t="s">
        <v>1597</v>
      </c>
      <c r="G397" s="63" t="s">
        <v>3556</v>
      </c>
      <c r="H397" s="63" t="s">
        <v>1610</v>
      </c>
      <c r="I397" s="63" t="s">
        <v>3557</v>
      </c>
      <c r="J397" s="63" t="s">
        <v>2318</v>
      </c>
      <c r="K397" s="63"/>
      <c r="L397" s="63" t="s">
        <v>2268</v>
      </c>
      <c r="M397" s="63" t="s">
        <v>1812</v>
      </c>
      <c r="N397" s="63" t="s">
        <v>1595</v>
      </c>
      <c r="O397" s="63" t="s">
        <v>1604</v>
      </c>
      <c r="P397" s="63" t="s">
        <v>2269</v>
      </c>
      <c r="Q397" s="63" t="s">
        <v>2121</v>
      </c>
      <c r="R397" s="63" t="s">
        <v>3558</v>
      </c>
      <c r="S397" s="63" t="s">
        <v>1633</v>
      </c>
      <c r="T397" s="63"/>
      <c r="U397" s="63"/>
      <c r="V397" s="63"/>
      <c r="W397" s="63"/>
      <c r="X397" s="63"/>
      <c r="Y397" s="63"/>
      <c r="Z397" s="63"/>
    </row>
    <row r="398" spans="1:26" ht="15.75" customHeight="1" x14ac:dyDescent="0.25">
      <c r="A398" s="63" t="s">
        <v>1342</v>
      </c>
      <c r="B398" s="63" t="s">
        <v>1317</v>
      </c>
      <c r="C398" s="63" t="s">
        <v>257</v>
      </c>
      <c r="D398" s="63" t="s">
        <v>1595</v>
      </c>
      <c r="E398" s="63" t="s">
        <v>3559</v>
      </c>
      <c r="F398" s="63" t="s">
        <v>1597</v>
      </c>
      <c r="G398" s="63" t="s">
        <v>3560</v>
      </c>
      <c r="H398" s="63" t="s">
        <v>1888</v>
      </c>
      <c r="I398" s="63" t="s">
        <v>3561</v>
      </c>
      <c r="J398" s="63" t="s">
        <v>700</v>
      </c>
      <c r="K398" s="63"/>
      <c r="L398" s="63" t="s">
        <v>2065</v>
      </c>
      <c r="M398" s="63" t="s">
        <v>1622</v>
      </c>
      <c r="N398" s="63" t="s">
        <v>1595</v>
      </c>
      <c r="O398" s="63" t="s">
        <v>1604</v>
      </c>
      <c r="P398" s="63" t="s">
        <v>2085</v>
      </c>
      <c r="Q398" s="63" t="s">
        <v>3562</v>
      </c>
      <c r="R398" s="63" t="s">
        <v>3563</v>
      </c>
      <c r="S398" s="63" t="s">
        <v>1633</v>
      </c>
      <c r="T398" s="63"/>
      <c r="U398" s="63"/>
      <c r="V398" s="63"/>
      <c r="W398" s="63"/>
      <c r="X398" s="63"/>
      <c r="Y398" s="63"/>
      <c r="Z398" s="63"/>
    </row>
    <row r="399" spans="1:26" ht="15.75" customHeight="1" x14ac:dyDescent="0.25">
      <c r="A399" s="63" t="s">
        <v>1344</v>
      </c>
      <c r="B399" s="63" t="s">
        <v>633</v>
      </c>
      <c r="C399" s="63" t="s">
        <v>485</v>
      </c>
      <c r="D399" s="63" t="s">
        <v>1595</v>
      </c>
      <c r="E399" s="63" t="s">
        <v>3564</v>
      </c>
      <c r="F399" s="63" t="s">
        <v>1597</v>
      </c>
      <c r="G399" s="63" t="s">
        <v>3565</v>
      </c>
      <c r="H399" s="63" t="s">
        <v>1619</v>
      </c>
      <c r="I399" s="63" t="s">
        <v>3566</v>
      </c>
      <c r="J399" s="63" t="s">
        <v>554</v>
      </c>
      <c r="K399" s="63" t="s">
        <v>1601</v>
      </c>
      <c r="L399" s="63" t="s">
        <v>3567</v>
      </c>
      <c r="M399" s="63" t="s">
        <v>1785</v>
      </c>
      <c r="N399" s="63" t="s">
        <v>1595</v>
      </c>
      <c r="O399" s="63" t="s">
        <v>1604</v>
      </c>
      <c r="P399" s="63" t="s">
        <v>1786</v>
      </c>
      <c r="Q399" s="63" t="s">
        <v>3568</v>
      </c>
      <c r="R399" s="63" t="s">
        <v>3569</v>
      </c>
      <c r="S399" s="63" t="s">
        <v>1723</v>
      </c>
      <c r="T399" s="63"/>
      <c r="U399" s="63"/>
      <c r="V399" s="63"/>
      <c r="W399" s="63"/>
      <c r="X399" s="63"/>
      <c r="Y399" s="63"/>
      <c r="Z399" s="63"/>
    </row>
    <row r="400" spans="1:26" ht="15.75" customHeight="1" x14ac:dyDescent="0.25">
      <c r="A400" s="63" t="s">
        <v>1346</v>
      </c>
      <c r="B400" s="63" t="s">
        <v>3570</v>
      </c>
      <c r="C400" s="63" t="s">
        <v>3571</v>
      </c>
      <c r="D400" s="63" t="s">
        <v>3572</v>
      </c>
      <c r="E400" s="63" t="s">
        <v>1840</v>
      </c>
      <c r="F400" s="63" t="s">
        <v>1597</v>
      </c>
      <c r="G400" s="63" t="s">
        <v>3573</v>
      </c>
      <c r="H400" s="63" t="s">
        <v>1619</v>
      </c>
      <c r="I400" s="63" t="s">
        <v>2752</v>
      </c>
      <c r="J400" s="63" t="s">
        <v>2428</v>
      </c>
      <c r="K400" s="63" t="s">
        <v>2121</v>
      </c>
      <c r="L400" s="63" t="s">
        <v>1933</v>
      </c>
      <c r="M400" s="63" t="s">
        <v>1687</v>
      </c>
      <c r="N400" s="63" t="s">
        <v>1595</v>
      </c>
      <c r="O400" s="63" t="s">
        <v>1604</v>
      </c>
      <c r="P400" s="63" t="s">
        <v>3574</v>
      </c>
      <c r="Q400" s="63" t="s">
        <v>3575</v>
      </c>
      <c r="R400" s="63" t="s">
        <v>3576</v>
      </c>
      <c r="S400" s="63" t="s">
        <v>1616</v>
      </c>
      <c r="T400" s="63"/>
      <c r="U400" s="63"/>
      <c r="V400" s="63"/>
      <c r="W400" s="63"/>
      <c r="X400" s="63"/>
      <c r="Y400" s="63"/>
      <c r="Z400" s="63"/>
    </row>
    <row r="401" spans="1:26" ht="15.75" customHeight="1" x14ac:dyDescent="0.25">
      <c r="A401" s="63" t="s">
        <v>1348</v>
      </c>
      <c r="B401" s="63" t="s">
        <v>1001</v>
      </c>
      <c r="C401" s="63" t="s">
        <v>411</v>
      </c>
      <c r="D401" s="63" t="s">
        <v>1595</v>
      </c>
      <c r="E401" s="63" t="s">
        <v>3577</v>
      </c>
      <c r="F401" s="63" t="s">
        <v>1597</v>
      </c>
      <c r="G401" s="63" t="s">
        <v>3578</v>
      </c>
      <c r="H401" s="63" t="s">
        <v>1610</v>
      </c>
      <c r="I401" s="63" t="s">
        <v>2689</v>
      </c>
      <c r="J401" s="63" t="s">
        <v>3072</v>
      </c>
      <c r="K401" s="63"/>
      <c r="L401" s="63" t="s">
        <v>1660</v>
      </c>
      <c r="M401" s="63" t="s">
        <v>1654</v>
      </c>
      <c r="N401" s="63" t="s">
        <v>1595</v>
      </c>
      <c r="O401" s="63" t="s">
        <v>1604</v>
      </c>
      <c r="P401" s="63" t="s">
        <v>1671</v>
      </c>
      <c r="Q401" s="63" t="s">
        <v>3579</v>
      </c>
      <c r="R401" s="63" t="s">
        <v>3580</v>
      </c>
      <c r="S401" s="63" t="s">
        <v>1616</v>
      </c>
      <c r="T401" s="63"/>
      <c r="U401" s="63"/>
      <c r="V401" s="63"/>
      <c r="W401" s="63"/>
      <c r="X401" s="63"/>
      <c r="Y401" s="63"/>
      <c r="Z401" s="63"/>
    </row>
    <row r="402" spans="1:26" ht="15.75" customHeight="1" x14ac:dyDescent="0.25">
      <c r="A402" s="63" t="s">
        <v>1350</v>
      </c>
      <c r="B402" s="63" t="s">
        <v>813</v>
      </c>
      <c r="C402" s="63" t="s">
        <v>323</v>
      </c>
      <c r="D402" s="63" t="s">
        <v>1595</v>
      </c>
      <c r="E402" s="63" t="s">
        <v>2141</v>
      </c>
      <c r="F402" s="63" t="s">
        <v>1597</v>
      </c>
      <c r="G402" s="63" t="s">
        <v>3581</v>
      </c>
      <c r="H402" s="63" t="s">
        <v>1610</v>
      </c>
      <c r="I402" s="63" t="s">
        <v>3582</v>
      </c>
      <c r="J402" s="63" t="s">
        <v>3467</v>
      </c>
      <c r="K402" s="63"/>
      <c r="L402" s="63" t="s">
        <v>3356</v>
      </c>
      <c r="M402" s="63" t="s">
        <v>1630</v>
      </c>
      <c r="N402" s="63" t="s">
        <v>1595</v>
      </c>
      <c r="O402" s="63" t="s">
        <v>1604</v>
      </c>
      <c r="P402" s="63" t="s">
        <v>2061</v>
      </c>
      <c r="Q402" s="63" t="s">
        <v>3583</v>
      </c>
      <c r="R402" s="63" t="s">
        <v>3584</v>
      </c>
      <c r="S402" s="63" t="s">
        <v>1616</v>
      </c>
      <c r="T402" s="63"/>
      <c r="U402" s="63"/>
      <c r="V402" s="63"/>
      <c r="W402" s="63"/>
      <c r="X402" s="63"/>
      <c r="Y402" s="63"/>
      <c r="Z402" s="63"/>
    </row>
    <row r="403" spans="1:26" ht="15.75" customHeight="1" x14ac:dyDescent="0.25">
      <c r="A403" s="63" t="s">
        <v>1352</v>
      </c>
      <c r="B403" s="63" t="s">
        <v>695</v>
      </c>
      <c r="C403" s="63" t="s">
        <v>515</v>
      </c>
      <c r="D403" s="63" t="s">
        <v>1595</v>
      </c>
      <c r="E403" s="63" t="s">
        <v>2447</v>
      </c>
      <c r="F403" s="63" t="s">
        <v>1597</v>
      </c>
      <c r="G403" s="63" t="s">
        <v>3585</v>
      </c>
      <c r="H403" s="63" t="s">
        <v>1627</v>
      </c>
      <c r="I403" s="63" t="s">
        <v>3586</v>
      </c>
      <c r="J403" s="63" t="s">
        <v>2939</v>
      </c>
      <c r="K403" s="63" t="s">
        <v>2547</v>
      </c>
      <c r="L403" s="63" t="s">
        <v>1785</v>
      </c>
      <c r="M403" s="63" t="s">
        <v>1785</v>
      </c>
      <c r="N403" s="63" t="s">
        <v>1595</v>
      </c>
      <c r="O403" s="63" t="s">
        <v>1604</v>
      </c>
      <c r="P403" s="63" t="s">
        <v>1795</v>
      </c>
      <c r="Q403" s="63" t="s">
        <v>3587</v>
      </c>
      <c r="R403" s="63" t="s">
        <v>3588</v>
      </c>
      <c r="S403" s="63" t="s">
        <v>1607</v>
      </c>
      <c r="T403" s="63"/>
      <c r="U403" s="63"/>
      <c r="V403" s="63"/>
      <c r="W403" s="63"/>
      <c r="X403" s="63"/>
      <c r="Y403" s="63"/>
      <c r="Z403" s="63"/>
    </row>
    <row r="404" spans="1:26" ht="15.75" customHeight="1" x14ac:dyDescent="0.25">
      <c r="A404" s="63" t="s">
        <v>1354</v>
      </c>
      <c r="B404" s="63" t="s">
        <v>669</v>
      </c>
      <c r="C404" s="63" t="s">
        <v>503</v>
      </c>
      <c r="D404" s="63" t="s">
        <v>1595</v>
      </c>
      <c r="E404" s="63" t="s">
        <v>2755</v>
      </c>
      <c r="F404" s="63" t="s">
        <v>1597</v>
      </c>
      <c r="G404" s="63" t="s">
        <v>2756</v>
      </c>
      <c r="H404" s="63" t="s">
        <v>1619</v>
      </c>
      <c r="I404" s="63" t="s">
        <v>3589</v>
      </c>
      <c r="J404" s="63" t="s">
        <v>2483</v>
      </c>
      <c r="K404" s="63"/>
      <c r="L404" s="63" t="s">
        <v>1629</v>
      </c>
      <c r="M404" s="63" t="s">
        <v>1630</v>
      </c>
      <c r="N404" s="63" t="s">
        <v>1595</v>
      </c>
      <c r="O404" s="63" t="s">
        <v>1604</v>
      </c>
      <c r="P404" s="63" t="s">
        <v>1833</v>
      </c>
      <c r="Q404" s="63" t="s">
        <v>2757</v>
      </c>
      <c r="R404" s="63" t="s">
        <v>2758</v>
      </c>
      <c r="S404" s="63" t="s">
        <v>1607</v>
      </c>
      <c r="T404" s="63"/>
      <c r="U404" s="63"/>
      <c r="V404" s="63"/>
      <c r="W404" s="63"/>
      <c r="X404" s="63"/>
      <c r="Y404" s="63"/>
      <c r="Z404" s="63"/>
    </row>
    <row r="405" spans="1:26" ht="15.75" customHeight="1" x14ac:dyDescent="0.25">
      <c r="A405" s="63" t="s">
        <v>1356</v>
      </c>
      <c r="B405" s="63" t="s">
        <v>1225</v>
      </c>
      <c r="C405" s="63" t="s">
        <v>212</v>
      </c>
      <c r="D405" s="63" t="s">
        <v>1595</v>
      </c>
      <c r="E405" s="63" t="s">
        <v>3194</v>
      </c>
      <c r="F405" s="63" t="s">
        <v>1597</v>
      </c>
      <c r="G405" s="63" t="s">
        <v>3590</v>
      </c>
      <c r="H405" s="63" t="s">
        <v>1610</v>
      </c>
      <c r="I405" s="63" t="s">
        <v>1603</v>
      </c>
      <c r="J405" s="63" t="s">
        <v>2939</v>
      </c>
      <c r="K405" s="63"/>
      <c r="L405" s="63" t="s">
        <v>2190</v>
      </c>
      <c r="M405" s="63" t="s">
        <v>1603</v>
      </c>
      <c r="N405" s="63" t="s">
        <v>1595</v>
      </c>
      <c r="O405" s="63" t="s">
        <v>1604</v>
      </c>
      <c r="P405" s="63" t="s">
        <v>1605</v>
      </c>
      <c r="Q405" s="63" t="s">
        <v>3591</v>
      </c>
      <c r="R405" s="63" t="s">
        <v>3591</v>
      </c>
      <c r="S405" s="63" t="s">
        <v>1633</v>
      </c>
      <c r="T405" s="63"/>
      <c r="U405" s="63"/>
      <c r="V405" s="63"/>
      <c r="W405" s="63"/>
      <c r="X405" s="63"/>
      <c r="Y405" s="63"/>
      <c r="Z405" s="63"/>
    </row>
    <row r="406" spans="1:26" ht="15.75" customHeight="1" x14ac:dyDescent="0.25">
      <c r="A406" s="63" t="s">
        <v>1358</v>
      </c>
      <c r="B406" s="63" t="s">
        <v>575</v>
      </c>
      <c r="C406" s="63" t="s">
        <v>456</v>
      </c>
      <c r="D406" s="63" t="s">
        <v>1595</v>
      </c>
      <c r="E406" s="63" t="s">
        <v>3592</v>
      </c>
      <c r="F406" s="63" t="s">
        <v>2079</v>
      </c>
      <c r="G406" s="63" t="s">
        <v>3593</v>
      </c>
      <c r="H406" s="63" t="s">
        <v>1610</v>
      </c>
      <c r="I406" s="63" t="s">
        <v>3239</v>
      </c>
      <c r="J406" s="63" t="s">
        <v>3088</v>
      </c>
      <c r="K406" s="63" t="s">
        <v>2121</v>
      </c>
      <c r="L406" s="63" t="s">
        <v>3594</v>
      </c>
      <c r="M406" s="63" t="s">
        <v>1603</v>
      </c>
      <c r="N406" s="63" t="s">
        <v>1595</v>
      </c>
      <c r="O406" s="63" t="s">
        <v>1604</v>
      </c>
      <c r="P406" s="63" t="s">
        <v>2108</v>
      </c>
      <c r="Q406" s="63" t="s">
        <v>3595</v>
      </c>
      <c r="R406" s="63" t="s">
        <v>3596</v>
      </c>
      <c r="S406" s="63" t="s">
        <v>538</v>
      </c>
      <c r="T406" s="63"/>
      <c r="U406" s="63"/>
      <c r="V406" s="63"/>
      <c r="W406" s="63"/>
      <c r="X406" s="63"/>
      <c r="Y406" s="63"/>
      <c r="Z406" s="63"/>
    </row>
    <row r="407" spans="1:26" ht="15.75" customHeight="1" x14ac:dyDescent="0.25">
      <c r="A407" s="63" t="s">
        <v>1360</v>
      </c>
      <c r="B407" s="63" t="s">
        <v>581</v>
      </c>
      <c r="C407" s="63" t="s">
        <v>459</v>
      </c>
      <c r="D407" s="63" t="s">
        <v>1595</v>
      </c>
      <c r="E407" s="63" t="s">
        <v>3597</v>
      </c>
      <c r="F407" s="63" t="s">
        <v>2079</v>
      </c>
      <c r="G407" s="63" t="s">
        <v>3598</v>
      </c>
      <c r="H407" s="63" t="s">
        <v>1610</v>
      </c>
      <c r="I407" s="63" t="s">
        <v>2862</v>
      </c>
      <c r="J407" s="63" t="s">
        <v>554</v>
      </c>
      <c r="K407" s="63" t="s">
        <v>1601</v>
      </c>
      <c r="L407" s="63" t="s">
        <v>1660</v>
      </c>
      <c r="M407" s="63" t="s">
        <v>1654</v>
      </c>
      <c r="N407" s="63" t="s">
        <v>1595</v>
      </c>
      <c r="O407" s="63" t="s">
        <v>1604</v>
      </c>
      <c r="P407" s="63" t="s">
        <v>2690</v>
      </c>
      <c r="Q407" s="63" t="s">
        <v>2121</v>
      </c>
      <c r="R407" s="63" t="s">
        <v>3599</v>
      </c>
      <c r="S407" s="63" t="s">
        <v>538</v>
      </c>
      <c r="T407" s="63"/>
      <c r="U407" s="63"/>
      <c r="V407" s="63"/>
      <c r="W407" s="63"/>
      <c r="X407" s="63"/>
      <c r="Y407" s="63"/>
      <c r="Z407" s="63"/>
    </row>
    <row r="408" spans="1:26" ht="15.75" customHeight="1" x14ac:dyDescent="0.25">
      <c r="A408" s="63" t="s">
        <v>1362</v>
      </c>
      <c r="B408" s="63" t="s">
        <v>1087</v>
      </c>
      <c r="C408" s="63" t="s">
        <v>145</v>
      </c>
      <c r="D408" s="63" t="s">
        <v>1595</v>
      </c>
      <c r="E408" s="63" t="s">
        <v>1596</v>
      </c>
      <c r="F408" s="63" t="s">
        <v>1597</v>
      </c>
      <c r="G408" s="63" t="s">
        <v>3600</v>
      </c>
      <c r="H408" s="63" t="s">
        <v>1927</v>
      </c>
      <c r="I408" s="63" t="s">
        <v>3601</v>
      </c>
      <c r="J408" s="63" t="s">
        <v>558</v>
      </c>
      <c r="K408" s="63" t="s">
        <v>1601</v>
      </c>
      <c r="L408" s="63" t="s">
        <v>1785</v>
      </c>
      <c r="M408" s="63" t="s">
        <v>1785</v>
      </c>
      <c r="N408" s="63" t="s">
        <v>1595</v>
      </c>
      <c r="O408" s="63" t="s">
        <v>1604</v>
      </c>
      <c r="P408" s="63" t="s">
        <v>3602</v>
      </c>
      <c r="Q408" s="63" t="s">
        <v>3603</v>
      </c>
      <c r="R408" s="63" t="s">
        <v>3603</v>
      </c>
      <c r="S408" s="63" t="s">
        <v>1633</v>
      </c>
      <c r="T408" s="63"/>
      <c r="U408" s="63"/>
      <c r="V408" s="63"/>
      <c r="W408" s="63"/>
      <c r="X408" s="63"/>
      <c r="Y408" s="63"/>
      <c r="Z408" s="63"/>
    </row>
    <row r="409" spans="1:26" ht="15.75" customHeight="1" x14ac:dyDescent="0.25">
      <c r="A409" s="63" t="s">
        <v>1364</v>
      </c>
      <c r="B409" s="63" t="s">
        <v>731</v>
      </c>
      <c r="C409" s="63" t="s">
        <v>30</v>
      </c>
      <c r="D409" s="63" t="s">
        <v>1595</v>
      </c>
      <c r="E409" s="63" t="s">
        <v>3604</v>
      </c>
      <c r="F409" s="63" t="s">
        <v>1597</v>
      </c>
      <c r="G409" s="63" t="s">
        <v>3605</v>
      </c>
      <c r="H409" s="63" t="s">
        <v>1610</v>
      </c>
      <c r="I409" s="63" t="s">
        <v>3606</v>
      </c>
      <c r="J409" s="63" t="s">
        <v>558</v>
      </c>
      <c r="K409" s="63" t="s">
        <v>1601</v>
      </c>
      <c r="L409" s="63" t="s">
        <v>1660</v>
      </c>
      <c r="M409" s="63" t="s">
        <v>1654</v>
      </c>
      <c r="N409" s="63" t="s">
        <v>1595</v>
      </c>
      <c r="O409" s="63" t="s">
        <v>1604</v>
      </c>
      <c r="P409" s="63" t="s">
        <v>3607</v>
      </c>
      <c r="Q409" s="63" t="s">
        <v>3608</v>
      </c>
      <c r="R409" s="63" t="s">
        <v>3609</v>
      </c>
      <c r="S409" s="63" t="s">
        <v>1616</v>
      </c>
      <c r="T409" s="63"/>
      <c r="U409" s="63"/>
      <c r="V409" s="63"/>
      <c r="W409" s="63"/>
      <c r="X409" s="63"/>
      <c r="Y409" s="63"/>
      <c r="Z409" s="63"/>
    </row>
    <row r="410" spans="1:26" ht="15.75" customHeight="1" x14ac:dyDescent="0.25">
      <c r="A410" s="63" t="s">
        <v>1366</v>
      </c>
      <c r="B410" s="63" t="s">
        <v>743</v>
      </c>
      <c r="C410" s="63" t="s">
        <v>36</v>
      </c>
      <c r="D410" s="63" t="s">
        <v>1595</v>
      </c>
      <c r="E410" s="63" t="s">
        <v>3610</v>
      </c>
      <c r="F410" s="63" t="s">
        <v>1597</v>
      </c>
      <c r="G410" s="63" t="s">
        <v>3611</v>
      </c>
      <c r="H410" s="63" t="s">
        <v>2499</v>
      </c>
      <c r="I410" s="63" t="s">
        <v>3612</v>
      </c>
      <c r="J410" s="63" t="s">
        <v>2225</v>
      </c>
      <c r="K410" s="63" t="s">
        <v>2121</v>
      </c>
      <c r="L410" s="63" t="s">
        <v>3613</v>
      </c>
      <c r="M410" s="63" t="s">
        <v>3614</v>
      </c>
      <c r="N410" s="63" t="s">
        <v>3488</v>
      </c>
      <c r="O410" s="63" t="s">
        <v>1604</v>
      </c>
      <c r="P410" s="63" t="s">
        <v>5068</v>
      </c>
      <c r="Q410" s="63" t="s">
        <v>3615</v>
      </c>
      <c r="R410" s="63" t="s">
        <v>3616</v>
      </c>
      <c r="S410" s="63" t="s">
        <v>538</v>
      </c>
      <c r="T410" s="63"/>
      <c r="U410" s="63"/>
      <c r="V410" s="63"/>
      <c r="W410" s="63"/>
      <c r="X410" s="63"/>
      <c r="Y410" s="63"/>
      <c r="Z410" s="63"/>
    </row>
    <row r="411" spans="1:26" ht="15.75" customHeight="1" x14ac:dyDescent="0.25">
      <c r="A411" s="63" t="s">
        <v>1368</v>
      </c>
      <c r="B411" s="63" t="s">
        <v>1291</v>
      </c>
      <c r="C411" s="63" t="s">
        <v>245</v>
      </c>
      <c r="D411" s="63" t="s">
        <v>1595</v>
      </c>
      <c r="E411" s="63" t="s">
        <v>3617</v>
      </c>
      <c r="F411" s="63" t="s">
        <v>1597</v>
      </c>
      <c r="G411" s="63" t="s">
        <v>3618</v>
      </c>
      <c r="H411" s="63" t="s">
        <v>1610</v>
      </c>
      <c r="I411" s="63" t="s">
        <v>3619</v>
      </c>
      <c r="J411" s="63" t="s">
        <v>572</v>
      </c>
      <c r="K411" s="63" t="s">
        <v>1601</v>
      </c>
      <c r="L411" s="63" t="s">
        <v>2100</v>
      </c>
      <c r="M411" s="63" t="s">
        <v>1630</v>
      </c>
      <c r="N411" s="63" t="s">
        <v>1595</v>
      </c>
      <c r="O411" s="63" t="s">
        <v>1604</v>
      </c>
      <c r="P411" s="63" t="s">
        <v>2892</v>
      </c>
      <c r="Q411" s="63" t="s">
        <v>3620</v>
      </c>
      <c r="R411" s="63" t="s">
        <v>3621</v>
      </c>
      <c r="S411" s="63" t="s">
        <v>1633</v>
      </c>
      <c r="T411" s="63"/>
      <c r="U411" s="63"/>
      <c r="V411" s="63"/>
      <c r="W411" s="63"/>
      <c r="X411" s="63"/>
      <c r="Y411" s="63"/>
      <c r="Z411" s="63"/>
    </row>
    <row r="412" spans="1:26" ht="15.75" customHeight="1" x14ac:dyDescent="0.25">
      <c r="A412" s="63" t="s">
        <v>1370</v>
      </c>
      <c r="B412" s="63" t="s">
        <v>829</v>
      </c>
      <c r="C412" s="63" t="s">
        <v>330</v>
      </c>
      <c r="D412" s="63" t="s">
        <v>1595</v>
      </c>
      <c r="E412" s="63" t="s">
        <v>3622</v>
      </c>
      <c r="F412" s="63" t="s">
        <v>1597</v>
      </c>
      <c r="G412" s="63" t="s">
        <v>3623</v>
      </c>
      <c r="H412" s="63" t="s">
        <v>1610</v>
      </c>
      <c r="I412" s="63" t="s">
        <v>3624</v>
      </c>
      <c r="J412" s="63" t="s">
        <v>2483</v>
      </c>
      <c r="K412" s="63" t="s">
        <v>1601</v>
      </c>
      <c r="L412" s="63" t="s">
        <v>2568</v>
      </c>
      <c r="M412" s="63" t="s">
        <v>1952</v>
      </c>
      <c r="N412" s="63" t="s">
        <v>1595</v>
      </c>
      <c r="O412" s="63" t="s">
        <v>1604</v>
      </c>
      <c r="P412" s="63" t="s">
        <v>3625</v>
      </c>
      <c r="Q412" s="63" t="s">
        <v>3626</v>
      </c>
      <c r="R412" s="63" t="s">
        <v>3627</v>
      </c>
      <c r="S412" s="63" t="s">
        <v>1633</v>
      </c>
      <c r="T412" s="63"/>
      <c r="U412" s="63"/>
      <c r="V412" s="63"/>
      <c r="W412" s="63"/>
      <c r="X412" s="63"/>
      <c r="Y412" s="63"/>
      <c r="Z412" s="63"/>
    </row>
    <row r="413" spans="1:26" ht="15.75" customHeight="1" x14ac:dyDescent="0.25">
      <c r="A413" s="63" t="s">
        <v>1372</v>
      </c>
      <c r="B413" s="63" t="s">
        <v>1177</v>
      </c>
      <c r="C413" s="63" t="s">
        <v>189</v>
      </c>
      <c r="D413" s="63" t="s">
        <v>1595</v>
      </c>
      <c r="E413" s="63" t="s">
        <v>3628</v>
      </c>
      <c r="F413" s="63" t="s">
        <v>1597</v>
      </c>
      <c r="G413" s="63" t="s">
        <v>3629</v>
      </c>
      <c r="H413" s="63" t="s">
        <v>1619</v>
      </c>
      <c r="I413" s="63" t="s">
        <v>1675</v>
      </c>
      <c r="J413" s="63" t="s">
        <v>552</v>
      </c>
      <c r="K413" s="63" t="s">
        <v>1601</v>
      </c>
      <c r="L413" s="63" t="s">
        <v>1670</v>
      </c>
      <c r="M413" s="63" t="s">
        <v>1654</v>
      </c>
      <c r="N413" s="63" t="s">
        <v>1595</v>
      </c>
      <c r="O413" s="63" t="s">
        <v>1604</v>
      </c>
      <c r="P413" s="63" t="s">
        <v>1671</v>
      </c>
      <c r="Q413" s="63" t="s">
        <v>3630</v>
      </c>
      <c r="R413" s="63" t="s">
        <v>3631</v>
      </c>
      <c r="S413" s="63" t="s">
        <v>1633</v>
      </c>
      <c r="T413" s="63"/>
      <c r="U413" s="63"/>
      <c r="V413" s="63"/>
      <c r="W413" s="63"/>
      <c r="X413" s="63"/>
      <c r="Y413" s="63"/>
      <c r="Z413" s="63"/>
    </row>
    <row r="414" spans="1:26" ht="15.75" customHeight="1" x14ac:dyDescent="0.25">
      <c r="A414" s="63" t="s">
        <v>1374</v>
      </c>
      <c r="B414" s="63" t="s">
        <v>991</v>
      </c>
      <c r="C414" s="63" t="s">
        <v>406</v>
      </c>
      <c r="D414" s="63" t="s">
        <v>1595</v>
      </c>
      <c r="E414" s="63" t="s">
        <v>2611</v>
      </c>
      <c r="F414" s="63" t="s">
        <v>1597</v>
      </c>
      <c r="G414" s="63" t="s">
        <v>3632</v>
      </c>
      <c r="H414" s="63" t="s">
        <v>1610</v>
      </c>
      <c r="I414" s="63" t="s">
        <v>3633</v>
      </c>
      <c r="J414" s="63" t="s">
        <v>706</v>
      </c>
      <c r="K414" s="63" t="s">
        <v>2121</v>
      </c>
      <c r="L414" s="63" t="s">
        <v>1750</v>
      </c>
      <c r="M414" s="63" t="s">
        <v>1687</v>
      </c>
      <c r="N414" s="63" t="s">
        <v>1595</v>
      </c>
      <c r="O414" s="63" t="s">
        <v>1604</v>
      </c>
      <c r="P414" s="63" t="s">
        <v>1751</v>
      </c>
      <c r="Q414" s="63" t="s">
        <v>3634</v>
      </c>
      <c r="R414" s="63" t="s">
        <v>3635</v>
      </c>
      <c r="S414" s="63" t="s">
        <v>1616</v>
      </c>
      <c r="T414" s="63"/>
      <c r="U414" s="63"/>
      <c r="V414" s="63"/>
      <c r="W414" s="63"/>
      <c r="X414" s="63"/>
      <c r="Y414" s="63"/>
      <c r="Z414" s="63"/>
    </row>
    <row r="415" spans="1:26" ht="15.75" customHeight="1" x14ac:dyDescent="0.25">
      <c r="A415" s="63" t="s">
        <v>1376</v>
      </c>
      <c r="B415" s="63" t="s">
        <v>1075</v>
      </c>
      <c r="C415" s="63" t="s">
        <v>139</v>
      </c>
      <c r="D415" s="63" t="s">
        <v>1595</v>
      </c>
      <c r="E415" s="63" t="s">
        <v>3636</v>
      </c>
      <c r="F415" s="63" t="s">
        <v>1597</v>
      </c>
      <c r="G415" s="63" t="s">
        <v>3637</v>
      </c>
      <c r="H415" s="63" t="s">
        <v>1627</v>
      </c>
      <c r="I415" s="63" t="s">
        <v>3638</v>
      </c>
      <c r="J415" s="63" t="s">
        <v>552</v>
      </c>
      <c r="K415" s="63" t="s">
        <v>1601</v>
      </c>
      <c r="L415" s="63" t="s">
        <v>2489</v>
      </c>
      <c r="M415" s="63" t="s">
        <v>2283</v>
      </c>
      <c r="N415" s="63" t="s">
        <v>1595</v>
      </c>
      <c r="O415" s="63" t="s">
        <v>1604</v>
      </c>
      <c r="P415" s="63" t="s">
        <v>3313</v>
      </c>
      <c r="Q415" s="63" t="s">
        <v>3639</v>
      </c>
      <c r="R415" s="63" t="s">
        <v>3639</v>
      </c>
      <c r="S415" s="63" t="s">
        <v>1616</v>
      </c>
      <c r="T415" s="63"/>
      <c r="U415" s="63"/>
      <c r="V415" s="63"/>
      <c r="W415" s="63"/>
      <c r="X415" s="63"/>
      <c r="Y415" s="63"/>
      <c r="Z415" s="63"/>
    </row>
    <row r="416" spans="1:26" ht="15.75" customHeight="1" x14ac:dyDescent="0.25">
      <c r="A416" s="63" t="s">
        <v>1378</v>
      </c>
      <c r="B416" s="63" t="s">
        <v>609</v>
      </c>
      <c r="C416" s="63" t="s">
        <v>473</v>
      </c>
      <c r="D416" s="63" t="s">
        <v>3417</v>
      </c>
      <c r="E416" s="63" t="s">
        <v>3640</v>
      </c>
      <c r="F416" s="63" t="s">
        <v>1597</v>
      </c>
      <c r="G416" s="63" t="s">
        <v>3641</v>
      </c>
      <c r="H416" s="63" t="s">
        <v>2210</v>
      </c>
      <c r="I416" s="63" t="s">
        <v>3642</v>
      </c>
      <c r="J416" s="63" t="s">
        <v>2204</v>
      </c>
      <c r="K416" s="63" t="s">
        <v>1601</v>
      </c>
      <c r="L416" s="63" t="s">
        <v>2320</v>
      </c>
      <c r="M416" s="63" t="s">
        <v>1622</v>
      </c>
      <c r="N416" s="63" t="s">
        <v>1595</v>
      </c>
      <c r="O416" s="63" t="s">
        <v>1604</v>
      </c>
      <c r="P416" s="63" t="s">
        <v>1790</v>
      </c>
      <c r="Q416" s="63" t="s">
        <v>3643</v>
      </c>
      <c r="R416" s="63" t="s">
        <v>3644</v>
      </c>
      <c r="S416" s="63" t="s">
        <v>1607</v>
      </c>
      <c r="T416" s="63"/>
      <c r="U416" s="63"/>
      <c r="V416" s="63"/>
      <c r="W416" s="63"/>
      <c r="X416" s="63"/>
      <c r="Y416" s="63"/>
      <c r="Z416" s="63"/>
    </row>
    <row r="417" spans="1:26" ht="15.75" customHeight="1" x14ac:dyDescent="0.25">
      <c r="A417" s="63" t="s">
        <v>1380</v>
      </c>
      <c r="B417" s="63" t="s">
        <v>619</v>
      </c>
      <c r="C417" s="63" t="s">
        <v>478</v>
      </c>
      <c r="D417" s="63" t="s">
        <v>1595</v>
      </c>
      <c r="E417" s="63" t="s">
        <v>3645</v>
      </c>
      <c r="F417" s="63" t="s">
        <v>1597</v>
      </c>
      <c r="G417" s="63" t="s">
        <v>3646</v>
      </c>
      <c r="H417" s="63" t="s">
        <v>3647</v>
      </c>
      <c r="I417" s="63" t="s">
        <v>3648</v>
      </c>
      <c r="J417" s="63" t="s">
        <v>2939</v>
      </c>
      <c r="K417" s="63" t="s">
        <v>2468</v>
      </c>
      <c r="L417" s="63" t="s">
        <v>1621</v>
      </c>
      <c r="M417" s="63" t="s">
        <v>1622</v>
      </c>
      <c r="N417" s="63" t="s">
        <v>1595</v>
      </c>
      <c r="O417" s="63" t="s">
        <v>1604</v>
      </c>
      <c r="P417" s="63" t="s">
        <v>2195</v>
      </c>
      <c r="Q417" s="63" t="s">
        <v>3649</v>
      </c>
      <c r="R417" s="63" t="s">
        <v>3650</v>
      </c>
      <c r="S417" s="63" t="s">
        <v>1607</v>
      </c>
      <c r="T417" s="63"/>
      <c r="U417" s="63"/>
      <c r="V417" s="63"/>
      <c r="W417" s="63"/>
      <c r="X417" s="63"/>
      <c r="Y417" s="63"/>
      <c r="Z417" s="63"/>
    </row>
    <row r="418" spans="1:26" ht="15.75" customHeight="1" x14ac:dyDescent="0.25">
      <c r="A418" s="63" t="s">
        <v>1382</v>
      </c>
      <c r="B418" s="63" t="s">
        <v>1121</v>
      </c>
      <c r="C418" s="63" t="s">
        <v>162</v>
      </c>
      <c r="D418" s="63" t="s">
        <v>1595</v>
      </c>
      <c r="E418" s="63" t="s">
        <v>2237</v>
      </c>
      <c r="F418" s="63" t="s">
        <v>1597</v>
      </c>
      <c r="G418" s="63" t="s">
        <v>3651</v>
      </c>
      <c r="H418" s="63" t="s">
        <v>1627</v>
      </c>
      <c r="I418" s="63" t="s">
        <v>3652</v>
      </c>
      <c r="J418" s="63" t="s">
        <v>552</v>
      </c>
      <c r="K418" s="63" t="s">
        <v>1601</v>
      </c>
      <c r="L418" s="63" t="s">
        <v>2489</v>
      </c>
      <c r="M418" s="63" t="s">
        <v>2283</v>
      </c>
      <c r="N418" s="63" t="s">
        <v>1595</v>
      </c>
      <c r="O418" s="63" t="s">
        <v>1604</v>
      </c>
      <c r="P418" s="63" t="s">
        <v>3313</v>
      </c>
      <c r="Q418" s="63" t="s">
        <v>3653</v>
      </c>
      <c r="R418" s="63" t="s">
        <v>3654</v>
      </c>
      <c r="S418" s="63" t="s">
        <v>1633</v>
      </c>
      <c r="T418" s="63"/>
      <c r="U418" s="63"/>
      <c r="V418" s="63"/>
      <c r="W418" s="63"/>
      <c r="X418" s="63"/>
      <c r="Y418" s="63"/>
      <c r="Z418" s="63"/>
    </row>
    <row r="419" spans="1:26" ht="15.75" customHeight="1" x14ac:dyDescent="0.25">
      <c r="A419" s="63" t="s">
        <v>1384</v>
      </c>
      <c r="B419" s="63" t="s">
        <v>721</v>
      </c>
      <c r="C419" s="63" t="s">
        <v>25</v>
      </c>
      <c r="D419" s="63" t="s">
        <v>3488</v>
      </c>
      <c r="E419" s="63" t="s">
        <v>3655</v>
      </c>
      <c r="F419" s="63" t="s">
        <v>1597</v>
      </c>
      <c r="G419" s="63" t="s">
        <v>3656</v>
      </c>
      <c r="H419" s="63" t="s">
        <v>2524</v>
      </c>
      <c r="I419" s="63" t="s">
        <v>3657</v>
      </c>
      <c r="J419" s="63" t="s">
        <v>2483</v>
      </c>
      <c r="K419" s="63" t="s">
        <v>2121</v>
      </c>
      <c r="L419" s="63" t="s">
        <v>3658</v>
      </c>
      <c r="M419" s="63" t="s">
        <v>3659</v>
      </c>
      <c r="N419" s="63" t="s">
        <v>3488</v>
      </c>
      <c r="O419" s="63" t="s">
        <v>1604</v>
      </c>
      <c r="P419" s="63" t="s">
        <v>3660</v>
      </c>
      <c r="Q419" s="63" t="s">
        <v>3661</v>
      </c>
      <c r="R419" s="63" t="s">
        <v>3661</v>
      </c>
      <c r="S419" s="63" t="s">
        <v>1723</v>
      </c>
      <c r="T419" s="63"/>
      <c r="U419" s="63"/>
      <c r="V419" s="63"/>
      <c r="W419" s="63"/>
      <c r="X419" s="63"/>
      <c r="Y419" s="63"/>
      <c r="Z419" s="63"/>
    </row>
    <row r="420" spans="1:26" ht="15.75" customHeight="1" x14ac:dyDescent="0.25">
      <c r="A420" s="63" t="s">
        <v>1386</v>
      </c>
      <c r="B420" s="63" t="s">
        <v>1461</v>
      </c>
      <c r="C420" s="63" t="s">
        <v>88</v>
      </c>
      <c r="D420" s="63" t="s">
        <v>1595</v>
      </c>
      <c r="E420" s="63" t="s">
        <v>2406</v>
      </c>
      <c r="F420" s="63" t="s">
        <v>1597</v>
      </c>
      <c r="G420" s="63" t="s">
        <v>3662</v>
      </c>
      <c r="H420" s="63" t="s">
        <v>1610</v>
      </c>
      <c r="I420" s="63" t="s">
        <v>3374</v>
      </c>
      <c r="J420" s="63" t="s">
        <v>2318</v>
      </c>
      <c r="K420" s="63" t="s">
        <v>578</v>
      </c>
      <c r="L420" s="63" t="s">
        <v>2190</v>
      </c>
      <c r="M420" s="63" t="s">
        <v>1603</v>
      </c>
      <c r="N420" s="63" t="s">
        <v>1595</v>
      </c>
      <c r="O420" s="63" t="s">
        <v>1604</v>
      </c>
      <c r="P420" s="63" t="s">
        <v>3663</v>
      </c>
      <c r="Q420" s="63" t="s">
        <v>3664</v>
      </c>
      <c r="R420" s="63" t="s">
        <v>3665</v>
      </c>
      <c r="S420" s="63" t="s">
        <v>1633</v>
      </c>
      <c r="T420" s="63"/>
      <c r="U420" s="63"/>
      <c r="V420" s="63"/>
      <c r="W420" s="63"/>
      <c r="X420" s="63"/>
      <c r="Y420" s="63"/>
      <c r="Z420" s="63"/>
    </row>
    <row r="421" spans="1:26" ht="15.75" customHeight="1" x14ac:dyDescent="0.25">
      <c r="A421" s="63" t="s">
        <v>1388</v>
      </c>
      <c r="B421" s="63" t="s">
        <v>3666</v>
      </c>
      <c r="C421" s="63" t="s">
        <v>3667</v>
      </c>
      <c r="D421" s="63" t="s">
        <v>1595</v>
      </c>
      <c r="E421" s="63" t="s">
        <v>1792</v>
      </c>
      <c r="F421" s="63" t="s">
        <v>1597</v>
      </c>
      <c r="G421" s="63" t="s">
        <v>2673</v>
      </c>
      <c r="H421" s="63" t="s">
        <v>1610</v>
      </c>
      <c r="I421" s="63" t="s">
        <v>1622</v>
      </c>
      <c r="J421" s="63" t="s">
        <v>552</v>
      </c>
      <c r="K421" s="63" t="s">
        <v>1601</v>
      </c>
      <c r="L421" s="63" t="s">
        <v>1621</v>
      </c>
      <c r="M421" s="63" t="s">
        <v>1622</v>
      </c>
      <c r="N421" s="63" t="s">
        <v>1595</v>
      </c>
      <c r="O421" s="63" t="s">
        <v>1604</v>
      </c>
      <c r="P421" s="63" t="s">
        <v>2378</v>
      </c>
      <c r="Q421" s="63" t="s">
        <v>3668</v>
      </c>
      <c r="R421" s="63" t="s">
        <v>3669</v>
      </c>
      <c r="S421" s="63" t="s">
        <v>1723</v>
      </c>
      <c r="T421" s="63"/>
      <c r="U421" s="63"/>
      <c r="V421" s="63"/>
      <c r="W421" s="63"/>
      <c r="X421" s="63"/>
      <c r="Y421" s="63"/>
      <c r="Z421" s="63"/>
    </row>
    <row r="422" spans="1:26" ht="15.75" customHeight="1" x14ac:dyDescent="0.25">
      <c r="A422" s="63" t="s">
        <v>1390</v>
      </c>
      <c r="B422" s="63" t="s">
        <v>1491</v>
      </c>
      <c r="C422" s="63" t="s">
        <v>103</v>
      </c>
      <c r="D422" s="63" t="s">
        <v>1595</v>
      </c>
      <c r="E422" s="63" t="s">
        <v>3670</v>
      </c>
      <c r="F422" s="63" t="s">
        <v>1597</v>
      </c>
      <c r="G422" s="63" t="s">
        <v>3671</v>
      </c>
      <c r="H422" s="63" t="s">
        <v>1927</v>
      </c>
      <c r="I422" s="63" t="s">
        <v>3672</v>
      </c>
      <c r="J422" s="63" t="s">
        <v>552</v>
      </c>
      <c r="K422" s="63" t="s">
        <v>1601</v>
      </c>
      <c r="L422" s="63" t="s">
        <v>1646</v>
      </c>
      <c r="M422" s="63" t="s">
        <v>1647</v>
      </c>
      <c r="N422" s="63" t="s">
        <v>1595</v>
      </c>
      <c r="O422" s="63" t="s">
        <v>1604</v>
      </c>
      <c r="P422" s="63" t="s">
        <v>1864</v>
      </c>
      <c r="Q422" s="63" t="s">
        <v>3673</v>
      </c>
      <c r="R422" s="63" t="s">
        <v>2121</v>
      </c>
      <c r="S422" s="63" t="s">
        <v>1633</v>
      </c>
      <c r="T422" s="63"/>
      <c r="U422" s="63"/>
      <c r="V422" s="63"/>
      <c r="W422" s="63"/>
      <c r="X422" s="63"/>
      <c r="Y422" s="63"/>
      <c r="Z422" s="63"/>
    </row>
    <row r="423" spans="1:26" ht="15.75" customHeight="1" x14ac:dyDescent="0.25">
      <c r="A423" s="63" t="s">
        <v>1392</v>
      </c>
      <c r="B423" s="63" t="s">
        <v>939</v>
      </c>
      <c r="C423" s="63" t="s">
        <v>380</v>
      </c>
      <c r="D423" s="63" t="s">
        <v>1595</v>
      </c>
      <c r="E423" s="63" t="s">
        <v>1770</v>
      </c>
      <c r="F423" s="63" t="s">
        <v>1597</v>
      </c>
      <c r="G423" s="63" t="s">
        <v>3674</v>
      </c>
      <c r="H423" s="63" t="s">
        <v>3675</v>
      </c>
      <c r="I423" s="63" t="s">
        <v>3676</v>
      </c>
      <c r="J423" s="63" t="s">
        <v>2225</v>
      </c>
      <c r="K423" s="63"/>
      <c r="L423" s="63" t="s">
        <v>3677</v>
      </c>
      <c r="M423" s="63" t="s">
        <v>3678</v>
      </c>
      <c r="N423" s="63" t="s">
        <v>1595</v>
      </c>
      <c r="O423" s="63" t="s">
        <v>1604</v>
      </c>
      <c r="P423" s="63" t="s">
        <v>2378</v>
      </c>
      <c r="Q423" s="63" t="s">
        <v>3680</v>
      </c>
      <c r="R423" s="63" t="s">
        <v>3680</v>
      </c>
      <c r="S423" s="63" t="s">
        <v>1616</v>
      </c>
      <c r="T423" s="63"/>
      <c r="U423" s="63"/>
      <c r="V423" s="63"/>
      <c r="W423" s="63"/>
      <c r="X423" s="63"/>
      <c r="Y423" s="63"/>
      <c r="Z423" s="63"/>
    </row>
    <row r="424" spans="1:26" ht="15.75" customHeight="1" x14ac:dyDescent="0.25">
      <c r="A424" s="63" t="s">
        <v>1394</v>
      </c>
      <c r="B424" s="63" t="s">
        <v>709</v>
      </c>
      <c r="C424" s="63" t="s">
        <v>522</v>
      </c>
      <c r="D424" s="63" t="s">
        <v>1885</v>
      </c>
      <c r="E424" s="63" t="s">
        <v>3681</v>
      </c>
      <c r="F424" s="63" t="s">
        <v>1597</v>
      </c>
      <c r="G424" s="63" t="s">
        <v>3220</v>
      </c>
      <c r="H424" s="63" t="s">
        <v>2223</v>
      </c>
      <c r="I424" s="63" t="s">
        <v>3682</v>
      </c>
      <c r="J424" s="63" t="s">
        <v>2483</v>
      </c>
      <c r="K424" s="63"/>
      <c r="L424" s="63" t="s">
        <v>1758</v>
      </c>
      <c r="M424" s="63" t="s">
        <v>1613</v>
      </c>
      <c r="N424" s="63" t="s">
        <v>1595</v>
      </c>
      <c r="O424" s="63" t="s">
        <v>1604</v>
      </c>
      <c r="P424" s="63" t="s">
        <v>1915</v>
      </c>
      <c r="Q424" s="63" t="s">
        <v>3683</v>
      </c>
      <c r="R424" s="63" t="s">
        <v>3684</v>
      </c>
      <c r="S424" s="63" t="s">
        <v>1633</v>
      </c>
      <c r="T424" s="63"/>
      <c r="U424" s="63"/>
      <c r="V424" s="63"/>
      <c r="W424" s="63"/>
      <c r="X424" s="63"/>
      <c r="Y424" s="63"/>
      <c r="Z424" s="63"/>
    </row>
    <row r="425" spans="1:26" ht="15.75" customHeight="1" x14ac:dyDescent="0.25">
      <c r="A425" s="63" t="s">
        <v>1396</v>
      </c>
      <c r="B425" s="63" t="s">
        <v>719</v>
      </c>
      <c r="C425" s="63" t="s">
        <v>24</v>
      </c>
      <c r="D425" s="63" t="s">
        <v>3488</v>
      </c>
      <c r="E425" s="63" t="s">
        <v>1891</v>
      </c>
      <c r="F425" s="63" t="s">
        <v>1597</v>
      </c>
      <c r="G425" s="63" t="s">
        <v>3685</v>
      </c>
      <c r="H425" s="63" t="s">
        <v>3686</v>
      </c>
      <c r="I425" s="63" t="s">
        <v>3687</v>
      </c>
      <c r="J425" s="63" t="s">
        <v>3688</v>
      </c>
      <c r="K425" s="63"/>
      <c r="L425" s="63" t="s">
        <v>3612</v>
      </c>
      <c r="M425" s="63" t="s">
        <v>3614</v>
      </c>
      <c r="N425" s="63" t="s">
        <v>1595</v>
      </c>
      <c r="O425" s="63" t="s">
        <v>1604</v>
      </c>
      <c r="P425" s="63" t="s">
        <v>5069</v>
      </c>
      <c r="Q425" s="63" t="s">
        <v>3689</v>
      </c>
      <c r="R425" s="63" t="s">
        <v>3689</v>
      </c>
      <c r="S425" s="63" t="s">
        <v>1607</v>
      </c>
      <c r="T425" s="63"/>
      <c r="U425" s="63"/>
      <c r="V425" s="63"/>
      <c r="W425" s="63"/>
      <c r="X425" s="63"/>
      <c r="Y425" s="63"/>
      <c r="Z425" s="63"/>
    </row>
    <row r="426" spans="1:26" ht="15.75" customHeight="1" x14ac:dyDescent="0.25">
      <c r="A426" s="63" t="s">
        <v>1398</v>
      </c>
      <c r="B426" s="63" t="s">
        <v>1387</v>
      </c>
      <c r="C426" s="63" t="s">
        <v>291</v>
      </c>
      <c r="D426" s="63" t="s">
        <v>1595</v>
      </c>
      <c r="E426" s="63" t="s">
        <v>2393</v>
      </c>
      <c r="F426" s="63" t="s">
        <v>1597</v>
      </c>
      <c r="G426" s="63" t="s">
        <v>3690</v>
      </c>
      <c r="H426" s="63" t="s">
        <v>1610</v>
      </c>
      <c r="I426" s="63" t="s">
        <v>3586</v>
      </c>
      <c r="J426" s="63" t="s">
        <v>3088</v>
      </c>
      <c r="K426" s="63" t="s">
        <v>2121</v>
      </c>
      <c r="L426" s="63" t="s">
        <v>1785</v>
      </c>
      <c r="M426" s="63" t="s">
        <v>1785</v>
      </c>
      <c r="N426" s="63" t="s">
        <v>1595</v>
      </c>
      <c r="O426" s="63" t="s">
        <v>1604</v>
      </c>
      <c r="P426" s="63" t="s">
        <v>2583</v>
      </c>
      <c r="Q426" s="63" t="s">
        <v>3691</v>
      </c>
      <c r="R426" s="63" t="s">
        <v>3692</v>
      </c>
      <c r="S426" s="63" t="s">
        <v>1633</v>
      </c>
      <c r="T426" s="63"/>
      <c r="U426" s="63"/>
      <c r="V426" s="63"/>
      <c r="W426" s="63"/>
      <c r="X426" s="63"/>
      <c r="Y426" s="63"/>
      <c r="Z426" s="63"/>
    </row>
    <row r="427" spans="1:26" ht="15.75" customHeight="1" x14ac:dyDescent="0.25">
      <c r="A427" s="63" t="s">
        <v>1400</v>
      </c>
      <c r="B427" s="63" t="s">
        <v>1219</v>
      </c>
      <c r="C427" s="63" t="s">
        <v>209</v>
      </c>
      <c r="D427" s="63" t="s">
        <v>1595</v>
      </c>
      <c r="E427" s="63" t="s">
        <v>3334</v>
      </c>
      <c r="F427" s="63" t="s">
        <v>1597</v>
      </c>
      <c r="G427" s="63" t="s">
        <v>3693</v>
      </c>
      <c r="H427" s="63" t="s">
        <v>1619</v>
      </c>
      <c r="I427" s="63" t="s">
        <v>1730</v>
      </c>
      <c r="J427" s="63" t="s">
        <v>564</v>
      </c>
      <c r="K427" s="63" t="s">
        <v>1601</v>
      </c>
      <c r="L427" s="63" t="s">
        <v>1595</v>
      </c>
      <c r="M427" s="63" t="s">
        <v>1595</v>
      </c>
      <c r="N427" s="63" t="s">
        <v>1595</v>
      </c>
      <c r="O427" s="63" t="s">
        <v>1604</v>
      </c>
      <c r="P427" s="63" t="s">
        <v>1823</v>
      </c>
      <c r="Q427" s="63" t="s">
        <v>3694</v>
      </c>
      <c r="R427" s="63" t="s">
        <v>3694</v>
      </c>
      <c r="S427" s="63" t="s">
        <v>1633</v>
      </c>
      <c r="T427" s="63"/>
      <c r="U427" s="63"/>
      <c r="V427" s="63"/>
      <c r="W427" s="63"/>
      <c r="X427" s="63"/>
      <c r="Y427" s="63"/>
      <c r="Z427" s="63"/>
    </row>
    <row r="428" spans="1:26" ht="15.75" customHeight="1" x14ac:dyDescent="0.25">
      <c r="A428" s="63" t="s">
        <v>1402</v>
      </c>
      <c r="B428" s="63" t="s">
        <v>623</v>
      </c>
      <c r="C428" s="63" t="s">
        <v>480</v>
      </c>
      <c r="D428" s="63" t="s">
        <v>3488</v>
      </c>
      <c r="E428" s="63" t="s">
        <v>3695</v>
      </c>
      <c r="F428" s="63" t="s">
        <v>1597</v>
      </c>
      <c r="G428" s="63" t="s">
        <v>3251</v>
      </c>
      <c r="H428" s="63" t="s">
        <v>2499</v>
      </c>
      <c r="I428" s="63" t="s">
        <v>3696</v>
      </c>
      <c r="J428" s="63" t="s">
        <v>2483</v>
      </c>
      <c r="K428" s="63" t="s">
        <v>588</v>
      </c>
      <c r="L428" s="63" t="s">
        <v>3697</v>
      </c>
      <c r="M428" s="63" t="s">
        <v>3697</v>
      </c>
      <c r="N428" s="63" t="s">
        <v>3488</v>
      </c>
      <c r="O428" s="63" t="s">
        <v>3698</v>
      </c>
      <c r="P428" s="63" t="s">
        <v>3699</v>
      </c>
      <c r="Q428" s="63" t="s">
        <v>3700</v>
      </c>
      <c r="R428" s="63" t="s">
        <v>3701</v>
      </c>
      <c r="S428" s="63" t="s">
        <v>1607</v>
      </c>
      <c r="T428" s="63"/>
      <c r="U428" s="63"/>
      <c r="V428" s="63"/>
      <c r="W428" s="63"/>
      <c r="X428" s="63"/>
      <c r="Y428" s="63"/>
      <c r="Z428" s="63"/>
    </row>
    <row r="429" spans="1:26" ht="15.75" customHeight="1" x14ac:dyDescent="0.25">
      <c r="A429" s="63" t="s">
        <v>1404</v>
      </c>
      <c r="B429" s="63" t="s">
        <v>559</v>
      </c>
      <c r="C429" s="63" t="s">
        <v>448</v>
      </c>
      <c r="D429" s="63" t="s">
        <v>1595</v>
      </c>
      <c r="E429" s="63" t="s">
        <v>3702</v>
      </c>
      <c r="F429" s="63" t="s">
        <v>1597</v>
      </c>
      <c r="G429" s="63" t="s">
        <v>3703</v>
      </c>
      <c r="H429" s="63" t="s">
        <v>1619</v>
      </c>
      <c r="I429" s="63" t="s">
        <v>2060</v>
      </c>
      <c r="J429" s="63" t="s">
        <v>552</v>
      </c>
      <c r="K429" s="63" t="s">
        <v>1601</v>
      </c>
      <c r="L429" s="63" t="s">
        <v>1832</v>
      </c>
      <c r="M429" s="63" t="s">
        <v>1630</v>
      </c>
      <c r="N429" s="63" t="s">
        <v>1595</v>
      </c>
      <c r="O429" s="63" t="s">
        <v>1604</v>
      </c>
      <c r="P429" s="63" t="s">
        <v>1631</v>
      </c>
      <c r="Q429" s="63" t="s">
        <v>3704</v>
      </c>
      <c r="R429" s="63" t="s">
        <v>3705</v>
      </c>
      <c r="S429" s="63" t="s">
        <v>1607</v>
      </c>
      <c r="T429" s="63"/>
      <c r="U429" s="63"/>
      <c r="V429" s="63"/>
      <c r="W429" s="63"/>
      <c r="X429" s="63"/>
      <c r="Y429" s="63"/>
      <c r="Z429" s="63"/>
    </row>
    <row r="430" spans="1:26" ht="15.75" customHeight="1" x14ac:dyDescent="0.25">
      <c r="A430" s="63" t="s">
        <v>1406</v>
      </c>
      <c r="B430" s="63" t="s">
        <v>887</v>
      </c>
      <c r="C430" s="63" t="s">
        <v>356</v>
      </c>
      <c r="D430" s="63" t="s">
        <v>1595</v>
      </c>
      <c r="E430" s="63" t="s">
        <v>2354</v>
      </c>
      <c r="F430" s="63" t="s">
        <v>1597</v>
      </c>
      <c r="G430" s="63" t="s">
        <v>3706</v>
      </c>
      <c r="H430" s="63" t="s">
        <v>3424</v>
      </c>
      <c r="I430" s="63" t="s">
        <v>3707</v>
      </c>
      <c r="J430" s="63" t="s">
        <v>560</v>
      </c>
      <c r="K430" s="63"/>
      <c r="L430" s="63" t="s">
        <v>3356</v>
      </c>
      <c r="M430" s="63" t="s">
        <v>1630</v>
      </c>
      <c r="N430" s="63" t="s">
        <v>1595</v>
      </c>
      <c r="O430" s="63" t="s">
        <v>1604</v>
      </c>
      <c r="P430" s="63" t="s">
        <v>2490</v>
      </c>
      <c r="Q430" s="63" t="s">
        <v>3708</v>
      </c>
      <c r="R430" s="63" t="s">
        <v>3709</v>
      </c>
      <c r="S430" s="63" t="s">
        <v>1633</v>
      </c>
      <c r="T430" s="63"/>
      <c r="U430" s="63"/>
      <c r="V430" s="63"/>
      <c r="W430" s="63"/>
      <c r="X430" s="63"/>
      <c r="Y430" s="63"/>
      <c r="Z430" s="63"/>
    </row>
    <row r="431" spans="1:26" ht="15.75" customHeight="1" x14ac:dyDescent="0.25">
      <c r="A431" s="63" t="s">
        <v>1408</v>
      </c>
      <c r="B431" s="63" t="s">
        <v>847</v>
      </c>
      <c r="C431" s="63" t="s">
        <v>339</v>
      </c>
      <c r="D431" s="63" t="s">
        <v>1595</v>
      </c>
      <c r="E431" s="63" t="s">
        <v>3299</v>
      </c>
      <c r="F431" s="63" t="s">
        <v>1597</v>
      </c>
      <c r="G431" s="63" t="s">
        <v>2341</v>
      </c>
      <c r="H431" s="63" t="s">
        <v>1619</v>
      </c>
      <c r="I431" s="63" t="s">
        <v>3710</v>
      </c>
      <c r="J431" s="63" t="s">
        <v>560</v>
      </c>
      <c r="K431" s="63" t="s">
        <v>1601</v>
      </c>
      <c r="L431" s="63" t="s">
        <v>2728</v>
      </c>
      <c r="M431" s="63" t="s">
        <v>1622</v>
      </c>
      <c r="N431" s="63" t="s">
        <v>1595</v>
      </c>
      <c r="O431" s="63" t="s">
        <v>1604</v>
      </c>
      <c r="P431" s="63" t="s">
        <v>2729</v>
      </c>
      <c r="Q431" s="63" t="s">
        <v>3711</v>
      </c>
      <c r="R431" s="63" t="s">
        <v>3712</v>
      </c>
      <c r="S431" s="63" t="s">
        <v>1616</v>
      </c>
      <c r="T431" s="63"/>
      <c r="U431" s="63"/>
      <c r="V431" s="63"/>
      <c r="W431" s="63"/>
      <c r="X431" s="63"/>
      <c r="Y431" s="63"/>
      <c r="Z431" s="63"/>
    </row>
    <row r="432" spans="1:26" ht="15.75" customHeight="1" x14ac:dyDescent="0.25">
      <c r="A432" s="63" t="s">
        <v>1410</v>
      </c>
      <c r="B432" s="63" t="s">
        <v>797</v>
      </c>
      <c r="C432" s="63" t="s">
        <v>315</v>
      </c>
      <c r="D432" s="63" t="s">
        <v>1595</v>
      </c>
      <c r="E432" s="63" t="s">
        <v>3713</v>
      </c>
      <c r="F432" s="63" t="s">
        <v>1597</v>
      </c>
      <c r="G432" s="63" t="s">
        <v>3714</v>
      </c>
      <c r="H432" s="63" t="s">
        <v>1610</v>
      </c>
      <c r="I432" s="63" t="s">
        <v>3715</v>
      </c>
      <c r="J432" s="63" t="s">
        <v>2718</v>
      </c>
      <c r="K432" s="63"/>
      <c r="L432" s="63" t="s">
        <v>1822</v>
      </c>
      <c r="M432" s="63" t="s">
        <v>1613</v>
      </c>
      <c r="N432" s="63" t="s">
        <v>1595</v>
      </c>
      <c r="O432" s="63" t="s">
        <v>1604</v>
      </c>
      <c r="P432" s="63" t="s">
        <v>3716</v>
      </c>
      <c r="Q432" s="63" t="s">
        <v>3717</v>
      </c>
      <c r="R432" s="63" t="s">
        <v>3718</v>
      </c>
      <c r="S432" s="63" t="s">
        <v>1616</v>
      </c>
      <c r="T432" s="63"/>
      <c r="U432" s="63"/>
      <c r="V432" s="63"/>
      <c r="W432" s="63"/>
      <c r="X432" s="63"/>
      <c r="Y432" s="63"/>
      <c r="Z432" s="63"/>
    </row>
    <row r="433" spans="1:26" ht="15.75" customHeight="1" x14ac:dyDescent="0.25">
      <c r="A433" s="63" t="s">
        <v>1412</v>
      </c>
      <c r="B433" s="63" t="s">
        <v>947</v>
      </c>
      <c r="C433" s="63" t="s">
        <v>384</v>
      </c>
      <c r="D433" s="63" t="s">
        <v>1595</v>
      </c>
      <c r="E433" s="63" t="s">
        <v>3719</v>
      </c>
      <c r="F433" s="63" t="s">
        <v>1597</v>
      </c>
      <c r="G433" s="63" t="s">
        <v>3720</v>
      </c>
      <c r="H433" s="63" t="s">
        <v>3176</v>
      </c>
      <c r="I433" s="63" t="s">
        <v>3083</v>
      </c>
      <c r="J433" s="63" t="s">
        <v>2483</v>
      </c>
      <c r="K433" s="63"/>
      <c r="L433" s="63" t="s">
        <v>1832</v>
      </c>
      <c r="M433" s="63" t="s">
        <v>1630</v>
      </c>
      <c r="N433" s="63" t="s">
        <v>1595</v>
      </c>
      <c r="O433" s="63" t="s">
        <v>1604</v>
      </c>
      <c r="P433" s="63" t="s">
        <v>1623</v>
      </c>
      <c r="Q433" s="63" t="s">
        <v>3721</v>
      </c>
      <c r="R433" s="63" t="s">
        <v>3722</v>
      </c>
      <c r="S433" s="63" t="s">
        <v>1616</v>
      </c>
      <c r="T433" s="63"/>
      <c r="U433" s="63"/>
      <c r="V433" s="63"/>
      <c r="W433" s="63"/>
      <c r="X433" s="63"/>
      <c r="Y433" s="63"/>
      <c r="Z433" s="63"/>
    </row>
    <row r="434" spans="1:26" ht="15.75" customHeight="1" x14ac:dyDescent="0.25">
      <c r="A434" s="63" t="s">
        <v>1414</v>
      </c>
      <c r="B434" s="63" t="s">
        <v>1197</v>
      </c>
      <c r="C434" s="63" t="s">
        <v>198</v>
      </c>
      <c r="D434" s="63" t="s">
        <v>1595</v>
      </c>
      <c r="E434" s="63" t="s">
        <v>3723</v>
      </c>
      <c r="F434" s="63" t="s">
        <v>1597</v>
      </c>
      <c r="G434" s="63" t="s">
        <v>3724</v>
      </c>
      <c r="H434" s="63" t="s">
        <v>1610</v>
      </c>
      <c r="I434" s="63" t="s">
        <v>2842</v>
      </c>
      <c r="J434" s="63" t="s">
        <v>3038</v>
      </c>
      <c r="K434" s="63"/>
      <c r="L434" s="63" t="s">
        <v>1660</v>
      </c>
      <c r="M434" s="63" t="s">
        <v>1654</v>
      </c>
      <c r="N434" s="63" t="s">
        <v>1595</v>
      </c>
      <c r="O434" s="63" t="s">
        <v>1604</v>
      </c>
      <c r="P434" s="63" t="s">
        <v>1671</v>
      </c>
      <c r="Q434" s="63" t="s">
        <v>3725</v>
      </c>
      <c r="R434" s="63" t="s">
        <v>3725</v>
      </c>
      <c r="S434" s="63" t="s">
        <v>1633</v>
      </c>
      <c r="T434" s="63"/>
      <c r="U434" s="63"/>
      <c r="V434" s="63"/>
      <c r="W434" s="63"/>
      <c r="X434" s="63"/>
      <c r="Y434" s="63"/>
      <c r="Z434" s="63"/>
    </row>
    <row r="435" spans="1:26" ht="15.75" customHeight="1" x14ac:dyDescent="0.25">
      <c r="A435" s="63" t="s">
        <v>1416</v>
      </c>
      <c r="B435" s="63" t="s">
        <v>753</v>
      </c>
      <c r="C435" s="63" t="s">
        <v>41</v>
      </c>
      <c r="D435" s="63" t="s">
        <v>1595</v>
      </c>
      <c r="E435" s="63" t="s">
        <v>3726</v>
      </c>
      <c r="F435" s="63" t="s">
        <v>1597</v>
      </c>
      <c r="G435" s="63" t="s">
        <v>3727</v>
      </c>
      <c r="H435" s="63" t="s">
        <v>3728</v>
      </c>
      <c r="I435" s="63" t="s">
        <v>3729</v>
      </c>
      <c r="J435" s="63" t="s">
        <v>3038</v>
      </c>
      <c r="K435" s="63"/>
      <c r="L435" s="63" t="s">
        <v>1933</v>
      </c>
      <c r="M435" s="63" t="s">
        <v>1687</v>
      </c>
      <c r="N435" s="63" t="s">
        <v>1595</v>
      </c>
      <c r="O435" s="63" t="s">
        <v>1604</v>
      </c>
      <c r="P435" s="63" t="s">
        <v>1751</v>
      </c>
      <c r="Q435" s="63" t="s">
        <v>3730</v>
      </c>
      <c r="R435" s="63" t="s">
        <v>3730</v>
      </c>
      <c r="S435" s="63" t="s">
        <v>538</v>
      </c>
      <c r="T435" s="63"/>
      <c r="U435" s="63"/>
      <c r="V435" s="63"/>
      <c r="W435" s="63"/>
      <c r="X435" s="63"/>
      <c r="Y435" s="63"/>
      <c r="Z435" s="63"/>
    </row>
    <row r="436" spans="1:26" ht="15.75" customHeight="1" x14ac:dyDescent="0.25">
      <c r="A436" s="63" t="s">
        <v>1418</v>
      </c>
      <c r="B436" s="63" t="s">
        <v>727</v>
      </c>
      <c r="C436" s="63" t="s">
        <v>28</v>
      </c>
      <c r="D436" s="63" t="s">
        <v>1595</v>
      </c>
      <c r="E436" s="63" t="s">
        <v>3628</v>
      </c>
      <c r="F436" s="63" t="s">
        <v>1597</v>
      </c>
      <c r="G436" s="63" t="s">
        <v>3014</v>
      </c>
      <c r="H436" s="63" t="s">
        <v>1610</v>
      </c>
      <c r="I436" s="63" t="s">
        <v>3731</v>
      </c>
      <c r="J436" s="63" t="s">
        <v>3038</v>
      </c>
      <c r="K436" s="63"/>
      <c r="L436" s="63" t="s">
        <v>1750</v>
      </c>
      <c r="M436" s="63" t="s">
        <v>3732</v>
      </c>
      <c r="N436" s="63" t="s">
        <v>1595</v>
      </c>
      <c r="O436" s="63" t="s">
        <v>1604</v>
      </c>
      <c r="P436" s="63" t="s">
        <v>1751</v>
      </c>
      <c r="Q436" s="63" t="s">
        <v>3733</v>
      </c>
      <c r="R436" s="63" t="s">
        <v>3734</v>
      </c>
      <c r="S436" s="63" t="s">
        <v>538</v>
      </c>
      <c r="T436" s="63"/>
      <c r="U436" s="63"/>
      <c r="V436" s="63"/>
      <c r="W436" s="63"/>
      <c r="X436" s="63"/>
      <c r="Y436" s="63"/>
      <c r="Z436" s="63"/>
    </row>
    <row r="437" spans="1:26" ht="15.75" customHeight="1" x14ac:dyDescent="0.25">
      <c r="A437" s="63" t="s">
        <v>1420</v>
      </c>
      <c r="B437" s="63" t="s">
        <v>1457</v>
      </c>
      <c r="C437" s="63" t="s">
        <v>86</v>
      </c>
      <c r="D437" s="63" t="s">
        <v>1595</v>
      </c>
      <c r="E437" s="63" t="s">
        <v>3735</v>
      </c>
      <c r="F437" s="63" t="s">
        <v>1597</v>
      </c>
      <c r="G437" s="63" t="s">
        <v>3736</v>
      </c>
      <c r="H437" s="63" t="s">
        <v>1610</v>
      </c>
      <c r="I437" s="63" t="s">
        <v>3737</v>
      </c>
      <c r="J437" s="63" t="s">
        <v>3738</v>
      </c>
      <c r="K437" s="63" t="s">
        <v>2121</v>
      </c>
      <c r="L437" s="63" t="s">
        <v>3356</v>
      </c>
      <c r="M437" s="63" t="s">
        <v>1630</v>
      </c>
      <c r="N437" s="63" t="s">
        <v>1595</v>
      </c>
      <c r="O437" s="63" t="s">
        <v>1604</v>
      </c>
      <c r="P437" s="63" t="s">
        <v>1833</v>
      </c>
      <c r="Q437" s="63" t="s">
        <v>3739</v>
      </c>
      <c r="R437" s="63" t="s">
        <v>3740</v>
      </c>
      <c r="S437" s="63" t="s">
        <v>1633</v>
      </c>
      <c r="T437" s="63"/>
      <c r="U437" s="63"/>
      <c r="V437" s="63"/>
      <c r="W437" s="63"/>
      <c r="X437" s="63"/>
      <c r="Y437" s="63"/>
      <c r="Z437" s="63"/>
    </row>
    <row r="438" spans="1:26" ht="15.75" customHeight="1" x14ac:dyDescent="0.25">
      <c r="A438" s="63" t="s">
        <v>1422</v>
      </c>
      <c r="B438" s="63" t="s">
        <v>1501</v>
      </c>
      <c r="C438" s="63" t="s">
        <v>108</v>
      </c>
      <c r="D438" s="63" t="s">
        <v>2342</v>
      </c>
      <c r="E438" s="63" t="s">
        <v>3719</v>
      </c>
      <c r="F438" s="63" t="s">
        <v>1597</v>
      </c>
      <c r="G438" s="63" t="s">
        <v>3741</v>
      </c>
      <c r="H438" s="63" t="s">
        <v>2210</v>
      </c>
      <c r="I438" s="63" t="s">
        <v>3742</v>
      </c>
      <c r="J438" s="63" t="s">
        <v>672</v>
      </c>
      <c r="K438" s="63"/>
      <c r="L438" s="63" t="s">
        <v>2320</v>
      </c>
      <c r="M438" s="63" t="s">
        <v>1622</v>
      </c>
      <c r="N438" s="63" t="s">
        <v>1595</v>
      </c>
      <c r="O438" s="63" t="s">
        <v>1604</v>
      </c>
      <c r="P438" s="63" t="s">
        <v>3180</v>
      </c>
      <c r="Q438" s="63" t="s">
        <v>3743</v>
      </c>
      <c r="R438" s="63" t="s">
        <v>3743</v>
      </c>
      <c r="S438" s="63" t="s">
        <v>1633</v>
      </c>
      <c r="T438" s="63"/>
      <c r="U438" s="63"/>
      <c r="V438" s="63"/>
      <c r="W438" s="63"/>
      <c r="X438" s="63"/>
      <c r="Y438" s="63"/>
      <c r="Z438" s="63"/>
    </row>
    <row r="439" spans="1:26" ht="15.75" customHeight="1" x14ac:dyDescent="0.25">
      <c r="A439" s="63" t="s">
        <v>1424</v>
      </c>
      <c r="B439" s="63" t="s">
        <v>945</v>
      </c>
      <c r="C439" s="63" t="s">
        <v>383</v>
      </c>
      <c r="D439" s="63" t="s">
        <v>1595</v>
      </c>
      <c r="E439" s="63" t="s">
        <v>2497</v>
      </c>
      <c r="F439" s="63" t="s">
        <v>1597</v>
      </c>
      <c r="G439" s="63" t="s">
        <v>3744</v>
      </c>
      <c r="H439" s="63" t="s">
        <v>3176</v>
      </c>
      <c r="I439" s="63" t="s">
        <v>2100</v>
      </c>
      <c r="J439" s="63" t="s">
        <v>3745</v>
      </c>
      <c r="K439" s="63"/>
      <c r="L439" s="63" t="s">
        <v>2100</v>
      </c>
      <c r="M439" s="63" t="s">
        <v>1630</v>
      </c>
      <c r="N439" s="63" t="s">
        <v>1595</v>
      </c>
      <c r="O439" s="63" t="s">
        <v>1604</v>
      </c>
      <c r="P439" s="63" t="s">
        <v>1631</v>
      </c>
      <c r="Q439" s="63" t="s">
        <v>3746</v>
      </c>
      <c r="R439" s="63" t="s">
        <v>3746</v>
      </c>
      <c r="S439" s="63" t="s">
        <v>1616</v>
      </c>
      <c r="T439" s="63"/>
      <c r="U439" s="63"/>
      <c r="V439" s="63"/>
      <c r="W439" s="63"/>
      <c r="X439" s="63"/>
      <c r="Y439" s="63"/>
      <c r="Z439" s="63"/>
    </row>
    <row r="440" spans="1:26" ht="15.75" customHeight="1" x14ac:dyDescent="0.25">
      <c r="A440" s="63" t="s">
        <v>1426</v>
      </c>
      <c r="B440" s="63" t="s">
        <v>673</v>
      </c>
      <c r="C440" s="63" t="s">
        <v>504</v>
      </c>
      <c r="D440" s="63" t="s">
        <v>1595</v>
      </c>
      <c r="E440" s="63" t="s">
        <v>1819</v>
      </c>
      <c r="F440" s="63" t="s">
        <v>1597</v>
      </c>
      <c r="G440" s="63" t="s">
        <v>3747</v>
      </c>
      <c r="H440" s="63" t="s">
        <v>1610</v>
      </c>
      <c r="I440" s="63" t="s">
        <v>3120</v>
      </c>
      <c r="J440" s="63" t="s">
        <v>2718</v>
      </c>
      <c r="K440" s="63"/>
      <c r="L440" s="63" t="s">
        <v>1660</v>
      </c>
      <c r="M440" s="63" t="s">
        <v>1654</v>
      </c>
      <c r="N440" s="63" t="s">
        <v>1595</v>
      </c>
      <c r="O440" s="63" t="s">
        <v>1604</v>
      </c>
      <c r="P440" s="63" t="s">
        <v>1671</v>
      </c>
      <c r="Q440" s="63" t="s">
        <v>3748</v>
      </c>
      <c r="R440" s="63" t="s">
        <v>3749</v>
      </c>
      <c r="S440" s="63" t="s">
        <v>1607</v>
      </c>
      <c r="T440" s="63"/>
      <c r="U440" s="63"/>
      <c r="V440" s="63"/>
      <c r="W440" s="63"/>
      <c r="X440" s="63"/>
      <c r="Y440" s="63"/>
      <c r="Z440" s="63"/>
    </row>
    <row r="441" spans="1:26" ht="15.75" customHeight="1" x14ac:dyDescent="0.25">
      <c r="A441" s="63" t="s">
        <v>1428</v>
      </c>
      <c r="B441" s="63" t="s">
        <v>1325</v>
      </c>
      <c r="C441" s="63" t="s">
        <v>5094</v>
      </c>
      <c r="D441" s="63" t="s">
        <v>1595</v>
      </c>
      <c r="E441" s="63" t="s">
        <v>3750</v>
      </c>
      <c r="F441" s="63" t="s">
        <v>1597</v>
      </c>
      <c r="G441" s="63" t="s">
        <v>3751</v>
      </c>
      <c r="H441" s="63" t="s">
        <v>1610</v>
      </c>
      <c r="I441" s="63" t="s">
        <v>3752</v>
      </c>
      <c r="J441" s="63" t="s">
        <v>3072</v>
      </c>
      <c r="K441" s="63" t="s">
        <v>2718</v>
      </c>
      <c r="L441" s="63" t="s">
        <v>2190</v>
      </c>
      <c r="M441" s="63" t="s">
        <v>1603</v>
      </c>
      <c r="N441" s="63" t="s">
        <v>1595</v>
      </c>
      <c r="O441" s="63" t="s">
        <v>1604</v>
      </c>
      <c r="P441" s="63" t="s">
        <v>2504</v>
      </c>
      <c r="Q441" s="63" t="s">
        <v>3753</v>
      </c>
      <c r="R441" s="63" t="s">
        <v>3754</v>
      </c>
      <c r="S441" s="63" t="s">
        <v>1633</v>
      </c>
      <c r="T441" s="63"/>
      <c r="U441" s="63"/>
      <c r="V441" s="63"/>
      <c r="W441" s="63"/>
      <c r="X441" s="63"/>
      <c r="Y441" s="63"/>
      <c r="Z441" s="63"/>
    </row>
    <row r="442" spans="1:26" ht="15.75" customHeight="1" x14ac:dyDescent="0.25">
      <c r="A442" s="63" t="s">
        <v>1430</v>
      </c>
      <c r="B442" s="63" t="s">
        <v>819</v>
      </c>
      <c r="C442" s="63" t="s">
        <v>326</v>
      </c>
      <c r="D442" s="63" t="s">
        <v>1595</v>
      </c>
      <c r="E442" s="63" t="s">
        <v>2259</v>
      </c>
      <c r="F442" s="63" t="s">
        <v>1597</v>
      </c>
      <c r="G442" s="63" t="s">
        <v>3755</v>
      </c>
      <c r="H442" s="63" t="s">
        <v>1610</v>
      </c>
      <c r="I442" s="63" t="s">
        <v>3756</v>
      </c>
      <c r="J442" s="63" t="s">
        <v>556</v>
      </c>
      <c r="K442" s="63" t="s">
        <v>1601</v>
      </c>
      <c r="L442" s="63" t="s">
        <v>1784</v>
      </c>
      <c r="M442" s="63" t="s">
        <v>1785</v>
      </c>
      <c r="N442" s="63" t="s">
        <v>1595</v>
      </c>
      <c r="O442" s="63" t="s">
        <v>1604</v>
      </c>
      <c r="P442" s="63" t="s">
        <v>1795</v>
      </c>
      <c r="Q442" s="63" t="s">
        <v>3757</v>
      </c>
      <c r="R442" s="63" t="s">
        <v>3758</v>
      </c>
      <c r="S442" s="63" t="s">
        <v>1616</v>
      </c>
      <c r="T442" s="63"/>
      <c r="U442" s="63"/>
      <c r="V442" s="63"/>
      <c r="W442" s="63"/>
      <c r="X442" s="63"/>
      <c r="Y442" s="63"/>
      <c r="Z442" s="63"/>
    </row>
    <row r="443" spans="1:26" ht="15.75" customHeight="1" x14ac:dyDescent="0.25">
      <c r="A443" s="63" t="s">
        <v>1432</v>
      </c>
      <c r="B443" s="63" t="s">
        <v>735</v>
      </c>
      <c r="C443" s="63" t="s">
        <v>32</v>
      </c>
      <c r="D443" s="63" t="s">
        <v>3488</v>
      </c>
      <c r="E443" s="63" t="s">
        <v>3759</v>
      </c>
      <c r="F443" s="63" t="s">
        <v>1597</v>
      </c>
      <c r="G443" s="63" t="s">
        <v>3760</v>
      </c>
      <c r="H443" s="63" t="s">
        <v>3761</v>
      </c>
      <c r="I443" s="63" t="s">
        <v>3762</v>
      </c>
      <c r="J443" s="63" t="s">
        <v>2225</v>
      </c>
      <c r="K443" s="63" t="s">
        <v>2121</v>
      </c>
      <c r="L443" s="63" t="s">
        <v>3763</v>
      </c>
      <c r="M443" s="63" t="s">
        <v>3614</v>
      </c>
      <c r="N443" s="63" t="s">
        <v>3488</v>
      </c>
      <c r="O443" s="63" t="s">
        <v>3764</v>
      </c>
      <c r="P443" s="63" t="s">
        <v>5070</v>
      </c>
      <c r="Q443" s="63" t="s">
        <v>3765</v>
      </c>
      <c r="R443" s="63" t="s">
        <v>3765</v>
      </c>
      <c r="S443" s="63" t="s">
        <v>538</v>
      </c>
      <c r="T443" s="63"/>
      <c r="U443" s="63"/>
      <c r="V443" s="63"/>
      <c r="W443" s="63"/>
      <c r="X443" s="63"/>
      <c r="Y443" s="63"/>
      <c r="Z443" s="63"/>
    </row>
    <row r="444" spans="1:26" ht="15.75" customHeight="1" x14ac:dyDescent="0.25">
      <c r="A444" s="63" t="s">
        <v>1434</v>
      </c>
      <c r="B444" s="63" t="s">
        <v>3766</v>
      </c>
      <c r="C444" s="63" t="s">
        <v>3767</v>
      </c>
      <c r="D444" s="63" t="s">
        <v>1595</v>
      </c>
      <c r="E444" s="63" t="s">
        <v>2750</v>
      </c>
      <c r="F444" s="63" t="s">
        <v>1597</v>
      </c>
      <c r="G444" s="63" t="s">
        <v>3768</v>
      </c>
      <c r="H444" s="63" t="s">
        <v>1619</v>
      </c>
      <c r="I444" s="63" t="s">
        <v>2589</v>
      </c>
      <c r="J444" s="63" t="s">
        <v>2204</v>
      </c>
      <c r="K444" s="63" t="s">
        <v>2121</v>
      </c>
      <c r="L444" s="63" t="s">
        <v>1621</v>
      </c>
      <c r="M444" s="63" t="s">
        <v>1622</v>
      </c>
      <c r="N444" s="63" t="s">
        <v>1595</v>
      </c>
      <c r="O444" s="63" t="s">
        <v>1604</v>
      </c>
      <c r="P444" s="63" t="s">
        <v>1623</v>
      </c>
      <c r="Q444" s="63" t="s">
        <v>3769</v>
      </c>
      <c r="R444" s="63" t="s">
        <v>3770</v>
      </c>
      <c r="S444" s="63" t="s">
        <v>1633</v>
      </c>
      <c r="T444" s="63"/>
      <c r="U444" s="63"/>
      <c r="V444" s="63"/>
      <c r="W444" s="63"/>
      <c r="X444" s="63"/>
      <c r="Y444" s="63"/>
      <c r="Z444" s="63"/>
    </row>
    <row r="445" spans="1:26" ht="15.75" customHeight="1" x14ac:dyDescent="0.25">
      <c r="A445" s="63" t="s">
        <v>1436</v>
      </c>
      <c r="B445" s="63" t="s">
        <v>859</v>
      </c>
      <c r="C445" s="63" t="s">
        <v>344</v>
      </c>
      <c r="D445" s="63" t="s">
        <v>1595</v>
      </c>
      <c r="E445" s="63" t="s">
        <v>2796</v>
      </c>
      <c r="F445" s="63" t="s">
        <v>1597</v>
      </c>
      <c r="G445" s="63" t="s">
        <v>3771</v>
      </c>
      <c r="H445" s="63" t="s">
        <v>2210</v>
      </c>
      <c r="I445" s="63" t="s">
        <v>3772</v>
      </c>
      <c r="J445" s="63" t="s">
        <v>560</v>
      </c>
      <c r="K445" s="63"/>
      <c r="L445" s="63" t="s">
        <v>2320</v>
      </c>
      <c r="M445" s="63" t="s">
        <v>1622</v>
      </c>
      <c r="N445" s="63" t="s">
        <v>1595</v>
      </c>
      <c r="O445" s="63" t="s">
        <v>1604</v>
      </c>
      <c r="P445" s="63" t="s">
        <v>1939</v>
      </c>
      <c r="Q445" s="63" t="s">
        <v>3773</v>
      </c>
      <c r="R445" s="63" t="s">
        <v>3774</v>
      </c>
      <c r="S445" s="63" t="s">
        <v>1616</v>
      </c>
      <c r="T445" s="63"/>
      <c r="U445" s="63"/>
      <c r="V445" s="63"/>
      <c r="W445" s="63"/>
      <c r="X445" s="63"/>
      <c r="Y445" s="63"/>
      <c r="Z445" s="63"/>
    </row>
    <row r="446" spans="1:26" ht="15.75" customHeight="1" x14ac:dyDescent="0.25">
      <c r="A446" s="63" t="s">
        <v>1438</v>
      </c>
      <c r="B446" s="63" t="s">
        <v>1543</v>
      </c>
      <c r="C446" s="63" t="s">
        <v>128</v>
      </c>
      <c r="D446" s="63" t="s">
        <v>1595</v>
      </c>
      <c r="E446" s="63" t="s">
        <v>2052</v>
      </c>
      <c r="F446" s="63" t="s">
        <v>1597</v>
      </c>
      <c r="G446" s="63" t="s">
        <v>3775</v>
      </c>
      <c r="H446" s="63" t="s">
        <v>2524</v>
      </c>
      <c r="I446" s="63" t="s">
        <v>3460</v>
      </c>
      <c r="J446" s="63" t="s">
        <v>552</v>
      </c>
      <c r="K446" s="63" t="s">
        <v>1601</v>
      </c>
      <c r="L446" s="63" t="s">
        <v>2282</v>
      </c>
      <c r="M446" s="63" t="s">
        <v>2283</v>
      </c>
      <c r="N446" s="63" t="s">
        <v>1595</v>
      </c>
      <c r="O446" s="63" t="s">
        <v>1604</v>
      </c>
      <c r="P446" s="63" t="s">
        <v>5066</v>
      </c>
      <c r="Q446" s="63" t="s">
        <v>3776</v>
      </c>
      <c r="R446" s="63" t="s">
        <v>3777</v>
      </c>
      <c r="S446" s="63" t="s">
        <v>1616</v>
      </c>
      <c r="T446" s="63"/>
      <c r="U446" s="63"/>
      <c r="V446" s="63"/>
      <c r="W446" s="63"/>
      <c r="X446" s="63"/>
      <c r="Y446" s="63"/>
      <c r="Z446" s="63"/>
    </row>
    <row r="447" spans="1:26" ht="15.75" customHeight="1" x14ac:dyDescent="0.25">
      <c r="A447" s="63" t="s">
        <v>1440</v>
      </c>
      <c r="B447" s="63" t="s">
        <v>1091</v>
      </c>
      <c r="C447" s="63" t="s">
        <v>147</v>
      </c>
      <c r="D447" s="63" t="s">
        <v>3488</v>
      </c>
      <c r="E447" s="63" t="s">
        <v>2125</v>
      </c>
      <c r="F447" s="63" t="s">
        <v>1597</v>
      </c>
      <c r="G447" s="63" t="s">
        <v>3404</v>
      </c>
      <c r="H447" s="63" t="s">
        <v>3761</v>
      </c>
      <c r="I447" s="63" t="s">
        <v>3778</v>
      </c>
      <c r="J447" s="63" t="s">
        <v>2225</v>
      </c>
      <c r="K447" s="63"/>
      <c r="L447" s="63" t="s">
        <v>3763</v>
      </c>
      <c r="M447" s="63" t="s">
        <v>3614</v>
      </c>
      <c r="N447" s="63" t="s">
        <v>3488</v>
      </c>
      <c r="O447" s="63" t="s">
        <v>1604</v>
      </c>
      <c r="P447" s="63" t="s">
        <v>5071</v>
      </c>
      <c r="Q447" s="63" t="s">
        <v>3779</v>
      </c>
      <c r="R447" s="63" t="s">
        <v>3780</v>
      </c>
      <c r="S447" s="63" t="s">
        <v>1633</v>
      </c>
      <c r="T447" s="63"/>
      <c r="U447" s="63"/>
      <c r="V447" s="63"/>
      <c r="W447" s="63"/>
      <c r="X447" s="63"/>
      <c r="Y447" s="63"/>
      <c r="Z447" s="63"/>
    </row>
    <row r="448" spans="1:26" ht="15.75" customHeight="1" x14ac:dyDescent="0.25">
      <c r="A448" s="63" t="s">
        <v>1442</v>
      </c>
      <c r="B448" s="63" t="s">
        <v>959</v>
      </c>
      <c r="C448" s="63" t="s">
        <v>390</v>
      </c>
      <c r="D448" s="63" t="s">
        <v>1595</v>
      </c>
      <c r="E448" s="63" t="s">
        <v>3781</v>
      </c>
      <c r="F448" s="63" t="s">
        <v>1597</v>
      </c>
      <c r="G448" s="63" t="s">
        <v>3782</v>
      </c>
      <c r="H448" s="63" t="s">
        <v>1610</v>
      </c>
      <c r="I448" s="63" t="s">
        <v>3783</v>
      </c>
      <c r="J448" s="63" t="s">
        <v>2718</v>
      </c>
      <c r="K448" s="63" t="s">
        <v>2121</v>
      </c>
      <c r="L448" s="63" t="s">
        <v>3406</v>
      </c>
      <c r="M448" s="63" t="s">
        <v>2283</v>
      </c>
      <c r="N448" s="63" t="s">
        <v>1595</v>
      </c>
      <c r="O448" s="63" t="s">
        <v>1604</v>
      </c>
      <c r="P448" s="63" t="s">
        <v>2445</v>
      </c>
      <c r="Q448" s="63" t="s">
        <v>3784</v>
      </c>
      <c r="R448" s="63" t="s">
        <v>3785</v>
      </c>
      <c r="S448" s="63" t="s">
        <v>1616</v>
      </c>
      <c r="T448" s="63"/>
      <c r="U448" s="63"/>
      <c r="V448" s="63"/>
      <c r="W448" s="63"/>
      <c r="X448" s="63"/>
      <c r="Y448" s="63"/>
      <c r="Z448" s="63"/>
    </row>
    <row r="449" spans="1:26" ht="15.75" customHeight="1" x14ac:dyDescent="0.25">
      <c r="A449" s="63" t="s">
        <v>1444</v>
      </c>
      <c r="B449" s="63" t="s">
        <v>749</v>
      </c>
      <c r="C449" s="63" t="s">
        <v>39</v>
      </c>
      <c r="D449" s="63" t="s">
        <v>1595</v>
      </c>
      <c r="E449" s="63" t="s">
        <v>3786</v>
      </c>
      <c r="F449" s="63" t="s">
        <v>1597</v>
      </c>
      <c r="G449" s="63" t="s">
        <v>3787</v>
      </c>
      <c r="H449" s="63" t="s">
        <v>1927</v>
      </c>
      <c r="I449" s="63" t="s">
        <v>3788</v>
      </c>
      <c r="J449" s="63" t="s">
        <v>2318</v>
      </c>
      <c r="K449" s="63" t="s">
        <v>2468</v>
      </c>
      <c r="L449" s="63" t="s">
        <v>1660</v>
      </c>
      <c r="M449" s="63" t="s">
        <v>1654</v>
      </c>
      <c r="N449" s="63" t="s">
        <v>1595</v>
      </c>
      <c r="O449" s="63" t="s">
        <v>1604</v>
      </c>
      <c r="P449" s="63" t="s">
        <v>1671</v>
      </c>
      <c r="Q449" s="63" t="s">
        <v>3789</v>
      </c>
      <c r="R449" s="63" t="s">
        <v>3790</v>
      </c>
      <c r="S449" s="63" t="s">
        <v>1607</v>
      </c>
      <c r="T449" s="63"/>
      <c r="U449" s="63"/>
      <c r="V449" s="63"/>
      <c r="W449" s="63"/>
      <c r="X449" s="63"/>
      <c r="Y449" s="63"/>
      <c r="Z449" s="63"/>
    </row>
    <row r="450" spans="1:26" ht="15.75" customHeight="1" x14ac:dyDescent="0.25">
      <c r="A450" s="63" t="s">
        <v>1446</v>
      </c>
      <c r="B450" s="63" t="s">
        <v>811</v>
      </c>
      <c r="C450" s="63" t="s">
        <v>322</v>
      </c>
      <c r="D450" s="63" t="s">
        <v>3791</v>
      </c>
      <c r="E450" s="63" t="s">
        <v>2773</v>
      </c>
      <c r="F450" s="63" t="s">
        <v>1597</v>
      </c>
      <c r="G450" s="63" t="s">
        <v>3792</v>
      </c>
      <c r="H450" s="63" t="s">
        <v>3793</v>
      </c>
      <c r="I450" s="63" t="s">
        <v>3794</v>
      </c>
      <c r="J450" s="63" t="s">
        <v>2914</v>
      </c>
      <c r="K450" s="63" t="s">
        <v>2843</v>
      </c>
      <c r="L450" s="63" t="s">
        <v>3795</v>
      </c>
      <c r="M450" s="63" t="s">
        <v>3488</v>
      </c>
      <c r="N450" s="63" t="s">
        <v>3488</v>
      </c>
      <c r="O450" s="63" t="s">
        <v>3796</v>
      </c>
      <c r="P450" s="63" t="s">
        <v>5072</v>
      </c>
      <c r="Q450" s="63" t="s">
        <v>3797</v>
      </c>
      <c r="R450" s="63" t="s">
        <v>3798</v>
      </c>
      <c r="S450" s="63" t="s">
        <v>1616</v>
      </c>
      <c r="T450" s="63"/>
      <c r="U450" s="63"/>
      <c r="V450" s="63"/>
      <c r="W450" s="63"/>
      <c r="X450" s="63"/>
      <c r="Y450" s="63"/>
      <c r="Z450" s="63"/>
    </row>
    <row r="451" spans="1:26" ht="15.75" customHeight="1" x14ac:dyDescent="0.25">
      <c r="A451" s="63" t="s">
        <v>1448</v>
      </c>
      <c r="B451" s="63" t="s">
        <v>1183</v>
      </c>
      <c r="C451" s="63" t="s">
        <v>192</v>
      </c>
      <c r="D451" s="63" t="s">
        <v>1595</v>
      </c>
      <c r="E451" s="63" t="s">
        <v>1699</v>
      </c>
      <c r="F451" s="63" t="s">
        <v>1597</v>
      </c>
      <c r="G451" s="63" t="s">
        <v>3799</v>
      </c>
      <c r="H451" s="63" t="s">
        <v>1610</v>
      </c>
      <c r="I451" s="63" t="s">
        <v>3800</v>
      </c>
      <c r="J451" s="63" t="s">
        <v>558</v>
      </c>
      <c r="K451" s="63"/>
      <c r="L451" s="63" t="s">
        <v>1660</v>
      </c>
      <c r="M451" s="63" t="s">
        <v>1654</v>
      </c>
      <c r="N451" s="63" t="s">
        <v>1595</v>
      </c>
      <c r="O451" s="63" t="s">
        <v>1604</v>
      </c>
      <c r="P451" s="63" t="s">
        <v>2352</v>
      </c>
      <c r="Q451" s="63" t="s">
        <v>3801</v>
      </c>
      <c r="R451" s="63" t="s">
        <v>3802</v>
      </c>
      <c r="S451" s="63" t="s">
        <v>1633</v>
      </c>
      <c r="T451" s="63"/>
      <c r="U451" s="63"/>
      <c r="V451" s="63"/>
      <c r="W451" s="63"/>
      <c r="X451" s="63"/>
      <c r="Y451" s="63"/>
      <c r="Z451" s="63"/>
    </row>
    <row r="452" spans="1:26" ht="15.75" customHeight="1" x14ac:dyDescent="0.25">
      <c r="A452" s="63" t="s">
        <v>1450</v>
      </c>
      <c r="B452" s="63" t="s">
        <v>1123</v>
      </c>
      <c r="C452" s="63" t="s">
        <v>163</v>
      </c>
      <c r="D452" s="63" t="s">
        <v>1595</v>
      </c>
      <c r="E452" s="63" t="s">
        <v>3803</v>
      </c>
      <c r="F452" s="63" t="s">
        <v>1597</v>
      </c>
      <c r="G452" s="63" t="s">
        <v>3804</v>
      </c>
      <c r="H452" s="63" t="s">
        <v>3805</v>
      </c>
      <c r="I452" s="63" t="s">
        <v>3806</v>
      </c>
      <c r="J452" s="63" t="s">
        <v>676</v>
      </c>
      <c r="K452" s="63" t="s">
        <v>1601</v>
      </c>
      <c r="L452" s="63" t="s">
        <v>1750</v>
      </c>
      <c r="M452" s="63" t="s">
        <v>1687</v>
      </c>
      <c r="N452" s="63" t="s">
        <v>1595</v>
      </c>
      <c r="O452" s="63" t="s">
        <v>1604</v>
      </c>
      <c r="P452" s="63" t="s">
        <v>1751</v>
      </c>
      <c r="Q452" s="63" t="s">
        <v>3807</v>
      </c>
      <c r="R452" s="63" t="s">
        <v>2121</v>
      </c>
      <c r="S452" s="63" t="s">
        <v>1633</v>
      </c>
      <c r="T452" s="63"/>
      <c r="U452" s="63"/>
      <c r="V452" s="63"/>
      <c r="W452" s="63"/>
      <c r="X452" s="63"/>
      <c r="Y452" s="63"/>
      <c r="Z452" s="63"/>
    </row>
    <row r="453" spans="1:26" ht="15.75" customHeight="1" x14ac:dyDescent="0.25">
      <c r="A453" s="63" t="s">
        <v>1452</v>
      </c>
      <c r="B453" s="63" t="s">
        <v>1255</v>
      </c>
      <c r="C453" s="63" t="s">
        <v>227</v>
      </c>
      <c r="D453" s="63" t="s">
        <v>1595</v>
      </c>
      <c r="E453" s="63" t="s">
        <v>2628</v>
      </c>
      <c r="F453" s="63" t="s">
        <v>1597</v>
      </c>
      <c r="G453" s="63" t="s">
        <v>3808</v>
      </c>
      <c r="H453" s="63" t="s">
        <v>1619</v>
      </c>
      <c r="I453" s="63" t="s">
        <v>3809</v>
      </c>
      <c r="J453" s="63" t="s">
        <v>552</v>
      </c>
      <c r="K453" s="63" t="s">
        <v>1601</v>
      </c>
      <c r="L453" s="63" t="s">
        <v>2728</v>
      </c>
      <c r="M453" s="63" t="s">
        <v>1622</v>
      </c>
      <c r="N453" s="63" t="s">
        <v>1595</v>
      </c>
      <c r="O453" s="63" t="s">
        <v>1604</v>
      </c>
      <c r="P453" s="63" t="s">
        <v>5073</v>
      </c>
      <c r="Q453" s="63" t="s">
        <v>3810</v>
      </c>
      <c r="R453" s="63" t="s">
        <v>3810</v>
      </c>
      <c r="S453" s="63" t="s">
        <v>1633</v>
      </c>
      <c r="T453" s="63"/>
      <c r="U453" s="63"/>
      <c r="V453" s="63"/>
      <c r="W453" s="63"/>
      <c r="X453" s="63"/>
      <c r="Y453" s="63"/>
      <c r="Z453" s="63"/>
    </row>
    <row r="454" spans="1:26" ht="15.75" customHeight="1" x14ac:dyDescent="0.25">
      <c r="A454" s="63" t="s">
        <v>1454</v>
      </c>
      <c r="B454" s="63" t="s">
        <v>3811</v>
      </c>
      <c r="C454" s="63" t="s">
        <v>3812</v>
      </c>
      <c r="D454" s="63" t="s">
        <v>1595</v>
      </c>
      <c r="E454" s="63" t="s">
        <v>3813</v>
      </c>
      <c r="F454" s="63" t="s">
        <v>1597</v>
      </c>
      <c r="G454" s="63" t="s">
        <v>3814</v>
      </c>
      <c r="H454" s="63" t="s">
        <v>1627</v>
      </c>
      <c r="I454" s="63" t="s">
        <v>3815</v>
      </c>
      <c r="J454" s="63" t="s">
        <v>554</v>
      </c>
      <c r="K454" s="63" t="s">
        <v>1601</v>
      </c>
      <c r="L454" s="63" t="s">
        <v>2282</v>
      </c>
      <c r="M454" s="63" t="s">
        <v>2283</v>
      </c>
      <c r="N454" s="63" t="s">
        <v>1595</v>
      </c>
      <c r="O454" s="63" t="s">
        <v>1604</v>
      </c>
      <c r="P454" s="63" t="s">
        <v>2477</v>
      </c>
      <c r="Q454" s="63" t="s">
        <v>3816</v>
      </c>
      <c r="R454" s="63" t="s">
        <v>3817</v>
      </c>
      <c r="S454" s="63" t="s">
        <v>1616</v>
      </c>
      <c r="T454" s="63"/>
      <c r="U454" s="63"/>
      <c r="V454" s="63"/>
      <c r="W454" s="63"/>
      <c r="X454" s="63"/>
      <c r="Y454" s="63"/>
      <c r="Z454" s="63"/>
    </row>
    <row r="455" spans="1:26" ht="15.75" customHeight="1" x14ac:dyDescent="0.25">
      <c r="A455" s="63" t="s">
        <v>1456</v>
      </c>
      <c r="B455" s="63" t="s">
        <v>1419</v>
      </c>
      <c r="C455" s="63" t="s">
        <v>66</v>
      </c>
      <c r="D455" s="63" t="s">
        <v>1595</v>
      </c>
      <c r="E455" s="63" t="s">
        <v>3818</v>
      </c>
      <c r="F455" s="63" t="s">
        <v>1597</v>
      </c>
      <c r="G455" s="63" t="s">
        <v>3819</v>
      </c>
      <c r="H455" s="63" t="s">
        <v>1610</v>
      </c>
      <c r="I455" s="63" t="s">
        <v>3820</v>
      </c>
      <c r="J455" s="63" t="s">
        <v>2318</v>
      </c>
      <c r="K455" s="63"/>
      <c r="L455" s="63" t="s">
        <v>1785</v>
      </c>
      <c r="M455" s="63" t="s">
        <v>1785</v>
      </c>
      <c r="N455" s="63" t="s">
        <v>1595</v>
      </c>
      <c r="O455" s="63" t="s">
        <v>1604</v>
      </c>
      <c r="P455" s="63" t="s">
        <v>2146</v>
      </c>
      <c r="Q455" s="63" t="s">
        <v>3821</v>
      </c>
      <c r="R455" s="63" t="s">
        <v>3822</v>
      </c>
      <c r="S455" s="63" t="s">
        <v>1723</v>
      </c>
      <c r="T455" s="63"/>
      <c r="U455" s="63"/>
      <c r="V455" s="63"/>
      <c r="W455" s="63"/>
      <c r="X455" s="63"/>
      <c r="Y455" s="63"/>
      <c r="Z455" s="63"/>
    </row>
    <row r="456" spans="1:26" ht="15.75" customHeight="1" x14ac:dyDescent="0.25">
      <c r="A456" s="63" t="s">
        <v>1458</v>
      </c>
      <c r="B456" s="63" t="s">
        <v>937</v>
      </c>
      <c r="C456" s="63" t="s">
        <v>379</v>
      </c>
      <c r="D456" s="63" t="s">
        <v>1595</v>
      </c>
      <c r="E456" s="63" t="s">
        <v>2594</v>
      </c>
      <c r="F456" s="63" t="s">
        <v>1597</v>
      </c>
      <c r="G456" s="63" t="s">
        <v>3823</v>
      </c>
      <c r="H456" s="63" t="s">
        <v>2499</v>
      </c>
      <c r="I456" s="63" t="s">
        <v>3824</v>
      </c>
      <c r="J456" s="63" t="s">
        <v>556</v>
      </c>
      <c r="K456" s="63"/>
      <c r="L456" s="63" t="s">
        <v>3825</v>
      </c>
      <c r="M456" s="63" t="s">
        <v>3826</v>
      </c>
      <c r="N456" s="63" t="s">
        <v>3488</v>
      </c>
      <c r="O456" s="63" t="s">
        <v>1604</v>
      </c>
      <c r="P456" s="63" t="s">
        <v>4514</v>
      </c>
      <c r="Q456" s="63" t="s">
        <v>3827</v>
      </c>
      <c r="R456" s="63" t="s">
        <v>3828</v>
      </c>
      <c r="S456" s="63" t="s">
        <v>1633</v>
      </c>
      <c r="T456" s="63"/>
      <c r="U456" s="63"/>
      <c r="V456" s="63"/>
      <c r="W456" s="63"/>
      <c r="X456" s="63"/>
      <c r="Y456" s="63"/>
      <c r="Z456" s="63"/>
    </row>
    <row r="457" spans="1:26" ht="15.75" customHeight="1" x14ac:dyDescent="0.25">
      <c r="A457" s="63" t="s">
        <v>1460</v>
      </c>
      <c r="B457" s="63" t="s">
        <v>807</v>
      </c>
      <c r="C457" s="63" t="s">
        <v>320</v>
      </c>
      <c r="D457" s="63" t="s">
        <v>1595</v>
      </c>
      <c r="E457" s="63" t="s">
        <v>3829</v>
      </c>
      <c r="F457" s="63" t="s">
        <v>1597</v>
      </c>
      <c r="G457" s="63" t="s">
        <v>3830</v>
      </c>
      <c r="H457" s="63" t="s">
        <v>2499</v>
      </c>
      <c r="I457" s="63" t="s">
        <v>3831</v>
      </c>
      <c r="J457" s="63" t="s">
        <v>644</v>
      </c>
      <c r="K457" s="63"/>
      <c r="L457" s="63" t="s">
        <v>3832</v>
      </c>
      <c r="M457" s="63" t="s">
        <v>3833</v>
      </c>
      <c r="N457" s="63" t="s">
        <v>1595</v>
      </c>
      <c r="O457" s="63" t="s">
        <v>1604</v>
      </c>
      <c r="P457" s="63" t="s">
        <v>3834</v>
      </c>
      <c r="Q457" s="63" t="s">
        <v>3835</v>
      </c>
      <c r="R457" s="63" t="s">
        <v>3836</v>
      </c>
      <c r="S457" s="63" t="s">
        <v>1616</v>
      </c>
      <c r="T457" s="63"/>
      <c r="U457" s="63"/>
      <c r="V457" s="63"/>
      <c r="W457" s="63"/>
      <c r="X457" s="63"/>
      <c r="Y457" s="63"/>
      <c r="Z457" s="63"/>
    </row>
    <row r="458" spans="1:26" ht="15.75" customHeight="1" x14ac:dyDescent="0.25">
      <c r="A458" s="63" t="s">
        <v>1462</v>
      </c>
      <c r="B458" s="63" t="s">
        <v>3837</v>
      </c>
      <c r="C458" s="63" t="s">
        <v>3838</v>
      </c>
      <c r="D458" s="63" t="s">
        <v>3839</v>
      </c>
      <c r="E458" s="63" t="s">
        <v>2986</v>
      </c>
      <c r="F458" s="63" t="s">
        <v>1597</v>
      </c>
      <c r="G458" s="63" t="s">
        <v>3840</v>
      </c>
      <c r="H458" s="63" t="s">
        <v>3841</v>
      </c>
      <c r="I458" s="63" t="s">
        <v>3842</v>
      </c>
      <c r="J458" s="63" t="s">
        <v>2225</v>
      </c>
      <c r="K458" s="63" t="s">
        <v>2718</v>
      </c>
      <c r="L458" s="63" t="s">
        <v>3843</v>
      </c>
      <c r="M458" s="63" t="s">
        <v>3488</v>
      </c>
      <c r="N458" s="63" t="s">
        <v>3488</v>
      </c>
      <c r="O458" s="63" t="s">
        <v>3844</v>
      </c>
      <c r="P458" s="63" t="s">
        <v>3845</v>
      </c>
      <c r="Q458" s="63" t="s">
        <v>3846</v>
      </c>
      <c r="R458" s="63" t="s">
        <v>3847</v>
      </c>
      <c r="S458" s="63" t="s">
        <v>538</v>
      </c>
      <c r="T458" s="63"/>
      <c r="U458" s="63"/>
      <c r="V458" s="63"/>
      <c r="W458" s="63"/>
      <c r="X458" s="63"/>
      <c r="Y458" s="63"/>
      <c r="Z458" s="63"/>
    </row>
    <row r="459" spans="1:26" ht="15.75" customHeight="1" x14ac:dyDescent="0.25">
      <c r="A459" s="63" t="s">
        <v>1464</v>
      </c>
      <c r="B459" s="63" t="s">
        <v>1181</v>
      </c>
      <c r="C459" s="63" t="s">
        <v>191</v>
      </c>
      <c r="D459" s="63" t="s">
        <v>3848</v>
      </c>
      <c r="E459" s="63" t="s">
        <v>3713</v>
      </c>
      <c r="F459" s="63" t="s">
        <v>1597</v>
      </c>
      <c r="G459" s="63" t="s">
        <v>3849</v>
      </c>
      <c r="H459" s="63" t="s">
        <v>2938</v>
      </c>
      <c r="I459" s="63" t="s">
        <v>3850</v>
      </c>
      <c r="J459" s="63" t="s">
        <v>2483</v>
      </c>
      <c r="K459" s="63" t="s">
        <v>2121</v>
      </c>
      <c r="L459" s="63" t="s">
        <v>3851</v>
      </c>
      <c r="M459" s="63" t="s">
        <v>3678</v>
      </c>
      <c r="N459" s="63" t="s">
        <v>3488</v>
      </c>
      <c r="O459" s="63" t="s">
        <v>1604</v>
      </c>
      <c r="P459" s="63" t="s">
        <v>3461</v>
      </c>
      <c r="Q459" s="63" t="s">
        <v>3852</v>
      </c>
      <c r="R459" s="63" t="s">
        <v>3852</v>
      </c>
      <c r="S459" s="63" t="s">
        <v>1633</v>
      </c>
      <c r="T459" s="63"/>
      <c r="U459" s="63"/>
      <c r="V459" s="63"/>
      <c r="W459" s="63"/>
      <c r="X459" s="63"/>
      <c r="Y459" s="63"/>
      <c r="Z459" s="63"/>
    </row>
    <row r="460" spans="1:26" ht="15.75" customHeight="1" x14ac:dyDescent="0.25">
      <c r="A460" s="63" t="s">
        <v>1466</v>
      </c>
      <c r="B460" s="63" t="s">
        <v>1481</v>
      </c>
      <c r="C460" s="63" t="s">
        <v>98</v>
      </c>
      <c r="D460" s="63" t="s">
        <v>1595</v>
      </c>
      <c r="E460" s="63" t="s">
        <v>3853</v>
      </c>
      <c r="F460" s="63" t="s">
        <v>1597</v>
      </c>
      <c r="G460" s="63" t="s">
        <v>3854</v>
      </c>
      <c r="H460" s="63" t="s">
        <v>2524</v>
      </c>
      <c r="I460" s="63" t="s">
        <v>3855</v>
      </c>
      <c r="J460" s="63" t="s">
        <v>562</v>
      </c>
      <c r="K460" s="63"/>
      <c r="L460" s="63" t="s">
        <v>1670</v>
      </c>
      <c r="M460" s="63" t="s">
        <v>1654</v>
      </c>
      <c r="N460" s="63" t="s">
        <v>1595</v>
      </c>
      <c r="O460" s="63" t="s">
        <v>1604</v>
      </c>
      <c r="P460" s="63" t="s">
        <v>3856</v>
      </c>
      <c r="Q460" s="63" t="s">
        <v>3857</v>
      </c>
      <c r="R460" s="63" t="s">
        <v>3857</v>
      </c>
      <c r="S460" s="63" t="s">
        <v>1633</v>
      </c>
      <c r="T460" s="63"/>
      <c r="U460" s="63"/>
      <c r="V460" s="63"/>
      <c r="W460" s="63"/>
      <c r="X460" s="63"/>
      <c r="Y460" s="63"/>
      <c r="Z460" s="63"/>
    </row>
    <row r="461" spans="1:26" ht="15.75" customHeight="1" x14ac:dyDescent="0.25">
      <c r="A461" s="63" t="s">
        <v>1468</v>
      </c>
      <c r="B461" s="63" t="s">
        <v>1103</v>
      </c>
      <c r="C461" s="63" t="s">
        <v>153</v>
      </c>
      <c r="D461" s="63" t="s">
        <v>1595</v>
      </c>
      <c r="E461" s="63" t="s">
        <v>3858</v>
      </c>
      <c r="F461" s="63" t="s">
        <v>1597</v>
      </c>
      <c r="G461" s="63" t="s">
        <v>3859</v>
      </c>
      <c r="H461" s="63" t="s">
        <v>1610</v>
      </c>
      <c r="I461" s="63" t="s">
        <v>3788</v>
      </c>
      <c r="J461" s="63" t="s">
        <v>2718</v>
      </c>
      <c r="K461" s="63" t="s">
        <v>2121</v>
      </c>
      <c r="L461" s="63" t="s">
        <v>1660</v>
      </c>
      <c r="M461" s="63" t="s">
        <v>1654</v>
      </c>
      <c r="N461" s="63" t="s">
        <v>1595</v>
      </c>
      <c r="O461" s="63" t="s">
        <v>1604</v>
      </c>
      <c r="P461" s="63" t="s">
        <v>1655</v>
      </c>
      <c r="Q461" s="63" t="s">
        <v>2121</v>
      </c>
      <c r="R461" s="63" t="s">
        <v>3860</v>
      </c>
      <c r="S461" s="63" t="s">
        <v>1633</v>
      </c>
      <c r="T461" s="63"/>
      <c r="U461" s="63"/>
      <c r="V461" s="63"/>
      <c r="W461" s="63"/>
      <c r="X461" s="63"/>
      <c r="Y461" s="63"/>
      <c r="Z461" s="63"/>
    </row>
    <row r="462" spans="1:26" ht="15.75" customHeight="1" x14ac:dyDescent="0.25">
      <c r="A462" s="63" t="s">
        <v>1470</v>
      </c>
      <c r="B462" s="63" t="s">
        <v>1191</v>
      </c>
      <c r="C462" s="63" t="s">
        <v>195</v>
      </c>
      <c r="D462" s="63" t="s">
        <v>1595</v>
      </c>
      <c r="E462" s="63" t="s">
        <v>3861</v>
      </c>
      <c r="F462" s="63" t="s">
        <v>1597</v>
      </c>
      <c r="G462" s="63" t="s">
        <v>3862</v>
      </c>
      <c r="H462" s="63" t="s">
        <v>3103</v>
      </c>
      <c r="I462" s="63" t="s">
        <v>3863</v>
      </c>
      <c r="J462" s="63" t="s">
        <v>552</v>
      </c>
      <c r="K462" s="63"/>
      <c r="L462" s="63" t="s">
        <v>1629</v>
      </c>
      <c r="M462" s="63" t="s">
        <v>1630</v>
      </c>
      <c r="N462" s="63" t="s">
        <v>1595</v>
      </c>
      <c r="O462" s="63" t="s">
        <v>1604</v>
      </c>
      <c r="P462" s="63" t="s">
        <v>5074</v>
      </c>
      <c r="Q462" s="63" t="s">
        <v>3864</v>
      </c>
      <c r="R462" s="63" t="s">
        <v>3865</v>
      </c>
      <c r="S462" s="63" t="s">
        <v>1633</v>
      </c>
      <c r="T462" s="63"/>
      <c r="U462" s="63"/>
      <c r="V462" s="63"/>
      <c r="W462" s="63"/>
      <c r="X462" s="63"/>
      <c r="Y462" s="63"/>
      <c r="Z462" s="63"/>
    </row>
    <row r="463" spans="1:26" ht="15.75" customHeight="1" x14ac:dyDescent="0.25">
      <c r="A463" s="63" t="s">
        <v>1472</v>
      </c>
      <c r="B463" s="63" t="s">
        <v>885</v>
      </c>
      <c r="C463" s="63" t="s">
        <v>355</v>
      </c>
      <c r="D463" s="63" t="s">
        <v>1595</v>
      </c>
      <c r="E463" s="63" t="s">
        <v>2447</v>
      </c>
      <c r="F463" s="63" t="s">
        <v>1597</v>
      </c>
      <c r="G463" s="63" t="s">
        <v>3866</v>
      </c>
      <c r="H463" s="63" t="s">
        <v>1619</v>
      </c>
      <c r="I463" s="63" t="s">
        <v>2422</v>
      </c>
      <c r="J463" s="63" t="s">
        <v>562</v>
      </c>
      <c r="K463" s="63" t="s">
        <v>1601</v>
      </c>
      <c r="L463" s="63" t="s">
        <v>1637</v>
      </c>
      <c r="M463" s="63" t="s">
        <v>1595</v>
      </c>
      <c r="N463" s="63" t="s">
        <v>1595</v>
      </c>
      <c r="O463" s="63" t="s">
        <v>1604</v>
      </c>
      <c r="P463" s="63" t="s">
        <v>1638</v>
      </c>
      <c r="Q463" s="63" t="s">
        <v>3867</v>
      </c>
      <c r="R463" s="63" t="s">
        <v>3868</v>
      </c>
      <c r="S463" s="63" t="s">
        <v>1616</v>
      </c>
      <c r="T463" s="63"/>
      <c r="U463" s="63"/>
      <c r="V463" s="63"/>
      <c r="W463" s="63"/>
      <c r="X463" s="63"/>
      <c r="Y463" s="63"/>
      <c r="Z463" s="63"/>
    </row>
    <row r="464" spans="1:26" ht="15.75" customHeight="1" x14ac:dyDescent="0.25">
      <c r="A464" s="63" t="s">
        <v>1474</v>
      </c>
      <c r="B464" s="63" t="s">
        <v>1435</v>
      </c>
      <c r="C464" s="63" t="s">
        <v>75</v>
      </c>
      <c r="D464" s="63" t="s">
        <v>1595</v>
      </c>
      <c r="E464" s="63" t="s">
        <v>3869</v>
      </c>
      <c r="F464" s="63" t="s">
        <v>1597</v>
      </c>
      <c r="G464" s="63" t="s">
        <v>3870</v>
      </c>
      <c r="H464" s="63" t="s">
        <v>1610</v>
      </c>
      <c r="I464" s="63" t="s">
        <v>1896</v>
      </c>
      <c r="J464" s="63" t="s">
        <v>558</v>
      </c>
      <c r="K464" s="63" t="s">
        <v>2121</v>
      </c>
      <c r="L464" s="63" t="s">
        <v>1637</v>
      </c>
      <c r="M464" s="63" t="s">
        <v>1595</v>
      </c>
      <c r="N464" s="63" t="s">
        <v>1595</v>
      </c>
      <c r="O464" s="63" t="s">
        <v>1604</v>
      </c>
      <c r="P464" s="63" t="s">
        <v>3871</v>
      </c>
      <c r="Q464" s="63" t="s">
        <v>3872</v>
      </c>
      <c r="R464" s="63" t="s">
        <v>3873</v>
      </c>
      <c r="S464" s="63" t="s">
        <v>1633</v>
      </c>
      <c r="T464" s="63"/>
      <c r="U464" s="63"/>
      <c r="V464" s="63"/>
      <c r="W464" s="63"/>
      <c r="X464" s="63"/>
      <c r="Y464" s="63"/>
      <c r="Z464" s="63"/>
    </row>
    <row r="465" spans="1:26" ht="15.75" customHeight="1" x14ac:dyDescent="0.25">
      <c r="A465" s="63" t="s">
        <v>1476</v>
      </c>
      <c r="B465" s="63" t="s">
        <v>567</v>
      </c>
      <c r="C465" s="63" t="s">
        <v>452</v>
      </c>
      <c r="D465" s="63" t="s">
        <v>1595</v>
      </c>
      <c r="E465" s="63" t="s">
        <v>3874</v>
      </c>
      <c r="F465" s="63" t="s">
        <v>2079</v>
      </c>
      <c r="G465" s="63" t="s">
        <v>3875</v>
      </c>
      <c r="H465" s="63" t="s">
        <v>1610</v>
      </c>
      <c r="I465" s="63" t="s">
        <v>1928</v>
      </c>
      <c r="J465" s="63" t="s">
        <v>558</v>
      </c>
      <c r="K465" s="63"/>
      <c r="L465" s="63" t="s">
        <v>1832</v>
      </c>
      <c r="M465" s="63" t="s">
        <v>1630</v>
      </c>
      <c r="N465" s="63" t="s">
        <v>1595</v>
      </c>
      <c r="O465" s="63" t="s">
        <v>1604</v>
      </c>
      <c r="P465" s="63" t="s">
        <v>1631</v>
      </c>
      <c r="Q465" s="63" t="s">
        <v>3876</v>
      </c>
      <c r="R465" s="63" t="s">
        <v>3877</v>
      </c>
      <c r="S465" s="63" t="s">
        <v>1607</v>
      </c>
      <c r="T465" s="63"/>
      <c r="U465" s="63"/>
      <c r="V465" s="63"/>
      <c r="W465" s="63"/>
      <c r="X465" s="63"/>
      <c r="Y465" s="63"/>
      <c r="Z465" s="63"/>
    </row>
    <row r="466" spans="1:26" ht="15.75" customHeight="1" x14ac:dyDescent="0.25">
      <c r="A466" s="63" t="s">
        <v>1478</v>
      </c>
      <c r="B466" s="63" t="s">
        <v>725</v>
      </c>
      <c r="C466" s="63" t="s">
        <v>27</v>
      </c>
      <c r="D466" s="63" t="s">
        <v>1595</v>
      </c>
      <c r="E466" s="63" t="s">
        <v>3878</v>
      </c>
      <c r="F466" s="63" t="s">
        <v>1597</v>
      </c>
      <c r="G466" s="63" t="s">
        <v>3879</v>
      </c>
      <c r="H466" s="63" t="s">
        <v>1610</v>
      </c>
      <c r="I466" s="63" t="s">
        <v>3880</v>
      </c>
      <c r="J466" s="63" t="s">
        <v>552</v>
      </c>
      <c r="K466" s="63" t="s">
        <v>1601</v>
      </c>
      <c r="L466" s="63" t="s">
        <v>1822</v>
      </c>
      <c r="M466" s="63" t="s">
        <v>1613</v>
      </c>
      <c r="N466" s="63" t="s">
        <v>1595</v>
      </c>
      <c r="O466" s="63" t="s">
        <v>1604</v>
      </c>
      <c r="P466" s="63" t="s">
        <v>1666</v>
      </c>
      <c r="Q466" s="63" t="s">
        <v>3881</v>
      </c>
      <c r="R466" s="63" t="s">
        <v>3882</v>
      </c>
      <c r="S466" s="63" t="s">
        <v>538</v>
      </c>
      <c r="T466" s="63"/>
      <c r="U466" s="63"/>
      <c r="V466" s="63"/>
      <c r="W466" s="63"/>
      <c r="X466" s="63"/>
      <c r="Y466" s="63"/>
      <c r="Z466" s="63"/>
    </row>
    <row r="467" spans="1:26" ht="15.75" customHeight="1" x14ac:dyDescent="0.25">
      <c r="A467" s="63" t="s">
        <v>1480</v>
      </c>
      <c r="B467" s="63" t="s">
        <v>1223</v>
      </c>
      <c r="C467" s="63" t="s">
        <v>211</v>
      </c>
      <c r="D467" s="63" t="s">
        <v>1595</v>
      </c>
      <c r="E467" s="63" t="s">
        <v>3883</v>
      </c>
      <c r="F467" s="63" t="s">
        <v>1597</v>
      </c>
      <c r="G467" s="63" t="s">
        <v>3884</v>
      </c>
      <c r="H467" s="63" t="s">
        <v>2210</v>
      </c>
      <c r="I467" s="63" t="s">
        <v>3885</v>
      </c>
      <c r="J467" s="63" t="s">
        <v>552</v>
      </c>
      <c r="K467" s="63"/>
      <c r="L467" s="63" t="s">
        <v>1822</v>
      </c>
      <c r="M467" s="63" t="s">
        <v>1613</v>
      </c>
      <c r="N467" s="63" t="s">
        <v>1595</v>
      </c>
      <c r="O467" s="63" t="s">
        <v>1604</v>
      </c>
      <c r="P467" s="63" t="s">
        <v>1666</v>
      </c>
      <c r="Q467" s="63" t="s">
        <v>3886</v>
      </c>
      <c r="R467" s="63" t="s">
        <v>3886</v>
      </c>
      <c r="S467" s="63" t="s">
        <v>1633</v>
      </c>
      <c r="T467" s="63"/>
      <c r="U467" s="63"/>
      <c r="V467" s="63"/>
      <c r="W467" s="63"/>
      <c r="X467" s="63"/>
      <c r="Y467" s="63"/>
      <c r="Z467" s="63"/>
    </row>
    <row r="468" spans="1:26" ht="15.75" customHeight="1" x14ac:dyDescent="0.25">
      <c r="A468" s="63" t="s">
        <v>1482</v>
      </c>
      <c r="B468" s="63" t="s">
        <v>1323</v>
      </c>
      <c r="C468" s="63" t="s">
        <v>260</v>
      </c>
      <c r="D468" s="63" t="s">
        <v>1595</v>
      </c>
      <c r="E468" s="63" t="s">
        <v>3169</v>
      </c>
      <c r="F468" s="63" t="s">
        <v>1597</v>
      </c>
      <c r="G468" s="63" t="s">
        <v>3887</v>
      </c>
      <c r="H468" s="63" t="s">
        <v>3888</v>
      </c>
      <c r="I468" s="63" t="s">
        <v>3889</v>
      </c>
      <c r="J468" s="63" t="s">
        <v>558</v>
      </c>
      <c r="K468" s="63"/>
      <c r="L468" s="63" t="s">
        <v>1629</v>
      </c>
      <c r="M468" s="63" t="s">
        <v>1630</v>
      </c>
      <c r="N468" s="63" t="s">
        <v>1595</v>
      </c>
      <c r="O468" s="63" t="s">
        <v>1604</v>
      </c>
      <c r="P468" s="63" t="s">
        <v>1671</v>
      </c>
      <c r="Q468" s="63" t="s">
        <v>3890</v>
      </c>
      <c r="R468" s="63" t="s">
        <v>3891</v>
      </c>
      <c r="S468" s="63" t="s">
        <v>1616</v>
      </c>
      <c r="T468" s="63"/>
      <c r="U468" s="63"/>
      <c r="V468" s="63"/>
      <c r="W468" s="63"/>
      <c r="X468" s="63"/>
      <c r="Y468" s="63"/>
      <c r="Z468" s="63"/>
    </row>
    <row r="469" spans="1:26" ht="15.75" customHeight="1" x14ac:dyDescent="0.25">
      <c r="A469" s="63" t="s">
        <v>1484</v>
      </c>
      <c r="B469" s="63" t="s">
        <v>657</v>
      </c>
      <c r="C469" s="63" t="s">
        <v>497</v>
      </c>
      <c r="D469" s="63" t="s">
        <v>3892</v>
      </c>
      <c r="E469" s="63" t="s">
        <v>3893</v>
      </c>
      <c r="F469" s="63" t="s">
        <v>1597</v>
      </c>
      <c r="G469" s="63" t="s">
        <v>3894</v>
      </c>
      <c r="H469" s="63" t="s">
        <v>3895</v>
      </c>
      <c r="I469" s="63" t="s">
        <v>2449</v>
      </c>
      <c r="J469" s="63" t="s">
        <v>564</v>
      </c>
      <c r="K469" s="63"/>
      <c r="L469" s="63" t="s">
        <v>1637</v>
      </c>
      <c r="M469" s="63" t="s">
        <v>1595</v>
      </c>
      <c r="N469" s="63" t="s">
        <v>1595</v>
      </c>
      <c r="O469" s="63" t="s">
        <v>1604</v>
      </c>
      <c r="P469" s="63" t="s">
        <v>1731</v>
      </c>
      <c r="Q469" s="63" t="s">
        <v>3896</v>
      </c>
      <c r="R469" s="63" t="s">
        <v>3897</v>
      </c>
      <c r="S469" s="63" t="s">
        <v>1607</v>
      </c>
      <c r="T469" s="63"/>
      <c r="U469" s="63"/>
      <c r="V469" s="63"/>
      <c r="W469" s="63"/>
      <c r="X469" s="63"/>
      <c r="Y469" s="63"/>
      <c r="Z469" s="63"/>
    </row>
    <row r="470" spans="1:26" ht="15.75" customHeight="1" x14ac:dyDescent="0.25">
      <c r="A470" s="63" t="s">
        <v>1486</v>
      </c>
      <c r="B470" s="63" t="s">
        <v>1275</v>
      </c>
      <c r="C470" s="63" t="s">
        <v>237</v>
      </c>
      <c r="D470" s="63" t="s">
        <v>1595</v>
      </c>
      <c r="E470" s="63" t="s">
        <v>1991</v>
      </c>
      <c r="F470" s="63" t="s">
        <v>1597</v>
      </c>
      <c r="G470" s="63" t="s">
        <v>3898</v>
      </c>
      <c r="H470" s="63" t="s">
        <v>2210</v>
      </c>
      <c r="I470" s="63" t="s">
        <v>3899</v>
      </c>
      <c r="J470" s="63" t="s">
        <v>3072</v>
      </c>
      <c r="K470" s="63"/>
      <c r="L470" s="63" t="s">
        <v>1646</v>
      </c>
      <c r="M470" s="63" t="s">
        <v>1647</v>
      </c>
      <c r="N470" s="63" t="s">
        <v>1595</v>
      </c>
      <c r="O470" s="63" t="s">
        <v>1604</v>
      </c>
      <c r="P470" s="63" t="s">
        <v>1745</v>
      </c>
      <c r="Q470" s="63" t="s">
        <v>3900</v>
      </c>
      <c r="R470" s="63" t="s">
        <v>3901</v>
      </c>
      <c r="S470" s="63" t="s">
        <v>1633</v>
      </c>
      <c r="T470" s="63"/>
      <c r="U470" s="63"/>
      <c r="V470" s="63"/>
      <c r="W470" s="63"/>
      <c r="X470" s="63"/>
      <c r="Y470" s="63"/>
      <c r="Z470" s="63"/>
    </row>
    <row r="471" spans="1:26" ht="15.75" customHeight="1" x14ac:dyDescent="0.25">
      <c r="A471" s="63" t="s">
        <v>1488</v>
      </c>
      <c r="B471" s="63" t="s">
        <v>1515</v>
      </c>
      <c r="C471" s="63" t="s">
        <v>114</v>
      </c>
      <c r="D471" s="63" t="s">
        <v>1595</v>
      </c>
      <c r="E471" s="63" t="s">
        <v>3902</v>
      </c>
      <c r="F471" s="63" t="s">
        <v>1597</v>
      </c>
      <c r="G471" s="63" t="s">
        <v>3903</v>
      </c>
      <c r="H471" s="63" t="s">
        <v>2328</v>
      </c>
      <c r="I471" s="63" t="s">
        <v>2488</v>
      </c>
      <c r="J471" s="63" t="s">
        <v>552</v>
      </c>
      <c r="K471" s="63"/>
      <c r="L471" s="63" t="s">
        <v>3904</v>
      </c>
      <c r="M471" s="63" t="s">
        <v>1785</v>
      </c>
      <c r="N471" s="63" t="s">
        <v>1595</v>
      </c>
      <c r="O471" s="63" t="s">
        <v>1604</v>
      </c>
      <c r="P471" s="63" t="s">
        <v>2583</v>
      </c>
      <c r="Q471" s="63" t="s">
        <v>3905</v>
      </c>
      <c r="R471" s="63" t="s">
        <v>3906</v>
      </c>
      <c r="S471" s="63" t="s">
        <v>1723</v>
      </c>
      <c r="T471" s="63"/>
      <c r="U471" s="63"/>
      <c r="V471" s="63"/>
      <c r="W471" s="63"/>
      <c r="X471" s="63"/>
      <c r="Y471" s="63"/>
      <c r="Z471" s="63"/>
    </row>
    <row r="472" spans="1:26" ht="15.75" customHeight="1" x14ac:dyDescent="0.25">
      <c r="A472" s="63" t="s">
        <v>1490</v>
      </c>
      <c r="B472" s="63" t="s">
        <v>1295</v>
      </c>
      <c r="C472" s="63" t="s">
        <v>247</v>
      </c>
      <c r="D472" s="63" t="s">
        <v>1595</v>
      </c>
      <c r="E472" s="63" t="s">
        <v>3907</v>
      </c>
      <c r="F472" s="63" t="s">
        <v>1597</v>
      </c>
      <c r="G472" s="63" t="s">
        <v>3908</v>
      </c>
      <c r="H472" s="63" t="s">
        <v>1610</v>
      </c>
      <c r="I472" s="63" t="s">
        <v>3909</v>
      </c>
      <c r="J472" s="63" t="s">
        <v>2703</v>
      </c>
      <c r="K472" s="63"/>
      <c r="L472" s="63" t="s">
        <v>1800</v>
      </c>
      <c r="M472" s="63" t="s">
        <v>1595</v>
      </c>
      <c r="N472" s="63" t="s">
        <v>1595</v>
      </c>
      <c r="O472" s="63" t="s">
        <v>1604</v>
      </c>
      <c r="P472" s="63" t="s">
        <v>1860</v>
      </c>
      <c r="Q472" s="63" t="s">
        <v>3910</v>
      </c>
      <c r="R472" s="63" t="s">
        <v>3911</v>
      </c>
      <c r="S472" s="63" t="s">
        <v>1633</v>
      </c>
      <c r="T472" s="63"/>
      <c r="U472" s="63"/>
      <c r="V472" s="63"/>
      <c r="W472" s="63"/>
      <c r="X472" s="63"/>
      <c r="Y472" s="63"/>
      <c r="Z472" s="63"/>
    </row>
    <row r="473" spans="1:26" ht="15.75" customHeight="1" x14ac:dyDescent="0.25">
      <c r="A473" s="63" t="s">
        <v>1492</v>
      </c>
      <c r="B473" s="63" t="s">
        <v>3912</v>
      </c>
      <c r="C473" s="63" t="s">
        <v>3913</v>
      </c>
      <c r="D473" s="63" t="s">
        <v>1595</v>
      </c>
      <c r="E473" s="63" t="s">
        <v>3295</v>
      </c>
      <c r="F473" s="63" t="s">
        <v>1597</v>
      </c>
      <c r="G473" s="63" t="s">
        <v>3914</v>
      </c>
      <c r="H473" s="63" t="s">
        <v>1627</v>
      </c>
      <c r="I473" s="63" t="s">
        <v>3915</v>
      </c>
      <c r="J473" s="63" t="s">
        <v>2703</v>
      </c>
      <c r="K473" s="63"/>
      <c r="L473" s="63" t="s">
        <v>1832</v>
      </c>
      <c r="M473" s="63" t="s">
        <v>1630</v>
      </c>
      <c r="N473" s="63" t="s">
        <v>1595</v>
      </c>
      <c r="O473" s="63" t="s">
        <v>1604</v>
      </c>
      <c r="P473" s="63" t="s">
        <v>3313</v>
      </c>
      <c r="Q473" s="63" t="s">
        <v>3916</v>
      </c>
      <c r="R473" s="63" t="s">
        <v>3917</v>
      </c>
      <c r="S473" s="63" t="s">
        <v>1607</v>
      </c>
      <c r="T473" s="63"/>
      <c r="U473" s="63"/>
      <c r="V473" s="63"/>
      <c r="W473" s="63"/>
      <c r="X473" s="63"/>
      <c r="Y473" s="63"/>
      <c r="Z473" s="63"/>
    </row>
    <row r="474" spans="1:26" ht="15.75" customHeight="1" x14ac:dyDescent="0.25">
      <c r="A474" s="63" t="s">
        <v>1494</v>
      </c>
      <c r="B474" s="63" t="s">
        <v>941</v>
      </c>
      <c r="C474" s="63" t="s">
        <v>381</v>
      </c>
      <c r="D474" s="63" t="s">
        <v>1595</v>
      </c>
      <c r="E474" s="63" t="s">
        <v>3918</v>
      </c>
      <c r="F474" s="63" t="s">
        <v>1597</v>
      </c>
      <c r="G474" s="63" t="s">
        <v>3919</v>
      </c>
      <c r="H474" s="63" t="s">
        <v>1610</v>
      </c>
      <c r="I474" s="63" t="s">
        <v>3601</v>
      </c>
      <c r="J474" s="63" t="s">
        <v>554</v>
      </c>
      <c r="K474" s="63"/>
      <c r="L474" s="63" t="s">
        <v>1785</v>
      </c>
      <c r="M474" s="63" t="s">
        <v>1785</v>
      </c>
      <c r="N474" s="63" t="s">
        <v>1595</v>
      </c>
      <c r="O474" s="63" t="s">
        <v>1604</v>
      </c>
      <c r="P474" s="63" t="s">
        <v>1786</v>
      </c>
      <c r="Q474" s="63" t="s">
        <v>3920</v>
      </c>
      <c r="R474" s="63" t="s">
        <v>3921</v>
      </c>
      <c r="S474" s="63" t="s">
        <v>1633</v>
      </c>
      <c r="T474" s="63"/>
      <c r="U474" s="63"/>
      <c r="V474" s="63"/>
      <c r="W474" s="63"/>
      <c r="X474" s="63"/>
      <c r="Y474" s="63"/>
      <c r="Z474" s="63"/>
    </row>
    <row r="475" spans="1:26" ht="15.75" customHeight="1" x14ac:dyDescent="0.25">
      <c r="A475" s="63" t="s">
        <v>1496</v>
      </c>
      <c r="B475" s="63" t="s">
        <v>699</v>
      </c>
      <c r="C475" s="63" t="s">
        <v>517</v>
      </c>
      <c r="D475" s="63" t="s">
        <v>1595</v>
      </c>
      <c r="E475" s="63" t="s">
        <v>3922</v>
      </c>
      <c r="F475" s="63" t="s">
        <v>1597</v>
      </c>
      <c r="G475" s="63" t="s">
        <v>3923</v>
      </c>
      <c r="H475" s="63" t="s">
        <v>3924</v>
      </c>
      <c r="I475" s="63" t="s">
        <v>1620</v>
      </c>
      <c r="J475" s="63" t="s">
        <v>2428</v>
      </c>
      <c r="K475" s="63"/>
      <c r="L475" s="63" t="s">
        <v>1621</v>
      </c>
      <c r="M475" s="63" t="s">
        <v>1622</v>
      </c>
      <c r="N475" s="63" t="s">
        <v>1595</v>
      </c>
      <c r="O475" s="63" t="s">
        <v>1604</v>
      </c>
      <c r="P475" s="63" t="s">
        <v>1623</v>
      </c>
      <c r="Q475" s="63" t="s">
        <v>3925</v>
      </c>
      <c r="R475" s="63" t="s">
        <v>3926</v>
      </c>
      <c r="S475" s="63" t="s">
        <v>1616</v>
      </c>
      <c r="T475" s="63"/>
      <c r="U475" s="63"/>
      <c r="V475" s="63"/>
      <c r="W475" s="63"/>
      <c r="X475" s="63"/>
      <c r="Y475" s="63"/>
      <c r="Z475" s="63"/>
    </row>
    <row r="476" spans="1:26" ht="15.75" customHeight="1" x14ac:dyDescent="0.25">
      <c r="A476" s="63" t="s">
        <v>1498</v>
      </c>
      <c r="B476" s="63" t="s">
        <v>1079</v>
      </c>
      <c r="C476" s="63" t="s">
        <v>141</v>
      </c>
      <c r="D476" s="63" t="s">
        <v>1595</v>
      </c>
      <c r="E476" s="63" t="s">
        <v>2015</v>
      </c>
      <c r="F476" s="63" t="s">
        <v>1597</v>
      </c>
      <c r="G476" s="63" t="s">
        <v>3927</v>
      </c>
      <c r="H476" s="63" t="s">
        <v>3928</v>
      </c>
      <c r="I476" s="63" t="s">
        <v>3929</v>
      </c>
      <c r="J476" s="63" t="s">
        <v>572</v>
      </c>
      <c r="K476" s="63"/>
      <c r="L476" s="63" t="s">
        <v>1637</v>
      </c>
      <c r="M476" s="63" t="s">
        <v>1595</v>
      </c>
      <c r="N476" s="63" t="s">
        <v>1595</v>
      </c>
      <c r="O476" s="63" t="s">
        <v>1604</v>
      </c>
      <c r="P476" s="63" t="s">
        <v>1790</v>
      </c>
      <c r="Q476" s="63" t="s">
        <v>3930</v>
      </c>
      <c r="R476" s="63" t="s">
        <v>3931</v>
      </c>
      <c r="S476" s="63" t="s">
        <v>1633</v>
      </c>
      <c r="T476" s="63"/>
      <c r="U476" s="63"/>
      <c r="V476" s="63"/>
      <c r="W476" s="63"/>
      <c r="X476" s="63"/>
      <c r="Y476" s="63"/>
      <c r="Z476" s="63"/>
    </row>
    <row r="477" spans="1:26" ht="15.75" customHeight="1" x14ac:dyDescent="0.25">
      <c r="A477" s="63" t="s">
        <v>1500</v>
      </c>
      <c r="B477" s="63" t="s">
        <v>1473</v>
      </c>
      <c r="C477" s="63" t="s">
        <v>94</v>
      </c>
      <c r="D477" s="63" t="s">
        <v>1595</v>
      </c>
      <c r="E477" s="63" t="s">
        <v>3081</v>
      </c>
      <c r="F477" s="63" t="s">
        <v>1597</v>
      </c>
      <c r="G477" s="63" t="s">
        <v>3932</v>
      </c>
      <c r="H477" s="63" t="s">
        <v>1610</v>
      </c>
      <c r="I477" s="63" t="s">
        <v>3933</v>
      </c>
      <c r="J477" s="63" t="s">
        <v>3072</v>
      </c>
      <c r="K477" s="63"/>
      <c r="L477" s="63" t="s">
        <v>1646</v>
      </c>
      <c r="M477" s="63" t="s">
        <v>1647</v>
      </c>
      <c r="N477" s="63" t="s">
        <v>1595</v>
      </c>
      <c r="O477" s="63" t="s">
        <v>1604</v>
      </c>
      <c r="P477" s="63" t="s">
        <v>1745</v>
      </c>
      <c r="Q477" s="63" t="s">
        <v>3934</v>
      </c>
      <c r="R477" s="63" t="s">
        <v>3935</v>
      </c>
      <c r="S477" s="63" t="s">
        <v>1633</v>
      </c>
      <c r="T477" s="63"/>
      <c r="U477" s="63"/>
      <c r="V477" s="63"/>
      <c r="W477" s="63"/>
      <c r="X477" s="63"/>
      <c r="Y477" s="63"/>
      <c r="Z477" s="63"/>
    </row>
    <row r="478" spans="1:26" ht="15.75" customHeight="1" x14ac:dyDescent="0.25">
      <c r="A478" s="63" t="s">
        <v>1502</v>
      </c>
      <c r="B478" s="63" t="s">
        <v>1553</v>
      </c>
      <c r="C478" s="63" t="s">
        <v>133</v>
      </c>
      <c r="D478" s="63" t="s">
        <v>1595</v>
      </c>
      <c r="E478" s="63" t="s">
        <v>3936</v>
      </c>
      <c r="F478" s="63" t="s">
        <v>1597</v>
      </c>
      <c r="G478" s="63" t="s">
        <v>3937</v>
      </c>
      <c r="H478" s="63" t="s">
        <v>3938</v>
      </c>
      <c r="I478" s="63" t="s">
        <v>3939</v>
      </c>
      <c r="J478" s="63" t="s">
        <v>554</v>
      </c>
      <c r="K478" s="63"/>
      <c r="L478" s="63" t="s">
        <v>3356</v>
      </c>
      <c r="M478" s="63" t="s">
        <v>1630</v>
      </c>
      <c r="N478" s="63" t="s">
        <v>1595</v>
      </c>
      <c r="O478" s="63" t="s">
        <v>1604</v>
      </c>
      <c r="P478" s="63" t="s">
        <v>2892</v>
      </c>
      <c r="Q478" s="63" t="s">
        <v>3940</v>
      </c>
      <c r="R478" s="63" t="s">
        <v>3941</v>
      </c>
      <c r="S478" s="63" t="s">
        <v>1633</v>
      </c>
      <c r="T478" s="63"/>
      <c r="U478" s="63"/>
      <c r="V478" s="63"/>
      <c r="W478" s="63"/>
      <c r="X478" s="63"/>
      <c r="Y478" s="63"/>
      <c r="Z478" s="63"/>
    </row>
    <row r="479" spans="1:26" ht="15.75" customHeight="1" x14ac:dyDescent="0.25">
      <c r="A479" s="63" t="s">
        <v>1504</v>
      </c>
      <c r="B479" s="63" t="s">
        <v>1027</v>
      </c>
      <c r="C479" s="63" t="s">
        <v>424</v>
      </c>
      <c r="D479" s="63" t="s">
        <v>1595</v>
      </c>
      <c r="E479" s="63" t="s">
        <v>1886</v>
      </c>
      <c r="F479" s="63" t="s">
        <v>1597</v>
      </c>
      <c r="G479" s="63" t="s">
        <v>3942</v>
      </c>
      <c r="H479" s="63" t="s">
        <v>1619</v>
      </c>
      <c r="I479" s="63" t="s">
        <v>3943</v>
      </c>
      <c r="J479" s="63" t="s">
        <v>558</v>
      </c>
      <c r="K479" s="63"/>
      <c r="L479" s="63" t="s">
        <v>1832</v>
      </c>
      <c r="M479" s="63" t="s">
        <v>1630</v>
      </c>
      <c r="N479" s="63" t="s">
        <v>1595</v>
      </c>
      <c r="O479" s="63" t="s">
        <v>1604</v>
      </c>
      <c r="P479" s="63" t="s">
        <v>2023</v>
      </c>
      <c r="Q479" s="63" t="s">
        <v>3944</v>
      </c>
      <c r="R479" s="63" t="s">
        <v>3945</v>
      </c>
      <c r="S479" s="63" t="s">
        <v>1616</v>
      </c>
      <c r="T479" s="63"/>
      <c r="U479" s="63"/>
      <c r="V479" s="63"/>
      <c r="W479" s="63"/>
      <c r="X479" s="63"/>
      <c r="Y479" s="63"/>
      <c r="Z479" s="63"/>
    </row>
    <row r="480" spans="1:26" ht="15.75" customHeight="1" x14ac:dyDescent="0.25">
      <c r="A480" s="63" t="s">
        <v>1506</v>
      </c>
      <c r="B480" s="63" t="s">
        <v>1151</v>
      </c>
      <c r="C480" s="63" t="s">
        <v>176</v>
      </c>
      <c r="D480" s="63" t="s">
        <v>1595</v>
      </c>
      <c r="E480" s="63" t="s">
        <v>2420</v>
      </c>
      <c r="F480" s="63" t="s">
        <v>1597</v>
      </c>
      <c r="G480" s="63" t="s">
        <v>3946</v>
      </c>
      <c r="H480" s="63" t="s">
        <v>3947</v>
      </c>
      <c r="I480" s="63" t="s">
        <v>3948</v>
      </c>
      <c r="J480" s="63" t="s">
        <v>2703</v>
      </c>
      <c r="K480" s="63"/>
      <c r="L480" s="63" t="s">
        <v>2166</v>
      </c>
      <c r="M480" s="63" t="s">
        <v>1603</v>
      </c>
      <c r="N480" s="63" t="s">
        <v>1595</v>
      </c>
      <c r="O480" s="63" t="s">
        <v>1604</v>
      </c>
      <c r="P480" s="63" t="s">
        <v>1605</v>
      </c>
      <c r="Q480" s="63" t="s">
        <v>3949</v>
      </c>
      <c r="R480" s="63" t="s">
        <v>3950</v>
      </c>
      <c r="S480" s="63" t="s">
        <v>1616</v>
      </c>
      <c r="T480" s="63"/>
      <c r="U480" s="63"/>
      <c r="V480" s="63"/>
      <c r="W480" s="63"/>
      <c r="X480" s="63"/>
      <c r="Y480" s="63"/>
      <c r="Z480" s="63"/>
    </row>
    <row r="481" spans="1:26" ht="15.75" customHeight="1" x14ac:dyDescent="0.25">
      <c r="A481" s="63" t="s">
        <v>1508</v>
      </c>
      <c r="B481" s="63" t="s">
        <v>3951</v>
      </c>
      <c r="C481" s="63" t="s">
        <v>3952</v>
      </c>
      <c r="D481" s="63" t="s">
        <v>2732</v>
      </c>
      <c r="E481" s="63" t="s">
        <v>3953</v>
      </c>
      <c r="F481" s="63" t="s">
        <v>1597</v>
      </c>
      <c r="G481" s="63" t="s">
        <v>3954</v>
      </c>
      <c r="H481" s="63" t="s">
        <v>1610</v>
      </c>
      <c r="I481" s="63" t="s">
        <v>3282</v>
      </c>
      <c r="J481" s="63" t="s">
        <v>3955</v>
      </c>
      <c r="K481" s="63"/>
      <c r="L481" s="63" t="s">
        <v>2065</v>
      </c>
      <c r="M481" s="63" t="s">
        <v>1622</v>
      </c>
      <c r="N481" s="63" t="s">
        <v>1595</v>
      </c>
      <c r="O481" s="63" t="s">
        <v>1604</v>
      </c>
      <c r="P481" s="63" t="s">
        <v>3956</v>
      </c>
      <c r="Q481" s="63" t="s">
        <v>3957</v>
      </c>
      <c r="R481" s="63" t="s">
        <v>3958</v>
      </c>
      <c r="S481" s="63" t="s">
        <v>1633</v>
      </c>
      <c r="T481" s="63"/>
      <c r="U481" s="63"/>
      <c r="V481" s="63"/>
      <c r="W481" s="63"/>
      <c r="X481" s="63"/>
      <c r="Y481" s="63"/>
      <c r="Z481" s="63"/>
    </row>
    <row r="482" spans="1:26" ht="15.75" customHeight="1" x14ac:dyDescent="0.25">
      <c r="A482" s="63" t="s">
        <v>1510</v>
      </c>
      <c r="B482" s="63" t="s">
        <v>1429</v>
      </c>
      <c r="C482" s="63" t="s">
        <v>71</v>
      </c>
      <c r="D482" s="63" t="s">
        <v>1595</v>
      </c>
      <c r="E482" s="63" t="s">
        <v>2917</v>
      </c>
      <c r="F482" s="63" t="s">
        <v>1597</v>
      </c>
      <c r="G482" s="63" t="s">
        <v>3959</v>
      </c>
      <c r="H482" s="63" t="s">
        <v>3103</v>
      </c>
      <c r="I482" s="63" t="s">
        <v>1603</v>
      </c>
      <c r="J482" s="63" t="s">
        <v>564</v>
      </c>
      <c r="K482" s="63"/>
      <c r="L482" s="63" t="s">
        <v>2190</v>
      </c>
      <c r="M482" s="63" t="s">
        <v>1603</v>
      </c>
      <c r="N482" s="63" t="s">
        <v>1595</v>
      </c>
      <c r="O482" s="63" t="s">
        <v>1604</v>
      </c>
      <c r="P482" s="63" t="s">
        <v>1605</v>
      </c>
      <c r="Q482" s="63" t="s">
        <v>3960</v>
      </c>
      <c r="R482" s="63" t="s">
        <v>3961</v>
      </c>
      <c r="S482" s="63" t="s">
        <v>1723</v>
      </c>
      <c r="T482" s="63"/>
      <c r="U482" s="63"/>
      <c r="V482" s="63"/>
      <c r="W482" s="63"/>
      <c r="X482" s="63"/>
      <c r="Y482" s="63"/>
      <c r="Z482" s="63"/>
    </row>
    <row r="483" spans="1:26" ht="15.75" customHeight="1" x14ac:dyDescent="0.25">
      <c r="A483" s="63" t="s">
        <v>1512</v>
      </c>
      <c r="B483" s="63" t="s">
        <v>595</v>
      </c>
      <c r="C483" s="63" t="s">
        <v>466</v>
      </c>
      <c r="D483" s="63" t="s">
        <v>1595</v>
      </c>
      <c r="E483" s="63" t="s">
        <v>1894</v>
      </c>
      <c r="F483" s="63" t="s">
        <v>2079</v>
      </c>
      <c r="G483" s="63" t="s">
        <v>3962</v>
      </c>
      <c r="H483" s="63" t="s">
        <v>3103</v>
      </c>
      <c r="I483" s="63" t="s">
        <v>1983</v>
      </c>
      <c r="J483" s="63" t="s">
        <v>2428</v>
      </c>
      <c r="K483" s="63"/>
      <c r="L483" s="63" t="s">
        <v>1660</v>
      </c>
      <c r="M483" s="63" t="s">
        <v>1654</v>
      </c>
      <c r="N483" s="63" t="s">
        <v>1595</v>
      </c>
      <c r="O483" s="63" t="s">
        <v>1604</v>
      </c>
      <c r="P483" s="63" t="s">
        <v>2690</v>
      </c>
      <c r="Q483" s="63" t="s">
        <v>3963</v>
      </c>
      <c r="R483" s="63" t="s">
        <v>3964</v>
      </c>
      <c r="S483" s="63" t="s">
        <v>538</v>
      </c>
      <c r="T483" s="63"/>
      <c r="U483" s="63"/>
      <c r="V483" s="63"/>
      <c r="W483" s="63"/>
      <c r="X483" s="63"/>
      <c r="Y483" s="63"/>
      <c r="Z483" s="63"/>
    </row>
    <row r="484" spans="1:26" ht="15.75" customHeight="1" x14ac:dyDescent="0.25">
      <c r="A484" s="63" t="s">
        <v>1514</v>
      </c>
      <c r="B484" s="63" t="s">
        <v>3965</v>
      </c>
      <c r="C484" s="63" t="s">
        <v>3966</v>
      </c>
      <c r="D484" s="63" t="s">
        <v>1595</v>
      </c>
      <c r="E484" s="63" t="s">
        <v>3967</v>
      </c>
      <c r="F484" s="63" t="s">
        <v>1597</v>
      </c>
      <c r="G484" s="63" t="s">
        <v>3968</v>
      </c>
      <c r="H484" s="63" t="s">
        <v>3969</v>
      </c>
      <c r="I484" s="63" t="s">
        <v>3970</v>
      </c>
      <c r="J484" s="63" t="s">
        <v>2483</v>
      </c>
      <c r="K484" s="63" t="s">
        <v>2121</v>
      </c>
      <c r="L484" s="63" t="s">
        <v>3356</v>
      </c>
      <c r="M484" s="63" t="s">
        <v>1630</v>
      </c>
      <c r="N484" s="63" t="s">
        <v>1595</v>
      </c>
      <c r="O484" s="63" t="s">
        <v>1604</v>
      </c>
      <c r="P484" s="63" t="s">
        <v>3971</v>
      </c>
      <c r="Q484" s="63" t="s">
        <v>3972</v>
      </c>
      <c r="R484" s="63" t="s">
        <v>3973</v>
      </c>
      <c r="S484" s="63" t="s">
        <v>1633</v>
      </c>
      <c r="T484" s="63"/>
      <c r="U484" s="63"/>
      <c r="V484" s="63"/>
      <c r="W484" s="63"/>
      <c r="X484" s="63"/>
      <c r="Y484" s="63"/>
      <c r="Z484" s="63"/>
    </row>
    <row r="485" spans="1:26" ht="15.75" customHeight="1" x14ac:dyDescent="0.25">
      <c r="A485" s="63" t="s">
        <v>1516</v>
      </c>
      <c r="B485" s="63" t="s">
        <v>713</v>
      </c>
      <c r="C485" s="63" t="s">
        <v>21</v>
      </c>
      <c r="D485" s="63" t="s">
        <v>1595</v>
      </c>
      <c r="E485" s="63" t="s">
        <v>3974</v>
      </c>
      <c r="F485" s="63" t="s">
        <v>1597</v>
      </c>
      <c r="G485" s="63" t="s">
        <v>3975</v>
      </c>
      <c r="H485" s="63" t="s">
        <v>3976</v>
      </c>
      <c r="I485" s="63" t="s">
        <v>3977</v>
      </c>
      <c r="J485" s="63" t="s">
        <v>2428</v>
      </c>
      <c r="K485" s="63"/>
      <c r="L485" s="63" t="s">
        <v>1621</v>
      </c>
      <c r="M485" s="63" t="s">
        <v>1622</v>
      </c>
      <c r="N485" s="63" t="s">
        <v>1595</v>
      </c>
      <c r="O485" s="63" t="s">
        <v>1604</v>
      </c>
      <c r="P485" s="63" t="s">
        <v>2195</v>
      </c>
      <c r="Q485" s="63" t="s">
        <v>3978</v>
      </c>
      <c r="R485" s="63" t="s">
        <v>3978</v>
      </c>
      <c r="S485" s="63" t="s">
        <v>1607</v>
      </c>
      <c r="T485" s="63"/>
      <c r="U485" s="63"/>
      <c r="V485" s="63"/>
      <c r="W485" s="63"/>
      <c r="X485" s="63"/>
      <c r="Y485" s="63"/>
      <c r="Z485" s="63"/>
    </row>
    <row r="486" spans="1:26" ht="15.75" customHeight="1" x14ac:dyDescent="0.25">
      <c r="A486" s="63" t="s">
        <v>1518</v>
      </c>
      <c r="B486" s="63" t="s">
        <v>685</v>
      </c>
      <c r="C486" s="63" t="s">
        <v>510</v>
      </c>
      <c r="D486" s="63" t="s">
        <v>1595</v>
      </c>
      <c r="E486" s="63" t="s">
        <v>3979</v>
      </c>
      <c r="F486" s="63" t="s">
        <v>1597</v>
      </c>
      <c r="G486" s="63" t="s">
        <v>3980</v>
      </c>
      <c r="H486" s="63" t="s">
        <v>2938</v>
      </c>
      <c r="I486" s="63" t="s">
        <v>1664</v>
      </c>
      <c r="J486" s="63" t="s">
        <v>3738</v>
      </c>
      <c r="K486" s="63"/>
      <c r="L486" s="63" t="s">
        <v>1665</v>
      </c>
      <c r="M486" s="63" t="s">
        <v>1613</v>
      </c>
      <c r="N486" s="63" t="s">
        <v>1595</v>
      </c>
      <c r="O486" s="63" t="s">
        <v>1604</v>
      </c>
      <c r="P486" s="63" t="s">
        <v>1897</v>
      </c>
      <c r="Q486" s="63" t="s">
        <v>3981</v>
      </c>
      <c r="R486" s="63" t="s">
        <v>3982</v>
      </c>
      <c r="S486" s="63" t="s">
        <v>1607</v>
      </c>
      <c r="T486" s="63"/>
      <c r="U486" s="63"/>
      <c r="V486" s="63"/>
      <c r="W486" s="63"/>
      <c r="X486" s="63"/>
      <c r="Y486" s="63"/>
      <c r="Z486" s="63"/>
    </row>
    <row r="487" spans="1:26" ht="15.75" customHeight="1" x14ac:dyDescent="0.25">
      <c r="A487" s="63" t="s">
        <v>1520</v>
      </c>
      <c r="B487" s="63" t="s">
        <v>679</v>
      </c>
      <c r="C487" s="63" t="s">
        <v>507</v>
      </c>
      <c r="D487" s="63" t="s">
        <v>1595</v>
      </c>
      <c r="E487" s="63" t="s">
        <v>3983</v>
      </c>
      <c r="F487" s="63" t="s">
        <v>1597</v>
      </c>
      <c r="G487" s="63" t="s">
        <v>3984</v>
      </c>
      <c r="H487" s="63" t="s">
        <v>1742</v>
      </c>
      <c r="I487" s="63" t="s">
        <v>3985</v>
      </c>
      <c r="J487" s="63" t="s">
        <v>560</v>
      </c>
      <c r="K487" s="63"/>
      <c r="L487" s="63" t="s">
        <v>2996</v>
      </c>
      <c r="M487" s="63" t="s">
        <v>2283</v>
      </c>
      <c r="N487" s="63" t="s">
        <v>1595</v>
      </c>
      <c r="O487" s="63" t="s">
        <v>1604</v>
      </c>
      <c r="P487" s="63" t="s">
        <v>3313</v>
      </c>
      <c r="Q487" s="63" t="s">
        <v>3986</v>
      </c>
      <c r="R487" s="63" t="s">
        <v>3987</v>
      </c>
      <c r="S487" s="63" t="s">
        <v>1607</v>
      </c>
      <c r="T487" s="63"/>
      <c r="U487" s="63"/>
      <c r="V487" s="63"/>
      <c r="W487" s="63"/>
      <c r="X487" s="63"/>
      <c r="Y487" s="63"/>
      <c r="Z487" s="63"/>
    </row>
    <row r="488" spans="1:26" ht="15.75" customHeight="1" x14ac:dyDescent="0.25">
      <c r="A488" s="63" t="s">
        <v>1522</v>
      </c>
      <c r="B488" s="63" t="s">
        <v>1527</v>
      </c>
      <c r="C488" s="63" t="s">
        <v>120</v>
      </c>
      <c r="D488" s="63" t="s">
        <v>1595</v>
      </c>
      <c r="E488" s="63" t="s">
        <v>3988</v>
      </c>
      <c r="F488" s="63" t="s">
        <v>1597</v>
      </c>
      <c r="G488" s="63" t="s">
        <v>3989</v>
      </c>
      <c r="H488" s="63" t="s">
        <v>1610</v>
      </c>
      <c r="I488" s="63" t="s">
        <v>3990</v>
      </c>
      <c r="J488" s="63" t="s">
        <v>556</v>
      </c>
      <c r="K488" s="63"/>
      <c r="L488" s="63" t="s">
        <v>1784</v>
      </c>
      <c r="M488" s="63" t="s">
        <v>1785</v>
      </c>
      <c r="N488" s="63" t="s">
        <v>1595</v>
      </c>
      <c r="O488" s="63" t="s">
        <v>1604</v>
      </c>
      <c r="P488" s="63" t="s">
        <v>1795</v>
      </c>
      <c r="Q488" s="63" t="s">
        <v>3991</v>
      </c>
      <c r="R488" s="63" t="s">
        <v>3992</v>
      </c>
      <c r="S488" s="63" t="s">
        <v>1616</v>
      </c>
      <c r="T488" s="63"/>
      <c r="U488" s="63"/>
      <c r="V488" s="63"/>
      <c r="W488" s="63"/>
      <c r="X488" s="63"/>
      <c r="Y488" s="63"/>
      <c r="Z488" s="63"/>
    </row>
    <row r="489" spans="1:26" ht="15.75" customHeight="1" x14ac:dyDescent="0.25">
      <c r="A489" s="63" t="s">
        <v>1524</v>
      </c>
      <c r="B489" s="63" t="s">
        <v>593</v>
      </c>
      <c r="C489" s="63" t="s">
        <v>465</v>
      </c>
      <c r="D489" s="63" t="s">
        <v>1595</v>
      </c>
      <c r="E489" s="63" t="s">
        <v>3993</v>
      </c>
      <c r="F489" s="63" t="s">
        <v>2079</v>
      </c>
      <c r="G489" s="63" t="s">
        <v>3994</v>
      </c>
      <c r="H489" s="63" t="s">
        <v>1610</v>
      </c>
      <c r="I489" s="63" t="s">
        <v>3606</v>
      </c>
      <c r="J489" s="63" t="s">
        <v>3038</v>
      </c>
      <c r="K489" s="63"/>
      <c r="L489" s="63" t="s">
        <v>1660</v>
      </c>
      <c r="M489" s="63" t="s">
        <v>1654</v>
      </c>
      <c r="N489" s="63" t="s">
        <v>1595</v>
      </c>
      <c r="O489" s="63" t="s">
        <v>1604</v>
      </c>
      <c r="P489" s="63" t="s">
        <v>1671</v>
      </c>
      <c r="Q489" s="63" t="s">
        <v>3995</v>
      </c>
      <c r="R489" s="63" t="s">
        <v>3996</v>
      </c>
      <c r="S489" s="63" t="s">
        <v>1607</v>
      </c>
      <c r="T489" s="63"/>
      <c r="U489" s="63"/>
      <c r="V489" s="63"/>
      <c r="W489" s="63"/>
      <c r="X489" s="63"/>
      <c r="Y489" s="63"/>
      <c r="Z489" s="63"/>
    </row>
    <row r="490" spans="1:26" ht="15.75" customHeight="1" x14ac:dyDescent="0.25">
      <c r="A490" s="63" t="s">
        <v>1526</v>
      </c>
      <c r="B490" s="63" t="s">
        <v>1431</v>
      </c>
      <c r="C490" s="63" t="s">
        <v>72</v>
      </c>
      <c r="D490" s="63" t="s">
        <v>1595</v>
      </c>
      <c r="E490" s="63" t="s">
        <v>3997</v>
      </c>
      <c r="F490" s="63" t="s">
        <v>1597</v>
      </c>
      <c r="G490" s="63" t="s">
        <v>3998</v>
      </c>
      <c r="H490" s="63" t="s">
        <v>1627</v>
      </c>
      <c r="I490" s="63" t="s">
        <v>3999</v>
      </c>
      <c r="J490" s="63" t="s">
        <v>3072</v>
      </c>
      <c r="K490" s="63"/>
      <c r="L490" s="63" t="s">
        <v>1832</v>
      </c>
      <c r="M490" s="63" t="s">
        <v>1630</v>
      </c>
      <c r="N490" s="63" t="s">
        <v>1595</v>
      </c>
      <c r="O490" s="63" t="s">
        <v>1604</v>
      </c>
      <c r="P490" s="63" t="s">
        <v>2892</v>
      </c>
      <c r="Q490" s="63" t="s">
        <v>4000</v>
      </c>
      <c r="R490" s="63" t="s">
        <v>4001</v>
      </c>
      <c r="S490" s="63" t="s">
        <v>1723</v>
      </c>
      <c r="T490" s="63"/>
      <c r="U490" s="63"/>
      <c r="V490" s="63"/>
      <c r="W490" s="63"/>
      <c r="X490" s="63"/>
      <c r="Y490" s="63"/>
      <c r="Z490" s="63"/>
    </row>
    <row r="491" spans="1:26" ht="15.75" customHeight="1" x14ac:dyDescent="0.25">
      <c r="A491" s="63" t="s">
        <v>1528</v>
      </c>
      <c r="B491" s="63" t="s">
        <v>747</v>
      </c>
      <c r="C491" s="63" t="s">
        <v>38</v>
      </c>
      <c r="D491" s="63" t="s">
        <v>1595</v>
      </c>
      <c r="E491" s="63" t="s">
        <v>2511</v>
      </c>
      <c r="F491" s="63" t="s">
        <v>1597</v>
      </c>
      <c r="G491" s="63" t="s">
        <v>4002</v>
      </c>
      <c r="H491" s="63" t="s">
        <v>3103</v>
      </c>
      <c r="I491" s="63" t="s">
        <v>2402</v>
      </c>
      <c r="J491" s="63" t="s">
        <v>2703</v>
      </c>
      <c r="K491" s="63"/>
      <c r="L491" s="63" t="s">
        <v>2166</v>
      </c>
      <c r="M491" s="63" t="s">
        <v>1603</v>
      </c>
      <c r="N491" s="63" t="s">
        <v>1595</v>
      </c>
      <c r="O491" s="63" t="s">
        <v>1604</v>
      </c>
      <c r="P491" s="63" t="s">
        <v>1605</v>
      </c>
      <c r="Q491" s="63" t="s">
        <v>4003</v>
      </c>
      <c r="R491" s="63" t="s">
        <v>4004</v>
      </c>
      <c r="S491" s="63" t="s">
        <v>1633</v>
      </c>
      <c r="T491" s="63"/>
      <c r="U491" s="63"/>
      <c r="V491" s="63"/>
      <c r="W491" s="63"/>
      <c r="X491" s="63"/>
      <c r="Y491" s="63"/>
      <c r="Z491" s="63"/>
    </row>
    <row r="492" spans="1:26" ht="15.75" customHeight="1" x14ac:dyDescent="0.25">
      <c r="A492" s="63" t="s">
        <v>1530</v>
      </c>
      <c r="B492" s="63" t="s">
        <v>985</v>
      </c>
      <c r="C492" s="63" t="s">
        <v>403</v>
      </c>
      <c r="D492" s="63" t="s">
        <v>1595</v>
      </c>
      <c r="E492" s="63" t="s">
        <v>4005</v>
      </c>
      <c r="F492" s="63" t="s">
        <v>1597</v>
      </c>
      <c r="G492" s="63" t="s">
        <v>4006</v>
      </c>
      <c r="H492" s="63" t="s">
        <v>1610</v>
      </c>
      <c r="I492" s="63" t="s">
        <v>3179</v>
      </c>
      <c r="J492" s="63" t="s">
        <v>566</v>
      </c>
      <c r="K492" s="63"/>
      <c r="L492" s="63" t="s">
        <v>4007</v>
      </c>
      <c r="M492" s="63" t="s">
        <v>1622</v>
      </c>
      <c r="N492" s="63" t="s">
        <v>1595</v>
      </c>
      <c r="O492" s="63" t="s">
        <v>1885</v>
      </c>
      <c r="P492" s="63" t="s">
        <v>3002</v>
      </c>
      <c r="Q492" s="63" t="s">
        <v>4008</v>
      </c>
      <c r="R492" s="63" t="s">
        <v>4009</v>
      </c>
      <c r="S492" s="63" t="s">
        <v>1616</v>
      </c>
      <c r="T492" s="63"/>
      <c r="U492" s="63"/>
      <c r="V492" s="63"/>
      <c r="W492" s="63"/>
      <c r="X492" s="63"/>
      <c r="Y492" s="63"/>
      <c r="Z492" s="63"/>
    </row>
    <row r="493" spans="1:26" ht="15.75" customHeight="1" x14ac:dyDescent="0.25">
      <c r="A493" s="63" t="s">
        <v>1532</v>
      </c>
      <c r="B493" s="63" t="s">
        <v>1365</v>
      </c>
      <c r="C493" s="63" t="s">
        <v>280</v>
      </c>
      <c r="D493" s="63" t="s">
        <v>1595</v>
      </c>
      <c r="E493" s="63" t="s">
        <v>4010</v>
      </c>
      <c r="F493" s="63" t="s">
        <v>1597</v>
      </c>
      <c r="G493" s="63" t="s">
        <v>3771</v>
      </c>
      <c r="H493" s="63" t="s">
        <v>2210</v>
      </c>
      <c r="I493" s="63" t="s">
        <v>3909</v>
      </c>
      <c r="J493" s="63" t="s">
        <v>2703</v>
      </c>
      <c r="K493" s="63"/>
      <c r="L493" s="63" t="s">
        <v>1800</v>
      </c>
      <c r="M493" s="63" t="s">
        <v>1595</v>
      </c>
      <c r="N493" s="63" t="s">
        <v>1595</v>
      </c>
      <c r="O493" s="63" t="s">
        <v>1604</v>
      </c>
      <c r="P493" s="63" t="s">
        <v>5075</v>
      </c>
      <c r="Q493" s="63" t="s">
        <v>4011</v>
      </c>
      <c r="R493" s="63" t="s">
        <v>4011</v>
      </c>
      <c r="S493" s="63" t="s">
        <v>1633</v>
      </c>
      <c r="T493" s="63"/>
      <c r="U493" s="63"/>
      <c r="V493" s="63"/>
      <c r="W493" s="63"/>
      <c r="X493" s="63"/>
      <c r="Y493" s="63"/>
      <c r="Z493" s="63"/>
    </row>
    <row r="494" spans="1:26" ht="15.75" customHeight="1" x14ac:dyDescent="0.25">
      <c r="A494" s="63" t="s">
        <v>1534</v>
      </c>
      <c r="B494" s="63" t="s">
        <v>1509</v>
      </c>
      <c r="C494" s="63" t="s">
        <v>111</v>
      </c>
      <c r="D494" s="63" t="s">
        <v>1595</v>
      </c>
      <c r="E494" s="63" t="s">
        <v>1808</v>
      </c>
      <c r="F494" s="63" t="s">
        <v>1597</v>
      </c>
      <c r="G494" s="63" t="s">
        <v>2030</v>
      </c>
      <c r="H494" s="63" t="s">
        <v>1610</v>
      </c>
      <c r="I494" s="63" t="s">
        <v>1685</v>
      </c>
      <c r="J494" s="63" t="s">
        <v>560</v>
      </c>
      <c r="K494" s="63"/>
      <c r="L494" s="63" t="s">
        <v>1686</v>
      </c>
      <c r="M494" s="63" t="s">
        <v>1687</v>
      </c>
      <c r="N494" s="63" t="s">
        <v>1595</v>
      </c>
      <c r="O494" s="63" t="s">
        <v>4012</v>
      </c>
      <c r="P494" s="63" t="s">
        <v>3410</v>
      </c>
      <c r="Q494" s="63" t="s">
        <v>4013</v>
      </c>
      <c r="R494" s="63" t="s">
        <v>4013</v>
      </c>
      <c r="S494" s="63" t="s">
        <v>1633</v>
      </c>
      <c r="T494" s="63"/>
      <c r="U494" s="63"/>
      <c r="V494" s="63"/>
      <c r="W494" s="63"/>
      <c r="X494" s="63"/>
      <c r="Y494" s="63"/>
      <c r="Z494" s="63"/>
    </row>
    <row r="495" spans="1:26" ht="15.75" customHeight="1" x14ac:dyDescent="0.25">
      <c r="A495" s="63" t="s">
        <v>1536</v>
      </c>
      <c r="B495" s="63" t="s">
        <v>1069</v>
      </c>
      <c r="C495" s="63" t="s">
        <v>136</v>
      </c>
      <c r="D495" s="63" t="s">
        <v>1595</v>
      </c>
      <c r="E495" s="63" t="s">
        <v>1948</v>
      </c>
      <c r="F495" s="63" t="s">
        <v>1597</v>
      </c>
      <c r="G495" s="63" t="s">
        <v>4014</v>
      </c>
      <c r="H495" s="63" t="s">
        <v>4015</v>
      </c>
      <c r="I495" s="63" t="s">
        <v>1983</v>
      </c>
      <c r="J495" s="63" t="s">
        <v>558</v>
      </c>
      <c r="K495" s="63"/>
      <c r="L495" s="63" t="s">
        <v>2065</v>
      </c>
      <c r="M495" s="63" t="s">
        <v>1622</v>
      </c>
      <c r="N495" s="63" t="s">
        <v>1595</v>
      </c>
      <c r="O495" s="63" t="s">
        <v>1885</v>
      </c>
      <c r="P495" s="63" t="s">
        <v>2108</v>
      </c>
      <c r="Q495" s="63" t="s">
        <v>4016</v>
      </c>
      <c r="R495" s="63" t="s">
        <v>4017</v>
      </c>
      <c r="S495" s="63" t="s">
        <v>1723</v>
      </c>
      <c r="T495" s="63"/>
      <c r="U495" s="63"/>
      <c r="V495" s="63"/>
      <c r="W495" s="63"/>
      <c r="X495" s="63"/>
      <c r="Y495" s="63"/>
      <c r="Z495" s="63"/>
    </row>
    <row r="496" spans="1:26" ht="15.75" customHeight="1" x14ac:dyDescent="0.25">
      <c r="A496" s="63" t="s">
        <v>1538</v>
      </c>
      <c r="B496" s="63" t="s">
        <v>1097</v>
      </c>
      <c r="C496" s="63" t="s">
        <v>150</v>
      </c>
      <c r="D496" s="63" t="s">
        <v>1595</v>
      </c>
      <c r="E496" s="63" t="s">
        <v>4018</v>
      </c>
      <c r="F496" s="63" t="s">
        <v>1597</v>
      </c>
      <c r="G496" s="63" t="s">
        <v>4019</v>
      </c>
      <c r="H496" s="63" t="s">
        <v>2210</v>
      </c>
      <c r="I496" s="63" t="s">
        <v>4020</v>
      </c>
      <c r="J496" s="63" t="s">
        <v>4021</v>
      </c>
      <c r="K496" s="63"/>
      <c r="L496" s="63" t="s">
        <v>2065</v>
      </c>
      <c r="M496" s="63" t="s">
        <v>1622</v>
      </c>
      <c r="N496" s="63" t="s">
        <v>1595</v>
      </c>
      <c r="O496" s="63" t="s">
        <v>1604</v>
      </c>
      <c r="P496" s="63" t="s">
        <v>1790</v>
      </c>
      <c r="Q496" s="63" t="s">
        <v>4022</v>
      </c>
      <c r="R496" s="63" t="s">
        <v>4023</v>
      </c>
      <c r="S496" s="63" t="s">
        <v>1633</v>
      </c>
      <c r="T496" s="63"/>
      <c r="U496" s="63"/>
      <c r="V496" s="63"/>
      <c r="W496" s="63"/>
      <c r="X496" s="63"/>
      <c r="Y496" s="63"/>
      <c r="Z496" s="63"/>
    </row>
    <row r="497" spans="1:26" ht="15.75" customHeight="1" x14ac:dyDescent="0.25">
      <c r="A497" s="63" t="s">
        <v>1540</v>
      </c>
      <c r="B497" s="63" t="s">
        <v>645</v>
      </c>
      <c r="C497" s="63" t="s">
        <v>491</v>
      </c>
      <c r="D497" s="63" t="s">
        <v>1595</v>
      </c>
      <c r="E497" s="63" t="s">
        <v>3334</v>
      </c>
      <c r="F497" s="63" t="s">
        <v>1597</v>
      </c>
      <c r="G497" s="63" t="s">
        <v>4025</v>
      </c>
      <c r="H497" s="63" t="s">
        <v>3103</v>
      </c>
      <c r="I497" s="63" t="s">
        <v>2783</v>
      </c>
      <c r="J497" s="63" t="s">
        <v>3038</v>
      </c>
      <c r="K497" s="63" t="s">
        <v>3038</v>
      </c>
      <c r="L497" s="63" t="s">
        <v>1938</v>
      </c>
      <c r="M497" s="63" t="s">
        <v>1603</v>
      </c>
      <c r="N497" s="63" t="s">
        <v>1595</v>
      </c>
      <c r="O497" s="63" t="s">
        <v>1604</v>
      </c>
      <c r="P497" s="63" t="s">
        <v>5076</v>
      </c>
      <c r="Q497" s="63" t="s">
        <v>4026</v>
      </c>
      <c r="R497" s="63" t="s">
        <v>4027</v>
      </c>
      <c r="S497" s="63" t="s">
        <v>1607</v>
      </c>
      <c r="T497" s="63"/>
      <c r="U497" s="63"/>
      <c r="V497" s="63"/>
      <c r="W497" s="63"/>
      <c r="X497" s="63"/>
      <c r="Y497" s="63"/>
      <c r="Z497" s="63"/>
    </row>
    <row r="498" spans="1:26" ht="15.75" customHeight="1" x14ac:dyDescent="0.25">
      <c r="A498" s="63" t="s">
        <v>1542</v>
      </c>
      <c r="B498" s="63" t="s">
        <v>4029</v>
      </c>
      <c r="C498" s="63" t="s">
        <v>4030</v>
      </c>
      <c r="D498" s="63" t="s">
        <v>1595</v>
      </c>
      <c r="E498" s="63" t="s">
        <v>1988</v>
      </c>
      <c r="F498" s="63" t="s">
        <v>1597</v>
      </c>
      <c r="G498" s="63" t="s">
        <v>4031</v>
      </c>
      <c r="H498" s="63" t="s">
        <v>1888</v>
      </c>
      <c r="I498" s="63" t="s">
        <v>4032</v>
      </c>
      <c r="J498" s="63" t="s">
        <v>552</v>
      </c>
      <c r="K498" s="63"/>
      <c r="L498" s="63" t="s">
        <v>1665</v>
      </c>
      <c r="M498" s="63" t="s">
        <v>1613</v>
      </c>
      <c r="N498" s="63" t="s">
        <v>1595</v>
      </c>
      <c r="O498" s="63" t="s">
        <v>1885</v>
      </c>
      <c r="P498" s="63" t="s">
        <v>1897</v>
      </c>
      <c r="Q498" s="63" t="s">
        <v>4033</v>
      </c>
      <c r="R498" s="63" t="s">
        <v>4034</v>
      </c>
      <c r="S498" s="63" t="s">
        <v>1607</v>
      </c>
      <c r="T498" s="63"/>
      <c r="U498" s="63"/>
      <c r="V498" s="63"/>
      <c r="W498" s="63"/>
      <c r="X498" s="63"/>
      <c r="Y498" s="63"/>
      <c r="Z498" s="63"/>
    </row>
    <row r="499" spans="1:26" ht="15.75" customHeight="1" x14ac:dyDescent="0.25">
      <c r="A499" s="63" t="s">
        <v>1544</v>
      </c>
      <c r="B499" s="63" t="s">
        <v>767</v>
      </c>
      <c r="C499" s="63" t="s">
        <v>47</v>
      </c>
      <c r="D499" s="63" t="s">
        <v>1595</v>
      </c>
      <c r="E499" s="63" t="s">
        <v>3874</v>
      </c>
      <c r="F499" s="63" t="s">
        <v>1597</v>
      </c>
      <c r="G499" s="63" t="s">
        <v>4036</v>
      </c>
      <c r="H499" s="63" t="s">
        <v>2938</v>
      </c>
      <c r="I499" s="63" t="s">
        <v>4037</v>
      </c>
      <c r="J499" s="63" t="s">
        <v>4038</v>
      </c>
      <c r="K499" s="63"/>
      <c r="L499" s="63" t="s">
        <v>2065</v>
      </c>
      <c r="M499" s="63" t="s">
        <v>1622</v>
      </c>
      <c r="N499" s="63" t="s">
        <v>1595</v>
      </c>
      <c r="O499" s="63" t="s">
        <v>1604</v>
      </c>
      <c r="P499" s="63" t="s">
        <v>2108</v>
      </c>
      <c r="Q499" s="63" t="s">
        <v>4039</v>
      </c>
      <c r="R499" s="63" t="s">
        <v>4040</v>
      </c>
      <c r="S499" s="63" t="s">
        <v>538</v>
      </c>
      <c r="T499" s="63"/>
      <c r="U499" s="63"/>
      <c r="V499" s="63"/>
      <c r="W499" s="63"/>
      <c r="X499" s="63"/>
      <c r="Y499" s="63"/>
      <c r="Z499" s="63"/>
    </row>
    <row r="500" spans="1:26" ht="15.75" customHeight="1" x14ac:dyDescent="0.25">
      <c r="A500" s="63" t="s">
        <v>1546</v>
      </c>
      <c r="B500" s="63" t="s">
        <v>1335</v>
      </c>
      <c r="C500" s="63" t="s">
        <v>265</v>
      </c>
      <c r="D500" s="63" t="s">
        <v>1595</v>
      </c>
      <c r="E500" s="63" t="s">
        <v>4042</v>
      </c>
      <c r="F500" s="63" t="s">
        <v>1597</v>
      </c>
      <c r="G500" s="63" t="s">
        <v>4043</v>
      </c>
      <c r="H500" s="63" t="s">
        <v>1619</v>
      </c>
      <c r="I500" s="63" t="s">
        <v>4044</v>
      </c>
      <c r="J500" s="63" t="s">
        <v>652</v>
      </c>
      <c r="K500" s="63"/>
      <c r="L500" s="63" t="s">
        <v>2065</v>
      </c>
      <c r="M500" s="63" t="s">
        <v>1622</v>
      </c>
      <c r="N500" s="63" t="s">
        <v>1595</v>
      </c>
      <c r="O500" s="63" t="s">
        <v>1885</v>
      </c>
      <c r="P500" s="63" t="s">
        <v>1790</v>
      </c>
      <c r="Q500" s="63" t="s">
        <v>4045</v>
      </c>
      <c r="R500" s="63" t="s">
        <v>4046</v>
      </c>
      <c r="S500" s="63" t="s">
        <v>1633</v>
      </c>
      <c r="T500" s="63"/>
      <c r="U500" s="63"/>
      <c r="V500" s="63"/>
      <c r="W500" s="63"/>
      <c r="X500" s="63"/>
      <c r="Y500" s="63"/>
      <c r="Z500" s="63"/>
    </row>
    <row r="501" spans="1:26" ht="15.75" customHeight="1" x14ac:dyDescent="0.25">
      <c r="A501" s="63" t="s">
        <v>1548</v>
      </c>
      <c r="B501" s="63" t="s">
        <v>1067</v>
      </c>
      <c r="C501" s="63" t="s">
        <v>444</v>
      </c>
      <c r="D501" s="63" t="s">
        <v>3434</v>
      </c>
      <c r="E501" s="63" t="s">
        <v>2683</v>
      </c>
      <c r="F501" s="63" t="s">
        <v>1597</v>
      </c>
      <c r="G501" s="63" t="s">
        <v>4048</v>
      </c>
      <c r="H501" s="63" t="s">
        <v>3969</v>
      </c>
      <c r="I501" s="63" t="s">
        <v>4049</v>
      </c>
      <c r="J501" s="63" t="s">
        <v>3385</v>
      </c>
      <c r="K501" s="63"/>
      <c r="L501" s="63" t="s">
        <v>1766</v>
      </c>
      <c r="M501" s="63" t="s">
        <v>1595</v>
      </c>
      <c r="N501" s="63" t="s">
        <v>1595</v>
      </c>
      <c r="O501" s="63" t="s">
        <v>1604</v>
      </c>
      <c r="P501" s="63" t="s">
        <v>1823</v>
      </c>
      <c r="Q501" s="63" t="s">
        <v>4050</v>
      </c>
      <c r="R501" s="63" t="s">
        <v>4051</v>
      </c>
      <c r="S501" s="63" t="s">
        <v>1616</v>
      </c>
      <c r="T501" s="63"/>
      <c r="U501" s="63"/>
      <c r="V501" s="63"/>
      <c r="W501" s="63"/>
      <c r="X501" s="63"/>
      <c r="Y501" s="63"/>
      <c r="Z501" s="63"/>
    </row>
    <row r="502" spans="1:26" ht="15.75" customHeight="1" x14ac:dyDescent="0.25">
      <c r="A502" s="63" t="s">
        <v>1550</v>
      </c>
      <c r="B502" s="63" t="s">
        <v>597</v>
      </c>
      <c r="C502" s="63" t="s">
        <v>467</v>
      </c>
      <c r="D502" s="63" t="s">
        <v>1885</v>
      </c>
      <c r="E502" s="63" t="s">
        <v>4053</v>
      </c>
      <c r="F502" s="63" t="s">
        <v>1597</v>
      </c>
      <c r="G502" s="63" t="s">
        <v>4054</v>
      </c>
      <c r="H502" s="63" t="s">
        <v>1610</v>
      </c>
      <c r="I502" s="63" t="s">
        <v>4055</v>
      </c>
      <c r="J502" s="63" t="s">
        <v>562</v>
      </c>
      <c r="K502" s="63"/>
      <c r="L502" s="63" t="s">
        <v>2282</v>
      </c>
      <c r="M502" s="63" t="s">
        <v>2283</v>
      </c>
      <c r="N502" s="63" t="s">
        <v>1595</v>
      </c>
      <c r="O502" s="63" t="s">
        <v>1885</v>
      </c>
      <c r="P502" s="63" t="s">
        <v>3660</v>
      </c>
      <c r="Q502" s="63" t="s">
        <v>4056</v>
      </c>
      <c r="R502" s="63" t="s">
        <v>4057</v>
      </c>
      <c r="S502" s="63" t="s">
        <v>1607</v>
      </c>
      <c r="T502" s="63"/>
      <c r="U502" s="63"/>
      <c r="V502" s="63"/>
      <c r="W502" s="63"/>
      <c r="X502" s="63"/>
      <c r="Y502" s="63"/>
      <c r="Z502" s="63"/>
    </row>
    <row r="503" spans="1:26" ht="15.75" customHeight="1" x14ac:dyDescent="0.25">
      <c r="A503" s="63" t="s">
        <v>1552</v>
      </c>
      <c r="B503" s="63" t="s">
        <v>1465</v>
      </c>
      <c r="C503" s="63" t="s">
        <v>90</v>
      </c>
      <c r="D503" s="63" t="s">
        <v>1595</v>
      </c>
      <c r="E503" s="63" t="s">
        <v>2622</v>
      </c>
      <c r="F503" s="63" t="s">
        <v>1597</v>
      </c>
      <c r="G503" s="63" t="s">
        <v>4059</v>
      </c>
      <c r="H503" s="63" t="s">
        <v>4060</v>
      </c>
      <c r="I503" s="63" t="s">
        <v>4061</v>
      </c>
      <c r="J503" s="63" t="s">
        <v>556</v>
      </c>
      <c r="K503" s="63"/>
      <c r="L503" s="63" t="s">
        <v>1595</v>
      </c>
      <c r="M503" s="63" t="s">
        <v>1595</v>
      </c>
      <c r="N503" s="63" t="s">
        <v>1595</v>
      </c>
      <c r="O503" s="63" t="s">
        <v>1604</v>
      </c>
      <c r="P503" s="63" t="s">
        <v>1638</v>
      </c>
      <c r="Q503" s="63" t="s">
        <v>4062</v>
      </c>
      <c r="R503" s="63" t="s">
        <v>4063</v>
      </c>
      <c r="S503" s="63" t="s">
        <v>1616</v>
      </c>
      <c r="T503" s="63"/>
      <c r="U503" s="63"/>
      <c r="V503" s="63"/>
      <c r="W503" s="63"/>
      <c r="X503" s="63"/>
      <c r="Y503" s="63"/>
      <c r="Z503" s="63"/>
    </row>
    <row r="504" spans="1:26" ht="15.75" customHeight="1" x14ac:dyDescent="0.25">
      <c r="A504" s="63" t="s">
        <v>1554</v>
      </c>
      <c r="B504" s="63" t="s">
        <v>557</v>
      </c>
      <c r="C504" s="63" t="s">
        <v>447</v>
      </c>
      <c r="D504" s="63" t="s">
        <v>1595</v>
      </c>
      <c r="E504" s="63" t="s">
        <v>4065</v>
      </c>
      <c r="F504" s="63" t="s">
        <v>2079</v>
      </c>
      <c r="G504" s="63" t="s">
        <v>4066</v>
      </c>
      <c r="H504" s="63" t="s">
        <v>1927</v>
      </c>
      <c r="I504" s="63" t="s">
        <v>3606</v>
      </c>
      <c r="J504" s="63" t="s">
        <v>554</v>
      </c>
      <c r="K504" s="63"/>
      <c r="L504" s="63" t="s">
        <v>1920</v>
      </c>
      <c r="M504" s="63" t="s">
        <v>1812</v>
      </c>
      <c r="N504" s="63" t="s">
        <v>1595</v>
      </c>
      <c r="O504" s="63" t="s">
        <v>1885</v>
      </c>
      <c r="P504" s="63" t="s">
        <v>1915</v>
      </c>
      <c r="Q504" s="63" t="s">
        <v>4067</v>
      </c>
      <c r="R504" s="63" t="s">
        <v>4067</v>
      </c>
      <c r="S504" s="63" t="s">
        <v>1607</v>
      </c>
      <c r="T504" s="63"/>
      <c r="U504" s="63"/>
      <c r="V504" s="63"/>
      <c r="W504" s="63"/>
      <c r="X504" s="63"/>
      <c r="Y504" s="63"/>
      <c r="Z504" s="63"/>
    </row>
    <row r="505" spans="1:26" ht="15.75" customHeight="1" x14ac:dyDescent="0.25">
      <c r="A505" s="63" t="s">
        <v>1556</v>
      </c>
      <c r="B505" s="63" t="s">
        <v>705</v>
      </c>
      <c r="C505" s="63" t="s">
        <v>520</v>
      </c>
      <c r="D505" s="63" t="s">
        <v>1595</v>
      </c>
      <c r="E505" s="63" t="s">
        <v>4069</v>
      </c>
      <c r="F505" s="63" t="s">
        <v>1597</v>
      </c>
      <c r="G505" s="63" t="s">
        <v>1805</v>
      </c>
      <c r="H505" s="63" t="s">
        <v>1610</v>
      </c>
      <c r="I505" s="63" t="s">
        <v>3606</v>
      </c>
      <c r="J505" s="63" t="s">
        <v>556</v>
      </c>
      <c r="K505" s="63"/>
      <c r="L505" s="63" t="s">
        <v>1920</v>
      </c>
      <c r="M505" s="63" t="s">
        <v>1812</v>
      </c>
      <c r="N505" s="63" t="s">
        <v>1595</v>
      </c>
      <c r="O505" s="63" t="s">
        <v>1604</v>
      </c>
      <c r="P505" s="63" t="s">
        <v>4070</v>
      </c>
      <c r="Q505" s="63" t="s">
        <v>4071</v>
      </c>
      <c r="R505" s="63" t="s">
        <v>4071</v>
      </c>
      <c r="S505" s="63" t="s">
        <v>1607</v>
      </c>
      <c r="T505" s="63"/>
      <c r="U505" s="63"/>
      <c r="V505" s="63"/>
      <c r="W505" s="63"/>
      <c r="X505" s="63"/>
      <c r="Y505" s="63"/>
      <c r="Z505" s="63"/>
    </row>
    <row r="506" spans="1:26" ht="15.75" customHeight="1" x14ac:dyDescent="0.25">
      <c r="A506" s="63" t="s">
        <v>4024</v>
      </c>
      <c r="B506" s="63" t="s">
        <v>751</v>
      </c>
      <c r="C506" s="63" t="s">
        <v>40</v>
      </c>
      <c r="D506" s="63" t="s">
        <v>3321</v>
      </c>
      <c r="E506" s="63" t="s">
        <v>4073</v>
      </c>
      <c r="F506" s="63" t="s">
        <v>1597</v>
      </c>
      <c r="G506" s="63" t="s">
        <v>4074</v>
      </c>
      <c r="H506" s="63" t="s">
        <v>1619</v>
      </c>
      <c r="I506" s="63" t="s">
        <v>4075</v>
      </c>
      <c r="J506" s="63" t="s">
        <v>672</v>
      </c>
      <c r="K506" s="63"/>
      <c r="L506" s="63" t="s">
        <v>2065</v>
      </c>
      <c r="M506" s="63" t="s">
        <v>1622</v>
      </c>
      <c r="N506" s="63" t="s">
        <v>1595</v>
      </c>
      <c r="O506" s="63" t="s">
        <v>1885</v>
      </c>
      <c r="P506" s="63" t="s">
        <v>2108</v>
      </c>
      <c r="Q506" s="63" t="s">
        <v>4076</v>
      </c>
      <c r="R506" s="63" t="s">
        <v>4076</v>
      </c>
      <c r="S506" s="63" t="s">
        <v>538</v>
      </c>
      <c r="T506" s="63"/>
      <c r="U506" s="63"/>
      <c r="V506" s="63"/>
      <c r="W506" s="63"/>
      <c r="X506" s="63"/>
      <c r="Y506" s="63"/>
      <c r="Z506" s="63"/>
    </row>
    <row r="507" spans="1:26" ht="15.75" customHeight="1" x14ac:dyDescent="0.25">
      <c r="A507" s="63" t="s">
        <v>4028</v>
      </c>
      <c r="B507" s="63" t="s">
        <v>729</v>
      </c>
      <c r="C507" s="63" t="s">
        <v>29</v>
      </c>
      <c r="D507" s="63" t="s">
        <v>1595</v>
      </c>
      <c r="E507" s="63" t="s">
        <v>2638</v>
      </c>
      <c r="F507" s="63" t="s">
        <v>1597</v>
      </c>
      <c r="G507" s="63" t="s">
        <v>4078</v>
      </c>
      <c r="H507" s="63" t="s">
        <v>1610</v>
      </c>
      <c r="I507" s="63" t="s">
        <v>3642</v>
      </c>
      <c r="J507" s="63" t="s">
        <v>554</v>
      </c>
      <c r="K507" s="63"/>
      <c r="L507" s="63" t="s">
        <v>2320</v>
      </c>
      <c r="M507" s="63" t="s">
        <v>1622</v>
      </c>
      <c r="N507" s="63" t="s">
        <v>1595</v>
      </c>
      <c r="O507" s="63" t="s">
        <v>1604</v>
      </c>
      <c r="P507" s="63" t="s">
        <v>2108</v>
      </c>
      <c r="Q507" s="63" t="s">
        <v>4079</v>
      </c>
      <c r="R507" s="63" t="s">
        <v>4080</v>
      </c>
      <c r="S507" s="63" t="s">
        <v>538</v>
      </c>
      <c r="T507" s="63"/>
      <c r="U507" s="63"/>
      <c r="V507" s="63"/>
      <c r="W507" s="63"/>
      <c r="X507" s="63"/>
      <c r="Y507" s="63"/>
      <c r="Z507" s="63"/>
    </row>
    <row r="508" spans="1:26" ht="15.75" customHeight="1" x14ac:dyDescent="0.25">
      <c r="A508" s="63" t="s">
        <v>4035</v>
      </c>
      <c r="B508" s="63" t="s">
        <v>761</v>
      </c>
      <c r="C508" s="63" t="s">
        <v>44</v>
      </c>
      <c r="D508" s="63" t="s">
        <v>1595</v>
      </c>
      <c r="E508" s="63" t="s">
        <v>4053</v>
      </c>
      <c r="F508" s="63" t="s">
        <v>1597</v>
      </c>
      <c r="G508" s="63" t="s">
        <v>2266</v>
      </c>
      <c r="H508" s="63" t="s">
        <v>4082</v>
      </c>
      <c r="I508" s="63" t="s">
        <v>4083</v>
      </c>
      <c r="J508" s="63" t="s">
        <v>552</v>
      </c>
      <c r="K508" s="63"/>
      <c r="L508" s="63" t="s">
        <v>1744</v>
      </c>
      <c r="M508" s="63" t="s">
        <v>1647</v>
      </c>
      <c r="N508" s="63" t="s">
        <v>1595</v>
      </c>
      <c r="O508" s="63" t="s">
        <v>1604</v>
      </c>
      <c r="P508" s="63" t="s">
        <v>4084</v>
      </c>
      <c r="Q508" s="63" t="s">
        <v>4085</v>
      </c>
      <c r="R508" s="63" t="s">
        <v>4086</v>
      </c>
      <c r="S508" s="63" t="s">
        <v>1723</v>
      </c>
      <c r="T508" s="63"/>
      <c r="U508" s="63"/>
      <c r="V508" s="63"/>
      <c r="W508" s="63"/>
      <c r="X508" s="63"/>
      <c r="Y508" s="63"/>
      <c r="Z508" s="63"/>
    </row>
    <row r="509" spans="1:26" ht="15.75" customHeight="1" x14ac:dyDescent="0.25">
      <c r="A509" s="63" t="s">
        <v>4041</v>
      </c>
      <c r="B509" s="63" t="s">
        <v>1413</v>
      </c>
      <c r="C509" s="63" t="s">
        <v>303</v>
      </c>
      <c r="D509" s="63" t="s">
        <v>1595</v>
      </c>
      <c r="E509" s="63" t="s">
        <v>4088</v>
      </c>
      <c r="F509" s="63" t="s">
        <v>1597</v>
      </c>
      <c r="G509" s="63" t="s">
        <v>4089</v>
      </c>
      <c r="H509" s="63" t="s">
        <v>1610</v>
      </c>
      <c r="I509" s="63" t="s">
        <v>4090</v>
      </c>
      <c r="J509" s="63" t="s">
        <v>3467</v>
      </c>
      <c r="K509" s="63"/>
      <c r="L509" s="63" t="s">
        <v>1665</v>
      </c>
      <c r="M509" s="63" t="s">
        <v>1613</v>
      </c>
      <c r="N509" s="63" t="s">
        <v>1595</v>
      </c>
      <c r="O509" s="63" t="s">
        <v>1604</v>
      </c>
      <c r="P509" s="63" t="s">
        <v>3410</v>
      </c>
      <c r="Q509" s="63" t="s">
        <v>4091</v>
      </c>
      <c r="R509" s="63" t="s">
        <v>4092</v>
      </c>
      <c r="S509" s="63" t="s">
        <v>1633</v>
      </c>
      <c r="T509" s="63"/>
      <c r="U509" s="63"/>
      <c r="V509" s="63"/>
      <c r="W509" s="63"/>
      <c r="X509" s="63"/>
      <c r="Y509" s="63"/>
      <c r="Z509" s="63"/>
    </row>
    <row r="510" spans="1:26" ht="15.75" customHeight="1" x14ac:dyDescent="0.25">
      <c r="A510" s="63" t="s">
        <v>4047</v>
      </c>
      <c r="B510" s="63" t="s">
        <v>1499</v>
      </c>
      <c r="C510" s="63" t="s">
        <v>107</v>
      </c>
      <c r="D510" s="63" t="s">
        <v>1595</v>
      </c>
      <c r="E510" s="63" t="s">
        <v>3329</v>
      </c>
      <c r="F510" s="63" t="s">
        <v>1597</v>
      </c>
      <c r="G510" s="63" t="s">
        <v>4094</v>
      </c>
      <c r="H510" s="63" t="s">
        <v>4095</v>
      </c>
      <c r="I510" s="63" t="s">
        <v>1859</v>
      </c>
      <c r="J510" s="63" t="s">
        <v>554</v>
      </c>
      <c r="K510" s="63"/>
      <c r="L510" s="63" t="s">
        <v>2351</v>
      </c>
      <c r="M510" s="63" t="s">
        <v>1859</v>
      </c>
      <c r="N510" s="63" t="s">
        <v>1595</v>
      </c>
      <c r="O510" s="63" t="s">
        <v>1885</v>
      </c>
      <c r="P510" s="63" t="s">
        <v>2352</v>
      </c>
      <c r="Q510" s="63" t="s">
        <v>4096</v>
      </c>
      <c r="R510" s="63" t="s">
        <v>4097</v>
      </c>
      <c r="S510" s="63" t="s">
        <v>1723</v>
      </c>
      <c r="T510" s="63"/>
      <c r="U510" s="63"/>
      <c r="V510" s="63"/>
      <c r="W510" s="63"/>
      <c r="X510" s="63"/>
      <c r="Y510" s="63"/>
      <c r="Z510" s="63"/>
    </row>
    <row r="511" spans="1:26" ht="15.75" customHeight="1" x14ac:dyDescent="0.25">
      <c r="A511" s="63" t="s">
        <v>4052</v>
      </c>
      <c r="B511" s="63" t="s">
        <v>1019</v>
      </c>
      <c r="C511" s="63" t="s">
        <v>420</v>
      </c>
      <c r="D511" s="63" t="s">
        <v>1595</v>
      </c>
      <c r="E511" s="63" t="s">
        <v>4099</v>
      </c>
      <c r="F511" s="63" t="s">
        <v>1597</v>
      </c>
      <c r="G511" s="63" t="s">
        <v>4100</v>
      </c>
      <c r="H511" s="63" t="s">
        <v>1610</v>
      </c>
      <c r="I511" s="63" t="s">
        <v>1630</v>
      </c>
      <c r="J511" s="63" t="s">
        <v>4101</v>
      </c>
      <c r="K511" s="63"/>
      <c r="L511" s="63" t="s">
        <v>2100</v>
      </c>
      <c r="M511" s="63" t="s">
        <v>1630</v>
      </c>
      <c r="N511" s="63" t="s">
        <v>1595</v>
      </c>
      <c r="O511" s="63" t="s">
        <v>1604</v>
      </c>
      <c r="P511" s="63" t="s">
        <v>1631</v>
      </c>
      <c r="Q511" s="63" t="s">
        <v>4102</v>
      </c>
      <c r="R511" s="63" t="s">
        <v>4103</v>
      </c>
      <c r="S511" s="63" t="s">
        <v>1616</v>
      </c>
      <c r="T511" s="63"/>
      <c r="U511" s="63"/>
      <c r="V511" s="63"/>
      <c r="W511" s="63"/>
      <c r="X511" s="63"/>
      <c r="Y511" s="63"/>
      <c r="Z511" s="63"/>
    </row>
    <row r="512" spans="1:26" ht="15.75" customHeight="1" x14ac:dyDescent="0.25">
      <c r="A512" s="63" t="s">
        <v>4058</v>
      </c>
      <c r="B512" s="63" t="s">
        <v>1059</v>
      </c>
      <c r="C512" s="63" t="s">
        <v>440</v>
      </c>
      <c r="D512" s="63" t="s">
        <v>1595</v>
      </c>
      <c r="E512" s="63" t="s">
        <v>4105</v>
      </c>
      <c r="F512" s="63" t="s">
        <v>1597</v>
      </c>
      <c r="G512" s="63" t="s">
        <v>4106</v>
      </c>
      <c r="H512" s="63" t="s">
        <v>1927</v>
      </c>
      <c r="I512" s="63" t="s">
        <v>1675</v>
      </c>
      <c r="J512" s="63" t="s">
        <v>552</v>
      </c>
      <c r="K512" s="63"/>
      <c r="L512" s="63" t="s">
        <v>1670</v>
      </c>
      <c r="M512" s="63" t="s">
        <v>1654</v>
      </c>
      <c r="N512" s="63" t="s">
        <v>1595</v>
      </c>
      <c r="O512" s="63" t="s">
        <v>1885</v>
      </c>
      <c r="P512" s="63" t="s">
        <v>1671</v>
      </c>
      <c r="Q512" s="63" t="s">
        <v>4107</v>
      </c>
      <c r="R512" s="63" t="s">
        <v>4108</v>
      </c>
      <c r="S512" s="63" t="s">
        <v>1616</v>
      </c>
      <c r="T512" s="63"/>
      <c r="U512" s="63"/>
      <c r="V512" s="63"/>
      <c r="W512" s="63"/>
      <c r="X512" s="63"/>
      <c r="Y512" s="63"/>
      <c r="Z512" s="63"/>
    </row>
    <row r="513" spans="1:26" ht="15.75" customHeight="1" x14ac:dyDescent="0.25">
      <c r="A513" s="63" t="s">
        <v>4064</v>
      </c>
      <c r="B513" s="63" t="s">
        <v>1073</v>
      </c>
      <c r="C513" s="63" t="s">
        <v>138</v>
      </c>
      <c r="D513" s="63" t="s">
        <v>1595</v>
      </c>
      <c r="E513" s="63" t="s">
        <v>4110</v>
      </c>
      <c r="F513" s="63" t="s">
        <v>1597</v>
      </c>
      <c r="G513" s="63" t="s">
        <v>4111</v>
      </c>
      <c r="H513" s="63" t="s">
        <v>1627</v>
      </c>
      <c r="I513" s="63" t="s">
        <v>2640</v>
      </c>
      <c r="J513" s="63" t="s">
        <v>3072</v>
      </c>
      <c r="K513" s="63"/>
      <c r="L513" s="63" t="s">
        <v>1758</v>
      </c>
      <c r="M513" s="63" t="s">
        <v>1613</v>
      </c>
      <c r="N513" s="63" t="s">
        <v>1595</v>
      </c>
      <c r="O513" s="63" t="s">
        <v>1604</v>
      </c>
      <c r="P513" s="63" t="s">
        <v>1915</v>
      </c>
      <c r="Q513" s="63" t="s">
        <v>4112</v>
      </c>
      <c r="R513" s="63" t="s">
        <v>4113</v>
      </c>
      <c r="S513" s="63" t="s">
        <v>1633</v>
      </c>
      <c r="T513" s="63"/>
      <c r="U513" s="63"/>
      <c r="V513" s="63"/>
      <c r="W513" s="63"/>
      <c r="X513" s="63"/>
      <c r="Y513" s="63"/>
      <c r="Z513" s="63"/>
    </row>
    <row r="514" spans="1:26" ht="15.75" customHeight="1" x14ac:dyDescent="0.25">
      <c r="A514" s="63" t="s">
        <v>4068</v>
      </c>
      <c r="B514" s="63" t="s">
        <v>4115</v>
      </c>
      <c r="C514" s="63" t="s">
        <v>4116</v>
      </c>
      <c r="D514" s="63" t="s">
        <v>1595</v>
      </c>
      <c r="E514" s="63" t="s">
        <v>3457</v>
      </c>
      <c r="F514" s="63" t="s">
        <v>1597</v>
      </c>
      <c r="G514" s="63" t="s">
        <v>4117</v>
      </c>
      <c r="H514" s="63" t="s">
        <v>1610</v>
      </c>
      <c r="I514" s="63" t="s">
        <v>4118</v>
      </c>
      <c r="J514" s="63" t="s">
        <v>2718</v>
      </c>
      <c r="K514" s="63"/>
      <c r="L514" s="63" t="s">
        <v>2696</v>
      </c>
      <c r="M514" s="63" t="s">
        <v>1785</v>
      </c>
      <c r="N514" s="63" t="s">
        <v>1595</v>
      </c>
      <c r="O514" s="63" t="s">
        <v>1604</v>
      </c>
      <c r="P514" s="63" t="s">
        <v>1786</v>
      </c>
      <c r="Q514" s="63" t="s">
        <v>4119</v>
      </c>
      <c r="R514" s="63" t="s">
        <v>4120</v>
      </c>
      <c r="S514" s="63" t="s">
        <v>1607</v>
      </c>
      <c r="T514" s="63"/>
      <c r="U514" s="63"/>
      <c r="V514" s="63"/>
      <c r="W514" s="63"/>
      <c r="X514" s="63"/>
      <c r="Y514" s="63"/>
      <c r="Z514" s="63"/>
    </row>
    <row r="515" spans="1:26" ht="15.75" customHeight="1" x14ac:dyDescent="0.25">
      <c r="A515" s="63" t="s">
        <v>4072</v>
      </c>
      <c r="B515" s="63" t="s">
        <v>4122</v>
      </c>
      <c r="C515" s="63" t="s">
        <v>4123</v>
      </c>
      <c r="D515" s="63" t="s">
        <v>1595</v>
      </c>
      <c r="E515" s="63" t="s">
        <v>4124</v>
      </c>
      <c r="F515" s="63" t="s">
        <v>1597</v>
      </c>
      <c r="G515" s="63" t="s">
        <v>4125</v>
      </c>
      <c r="H515" s="63" t="s">
        <v>1610</v>
      </c>
      <c r="I515" s="63" t="s">
        <v>3601</v>
      </c>
      <c r="J515" s="63" t="s">
        <v>560</v>
      </c>
      <c r="K515" s="63"/>
      <c r="L515" s="63" t="s">
        <v>1785</v>
      </c>
      <c r="M515" s="63" t="s">
        <v>1785</v>
      </c>
      <c r="N515" s="63" t="s">
        <v>1595</v>
      </c>
      <c r="O515" s="63" t="s">
        <v>1604</v>
      </c>
      <c r="P515" s="63" t="s">
        <v>1786</v>
      </c>
      <c r="Q515" s="63" t="s">
        <v>4126</v>
      </c>
      <c r="R515" s="63" t="s">
        <v>4127</v>
      </c>
      <c r="S515" s="63" t="s">
        <v>1607</v>
      </c>
      <c r="T515" s="63"/>
      <c r="U515" s="63"/>
      <c r="V515" s="63"/>
      <c r="W515" s="63"/>
      <c r="X515" s="63"/>
      <c r="Y515" s="63"/>
      <c r="Z515" s="63"/>
    </row>
    <row r="516" spans="1:26" ht="15.75" customHeight="1" x14ac:dyDescent="0.25">
      <c r="A516" s="63" t="s">
        <v>4077</v>
      </c>
      <c r="B516" s="63" t="s">
        <v>689</v>
      </c>
      <c r="C516" s="63" t="s">
        <v>512</v>
      </c>
      <c r="D516" s="63" t="s">
        <v>1595</v>
      </c>
      <c r="E516" s="63" t="s">
        <v>3511</v>
      </c>
      <c r="F516" s="63" t="s">
        <v>1597</v>
      </c>
      <c r="G516" s="63" t="s">
        <v>4129</v>
      </c>
      <c r="H516" s="63" t="s">
        <v>1627</v>
      </c>
      <c r="I516" s="63" t="s">
        <v>4130</v>
      </c>
      <c r="J516" s="63" t="s">
        <v>3072</v>
      </c>
      <c r="K516" s="63"/>
      <c r="L516" s="63" t="s">
        <v>1637</v>
      </c>
      <c r="M516" s="63" t="s">
        <v>1595</v>
      </c>
      <c r="N516" s="63" t="s">
        <v>1595</v>
      </c>
      <c r="O516" s="63" t="s">
        <v>1604</v>
      </c>
      <c r="P516" s="63" t="s">
        <v>4131</v>
      </c>
      <c r="Q516" s="63" t="s">
        <v>4132</v>
      </c>
      <c r="R516" s="63" t="s">
        <v>4133</v>
      </c>
      <c r="S516" s="63" t="s">
        <v>1607</v>
      </c>
      <c r="T516" s="63"/>
      <c r="U516" s="63"/>
      <c r="V516" s="63"/>
      <c r="W516" s="63"/>
      <c r="X516" s="63"/>
      <c r="Y516" s="63"/>
      <c r="Z516" s="63"/>
    </row>
    <row r="517" spans="1:26" ht="15.75" customHeight="1" x14ac:dyDescent="0.25">
      <c r="A517" s="63" t="s">
        <v>4081</v>
      </c>
      <c r="B517" s="63" t="s">
        <v>789</v>
      </c>
      <c r="C517" s="63" t="s">
        <v>311</v>
      </c>
      <c r="D517" s="63" t="s">
        <v>1595</v>
      </c>
      <c r="E517" s="63" t="s">
        <v>2273</v>
      </c>
      <c r="F517" s="63" t="s">
        <v>1597</v>
      </c>
      <c r="G517" s="63" t="s">
        <v>4135</v>
      </c>
      <c r="H517" s="63" t="s">
        <v>1610</v>
      </c>
      <c r="I517" s="63" t="s">
        <v>3742</v>
      </c>
      <c r="J517" s="63" t="s">
        <v>552</v>
      </c>
      <c r="K517" s="63"/>
      <c r="L517" s="63" t="s">
        <v>2320</v>
      </c>
      <c r="M517" s="63" t="s">
        <v>1622</v>
      </c>
      <c r="N517" s="63" t="s">
        <v>1595</v>
      </c>
      <c r="O517" s="63" t="s">
        <v>1604</v>
      </c>
      <c r="P517" s="63" t="s">
        <v>2108</v>
      </c>
      <c r="Q517" s="63" t="s">
        <v>4136</v>
      </c>
      <c r="R517" s="63" t="s">
        <v>4137</v>
      </c>
      <c r="S517" s="63" t="s">
        <v>1616</v>
      </c>
      <c r="T517" s="63"/>
      <c r="U517" s="63"/>
      <c r="V517" s="63"/>
      <c r="W517" s="63"/>
      <c r="X517" s="63"/>
      <c r="Y517" s="63"/>
      <c r="Z517" s="63"/>
    </row>
    <row r="518" spans="1:26" ht="15.75" customHeight="1" x14ac:dyDescent="0.25">
      <c r="A518" s="63" t="s">
        <v>4087</v>
      </c>
      <c r="B518" s="63" t="s">
        <v>1417</v>
      </c>
      <c r="C518" s="63" t="s">
        <v>65</v>
      </c>
      <c r="D518" s="63" t="s">
        <v>1595</v>
      </c>
      <c r="E518" s="63" t="s">
        <v>4139</v>
      </c>
      <c r="F518" s="63" t="s">
        <v>1597</v>
      </c>
      <c r="G518" s="63" t="s">
        <v>4140</v>
      </c>
      <c r="H518" s="63" t="s">
        <v>4141</v>
      </c>
      <c r="I518" s="63" t="s">
        <v>4142</v>
      </c>
      <c r="J518" s="63" t="s">
        <v>2428</v>
      </c>
      <c r="K518" s="63"/>
      <c r="L518" s="63" t="s">
        <v>1670</v>
      </c>
      <c r="M518" s="63" t="s">
        <v>1654</v>
      </c>
      <c r="N518" s="63" t="s">
        <v>1595</v>
      </c>
      <c r="O518" s="63" t="s">
        <v>1604</v>
      </c>
      <c r="P518" s="63" t="s">
        <v>1671</v>
      </c>
      <c r="Q518" s="63" t="s">
        <v>4143</v>
      </c>
      <c r="R518" s="63" t="s">
        <v>4144</v>
      </c>
      <c r="S518" s="63" t="s">
        <v>1633</v>
      </c>
      <c r="T518" s="63"/>
      <c r="U518" s="63"/>
      <c r="V518" s="63"/>
      <c r="W518" s="63"/>
      <c r="X518" s="63"/>
      <c r="Y518" s="63"/>
      <c r="Z518" s="63"/>
    </row>
    <row r="519" spans="1:26" ht="15.75" customHeight="1" x14ac:dyDescent="0.25">
      <c r="A519" s="63" t="s">
        <v>4093</v>
      </c>
      <c r="B519" s="63" t="s">
        <v>795</v>
      </c>
      <c r="C519" s="63" t="s">
        <v>314</v>
      </c>
      <c r="D519" s="63" t="s">
        <v>1595</v>
      </c>
      <c r="E519" s="63" t="s">
        <v>4146</v>
      </c>
      <c r="F519" s="63" t="s">
        <v>1597</v>
      </c>
      <c r="G519" s="63" t="s">
        <v>4147</v>
      </c>
      <c r="H519" s="63" t="s">
        <v>1610</v>
      </c>
      <c r="I519" s="63" t="s">
        <v>4148</v>
      </c>
      <c r="J519" s="63" t="s">
        <v>4149</v>
      </c>
      <c r="K519" s="63"/>
      <c r="L519" s="63" t="s">
        <v>1785</v>
      </c>
      <c r="M519" s="63" t="s">
        <v>1785</v>
      </c>
      <c r="N519" s="63" t="s">
        <v>1595</v>
      </c>
      <c r="O519" s="63" t="s">
        <v>1604</v>
      </c>
      <c r="P519" s="63" t="s">
        <v>1786</v>
      </c>
      <c r="Q519" s="63" t="s">
        <v>4150</v>
      </c>
      <c r="R519" s="63" t="s">
        <v>4151</v>
      </c>
      <c r="S519" s="63" t="s">
        <v>1616</v>
      </c>
      <c r="T519" s="63"/>
      <c r="U519" s="63"/>
      <c r="V519" s="63"/>
      <c r="W519" s="63"/>
      <c r="X519" s="63"/>
      <c r="Y519" s="63"/>
      <c r="Z519" s="63"/>
    </row>
    <row r="520" spans="1:26" ht="15.75" customHeight="1" x14ac:dyDescent="0.25">
      <c r="A520" s="63" t="s">
        <v>4098</v>
      </c>
      <c r="B520" s="63" t="s">
        <v>637</v>
      </c>
      <c r="C520" s="63" t="s">
        <v>487</v>
      </c>
      <c r="D520" s="63" t="s">
        <v>1595</v>
      </c>
      <c r="E520" s="63" t="s">
        <v>4153</v>
      </c>
      <c r="F520" s="63" t="s">
        <v>1597</v>
      </c>
      <c r="G520" s="63" t="s">
        <v>4154</v>
      </c>
      <c r="H520" s="63" t="s">
        <v>1610</v>
      </c>
      <c r="I520" s="63" t="s">
        <v>4155</v>
      </c>
      <c r="J520" s="63" t="s">
        <v>2476</v>
      </c>
      <c r="K520" s="63"/>
      <c r="L520" s="63" t="s">
        <v>2320</v>
      </c>
      <c r="M520" s="63" t="s">
        <v>1622</v>
      </c>
      <c r="N520" s="63" t="s">
        <v>1595</v>
      </c>
      <c r="O520" s="63" t="s">
        <v>1604</v>
      </c>
      <c r="P520" s="63" t="s">
        <v>3461</v>
      </c>
      <c r="Q520" s="63" t="s">
        <v>4156</v>
      </c>
      <c r="R520" s="63" t="s">
        <v>4156</v>
      </c>
      <c r="S520" s="63" t="s">
        <v>1607</v>
      </c>
      <c r="T520" s="63"/>
      <c r="U520" s="63"/>
      <c r="V520" s="63"/>
      <c r="W520" s="63"/>
      <c r="X520" s="63"/>
      <c r="Y520" s="63"/>
      <c r="Z520" s="63"/>
    </row>
    <row r="521" spans="1:26" ht="15.75" customHeight="1" x14ac:dyDescent="0.25">
      <c r="A521" s="63" t="s">
        <v>4104</v>
      </c>
      <c r="B521" s="63" t="s">
        <v>647</v>
      </c>
      <c r="C521" s="63" t="s">
        <v>492</v>
      </c>
      <c r="D521" s="63" t="s">
        <v>1595</v>
      </c>
      <c r="E521" s="63" t="s">
        <v>2999</v>
      </c>
      <c r="F521" s="63" t="s">
        <v>1597</v>
      </c>
      <c r="G521" s="63" t="s">
        <v>4158</v>
      </c>
      <c r="H521" s="63" t="s">
        <v>2938</v>
      </c>
      <c r="I521" s="63" t="s">
        <v>2783</v>
      </c>
      <c r="J521" s="63" t="s">
        <v>3385</v>
      </c>
      <c r="K521" s="63"/>
      <c r="L521" s="63" t="s">
        <v>1938</v>
      </c>
      <c r="M521" s="63" t="s">
        <v>1603</v>
      </c>
      <c r="N521" s="63" t="s">
        <v>1595</v>
      </c>
      <c r="O521" s="63" t="s">
        <v>1604</v>
      </c>
      <c r="P521" s="63" t="s">
        <v>1823</v>
      </c>
      <c r="Q521" s="63" t="s">
        <v>4159</v>
      </c>
      <c r="R521" s="63" t="s">
        <v>4160</v>
      </c>
      <c r="S521" s="63" t="s">
        <v>1607</v>
      </c>
      <c r="T521" s="63"/>
      <c r="U521" s="63"/>
      <c r="V521" s="63"/>
      <c r="W521" s="63"/>
      <c r="X521" s="63"/>
      <c r="Y521" s="63"/>
      <c r="Z521" s="63"/>
    </row>
    <row r="522" spans="1:26" ht="15.75" customHeight="1" x14ac:dyDescent="0.25">
      <c r="A522" s="63" t="s">
        <v>4109</v>
      </c>
      <c r="B522" s="63" t="s">
        <v>659</v>
      </c>
      <c r="C522" s="63" t="s">
        <v>498</v>
      </c>
      <c r="D522" s="63" t="s">
        <v>1595</v>
      </c>
      <c r="E522" s="63" t="s">
        <v>3262</v>
      </c>
      <c r="F522" s="63" t="s">
        <v>1597</v>
      </c>
      <c r="G522" s="63" t="s">
        <v>4162</v>
      </c>
      <c r="H522" s="63" t="s">
        <v>2210</v>
      </c>
      <c r="I522" s="63" t="s">
        <v>4163</v>
      </c>
      <c r="J522" s="63" t="s">
        <v>2703</v>
      </c>
      <c r="K522" s="63"/>
      <c r="L522" s="63" t="s">
        <v>1784</v>
      </c>
      <c r="M522" s="63" t="s">
        <v>1785</v>
      </c>
      <c r="N522" s="63" t="s">
        <v>1595</v>
      </c>
      <c r="O522" s="63" t="s">
        <v>1604</v>
      </c>
      <c r="P522" s="63" t="s">
        <v>1795</v>
      </c>
      <c r="Q522" s="63" t="s">
        <v>4164</v>
      </c>
      <c r="R522" s="63" t="s">
        <v>4165</v>
      </c>
      <c r="S522" s="63" t="s">
        <v>1607</v>
      </c>
      <c r="T522" s="63"/>
      <c r="U522" s="63"/>
      <c r="V522" s="63"/>
      <c r="W522" s="63"/>
      <c r="X522" s="63"/>
      <c r="Y522" s="63"/>
      <c r="Z522" s="63"/>
    </row>
    <row r="523" spans="1:26" ht="15.75" customHeight="1" x14ac:dyDescent="0.25">
      <c r="A523" s="63" t="s">
        <v>4114</v>
      </c>
      <c r="B523" s="63" t="s">
        <v>563</v>
      </c>
      <c r="C523" s="63" t="s">
        <v>450</v>
      </c>
      <c r="D523" s="63" t="s">
        <v>1595</v>
      </c>
      <c r="E523" s="63" t="s">
        <v>2244</v>
      </c>
      <c r="F523" s="63" t="s">
        <v>2079</v>
      </c>
      <c r="G523" s="63" t="s">
        <v>4167</v>
      </c>
      <c r="H523" s="63" t="s">
        <v>1627</v>
      </c>
      <c r="I523" s="63" t="s">
        <v>4168</v>
      </c>
      <c r="J523" s="63" t="s">
        <v>658</v>
      </c>
      <c r="K523" s="63"/>
      <c r="L523" s="63" t="s">
        <v>2100</v>
      </c>
      <c r="M523" s="63" t="s">
        <v>1630</v>
      </c>
      <c r="N523" s="63" t="s">
        <v>1595</v>
      </c>
      <c r="O523" s="63" t="s">
        <v>1604</v>
      </c>
      <c r="P523" s="63" t="s">
        <v>1631</v>
      </c>
      <c r="Q523" s="63" t="s">
        <v>4169</v>
      </c>
      <c r="R523" s="63" t="s">
        <v>4170</v>
      </c>
      <c r="S523" s="63" t="s">
        <v>1723</v>
      </c>
      <c r="T523" s="63"/>
      <c r="U523" s="63"/>
      <c r="V523" s="63"/>
      <c r="W523" s="63"/>
      <c r="X523" s="63"/>
      <c r="Y523" s="63"/>
      <c r="Z523" s="63"/>
    </row>
    <row r="524" spans="1:26" ht="15.75" customHeight="1" x14ac:dyDescent="0.25">
      <c r="A524" s="63" t="s">
        <v>4121</v>
      </c>
      <c r="B524" s="63" t="s">
        <v>667</v>
      </c>
      <c r="C524" s="63" t="s">
        <v>502</v>
      </c>
      <c r="D524" s="63" t="s">
        <v>3488</v>
      </c>
      <c r="E524" s="63" t="s">
        <v>4172</v>
      </c>
      <c r="F524" s="63" t="s">
        <v>1597</v>
      </c>
      <c r="G524" s="63" t="s">
        <v>4173</v>
      </c>
      <c r="H524" s="63" t="s">
        <v>1610</v>
      </c>
      <c r="I524" s="63" t="s">
        <v>4174</v>
      </c>
      <c r="J524" s="63" t="s">
        <v>2225</v>
      </c>
      <c r="K524" s="63" t="s">
        <v>2121</v>
      </c>
      <c r="L524" s="63" t="s">
        <v>1621</v>
      </c>
      <c r="M524" s="63" t="s">
        <v>1622</v>
      </c>
      <c r="N524" s="63" t="s">
        <v>1595</v>
      </c>
      <c r="O524" s="63" t="s">
        <v>1604</v>
      </c>
      <c r="P524" s="63" t="s">
        <v>1795</v>
      </c>
      <c r="Q524" s="63" t="s">
        <v>4175</v>
      </c>
      <c r="R524" s="63" t="s">
        <v>4176</v>
      </c>
      <c r="S524" s="63" t="s">
        <v>1607</v>
      </c>
      <c r="T524" s="63"/>
      <c r="U524" s="63"/>
      <c r="V524" s="63"/>
      <c r="W524" s="63"/>
      <c r="X524" s="63"/>
      <c r="Y524" s="63"/>
      <c r="Z524" s="63"/>
    </row>
    <row r="525" spans="1:26" ht="15.75" customHeight="1" x14ac:dyDescent="0.25">
      <c r="A525" s="63" t="s">
        <v>4128</v>
      </c>
      <c r="B525" s="63" t="s">
        <v>1463</v>
      </c>
      <c r="C525" s="63" t="s">
        <v>89</v>
      </c>
      <c r="D525" s="63" t="s">
        <v>1595</v>
      </c>
      <c r="E525" s="63" t="s">
        <v>4178</v>
      </c>
      <c r="F525" s="63" t="s">
        <v>1597</v>
      </c>
      <c r="G525" s="63" t="s">
        <v>4179</v>
      </c>
      <c r="H525" s="63" t="s">
        <v>1619</v>
      </c>
      <c r="I525" s="63" t="s">
        <v>4180</v>
      </c>
      <c r="J525" s="63" t="s">
        <v>2204</v>
      </c>
      <c r="K525" s="63" t="s">
        <v>1601</v>
      </c>
      <c r="L525" s="63" t="s">
        <v>1920</v>
      </c>
      <c r="M525" s="63" t="s">
        <v>1812</v>
      </c>
      <c r="N525" s="63" t="s">
        <v>1595</v>
      </c>
      <c r="O525" s="63" t="s">
        <v>1604</v>
      </c>
      <c r="P525" s="63" t="s">
        <v>1790</v>
      </c>
      <c r="Q525" s="63" t="s">
        <v>4181</v>
      </c>
      <c r="R525" s="63" t="s">
        <v>4181</v>
      </c>
      <c r="S525" s="63" t="s">
        <v>1633</v>
      </c>
      <c r="T525" s="63"/>
      <c r="U525" s="63"/>
      <c r="V525" s="63"/>
      <c r="W525" s="63"/>
      <c r="X525" s="63"/>
      <c r="Y525" s="63"/>
      <c r="Z525" s="63"/>
    </row>
    <row r="526" spans="1:26" ht="15.75" customHeight="1" x14ac:dyDescent="0.25">
      <c r="A526" s="63" t="s">
        <v>4134</v>
      </c>
      <c r="B526" s="63" t="s">
        <v>1449</v>
      </c>
      <c r="C526" s="63" t="s">
        <v>82</v>
      </c>
      <c r="D526" s="63" t="s">
        <v>1595</v>
      </c>
      <c r="E526" s="63" t="s">
        <v>4183</v>
      </c>
      <c r="F526" s="63" t="s">
        <v>1597</v>
      </c>
      <c r="G526" s="63" t="s">
        <v>4184</v>
      </c>
      <c r="H526" s="63" t="s">
        <v>1610</v>
      </c>
      <c r="I526" s="63" t="s">
        <v>4185</v>
      </c>
      <c r="J526" s="63" t="s">
        <v>590</v>
      </c>
      <c r="K526" s="63" t="s">
        <v>2121</v>
      </c>
      <c r="L526" s="63" t="s">
        <v>2065</v>
      </c>
      <c r="M526" s="63" t="s">
        <v>1622</v>
      </c>
      <c r="N526" s="63" t="s">
        <v>1595</v>
      </c>
      <c r="O526" s="63" t="s">
        <v>1604</v>
      </c>
      <c r="P526" s="63" t="s">
        <v>1790</v>
      </c>
      <c r="Q526" s="63" t="s">
        <v>4186</v>
      </c>
      <c r="R526" s="63" t="s">
        <v>4187</v>
      </c>
      <c r="S526" s="63" t="s">
        <v>1616</v>
      </c>
      <c r="T526" s="63"/>
      <c r="U526" s="63"/>
      <c r="V526" s="63"/>
      <c r="W526" s="63"/>
      <c r="X526" s="63"/>
      <c r="Y526" s="63"/>
      <c r="Z526" s="63"/>
    </row>
    <row r="527" spans="1:26" ht="15.75" customHeight="1" x14ac:dyDescent="0.25">
      <c r="A527" s="63" t="s">
        <v>4138</v>
      </c>
      <c r="B527" s="63" t="s">
        <v>1525</v>
      </c>
      <c r="C527" s="63" t="s">
        <v>119</v>
      </c>
      <c r="D527" s="63" t="s">
        <v>1595</v>
      </c>
      <c r="E527" s="63" t="s">
        <v>1855</v>
      </c>
      <c r="F527" s="63" t="s">
        <v>1597</v>
      </c>
      <c r="G527" s="63" t="s">
        <v>2503</v>
      </c>
      <c r="H527" s="63" t="s">
        <v>1610</v>
      </c>
      <c r="I527" s="63" t="s">
        <v>4190</v>
      </c>
      <c r="J527" s="63" t="s">
        <v>650</v>
      </c>
      <c r="K527" s="63"/>
      <c r="L527" s="63" t="s">
        <v>2065</v>
      </c>
      <c r="M527" s="63" t="s">
        <v>1622</v>
      </c>
      <c r="N527" s="63" t="s">
        <v>1595</v>
      </c>
      <c r="O527" s="63" t="s">
        <v>1604</v>
      </c>
      <c r="P527" s="63" t="s">
        <v>1790</v>
      </c>
      <c r="Q527" s="63" t="s">
        <v>4191</v>
      </c>
      <c r="R527" s="63" t="s">
        <v>5125</v>
      </c>
      <c r="S527" s="63" t="s">
        <v>1723</v>
      </c>
      <c r="T527" s="63"/>
      <c r="U527" s="63"/>
      <c r="V527" s="63"/>
      <c r="W527" s="63"/>
      <c r="X527" s="63"/>
      <c r="Y527" s="63"/>
      <c r="Z527" s="63"/>
    </row>
    <row r="528" spans="1:26" ht="15.75" customHeight="1" x14ac:dyDescent="0.25">
      <c r="A528" s="63" t="s">
        <v>4145</v>
      </c>
      <c r="B528" s="63" t="s">
        <v>569</v>
      </c>
      <c r="C528" s="63" t="s">
        <v>453</v>
      </c>
      <c r="D528" s="63" t="s">
        <v>1595</v>
      </c>
      <c r="E528" s="63" t="s">
        <v>4193</v>
      </c>
      <c r="F528" s="63" t="s">
        <v>2079</v>
      </c>
      <c r="G528" s="63" t="s">
        <v>4194</v>
      </c>
      <c r="H528" s="63" t="s">
        <v>1610</v>
      </c>
      <c r="I528" s="63" t="s">
        <v>3049</v>
      </c>
      <c r="J528" s="63" t="s">
        <v>2718</v>
      </c>
      <c r="K528" s="63" t="s">
        <v>2121</v>
      </c>
      <c r="L528" s="63" t="s">
        <v>1785</v>
      </c>
      <c r="M528" s="63" t="s">
        <v>1785</v>
      </c>
      <c r="N528" s="63" t="s">
        <v>1595</v>
      </c>
      <c r="O528" s="63" t="s">
        <v>1604</v>
      </c>
      <c r="P528" s="63" t="s">
        <v>1786</v>
      </c>
      <c r="Q528" s="63" t="s">
        <v>4195</v>
      </c>
      <c r="R528" s="63" t="s">
        <v>4196</v>
      </c>
      <c r="S528" s="63" t="s">
        <v>1607</v>
      </c>
      <c r="T528" s="63"/>
      <c r="U528" s="63"/>
      <c r="V528" s="63"/>
      <c r="W528" s="63"/>
      <c r="X528" s="63"/>
      <c r="Y528" s="63"/>
      <c r="Z528" s="63"/>
    </row>
    <row r="529" spans="1:26" ht="15.75" customHeight="1" x14ac:dyDescent="0.25">
      <c r="A529" s="63" t="s">
        <v>4152</v>
      </c>
      <c r="B529" s="63" t="s">
        <v>755</v>
      </c>
      <c r="C529" s="63" t="s">
        <v>42</v>
      </c>
      <c r="D529" s="63" t="s">
        <v>3488</v>
      </c>
      <c r="E529" s="63" t="s">
        <v>3522</v>
      </c>
      <c r="F529" s="63" t="s">
        <v>1597</v>
      </c>
      <c r="G529" s="63" t="s">
        <v>4198</v>
      </c>
      <c r="H529" s="63" t="s">
        <v>1742</v>
      </c>
      <c r="I529" s="63" t="s">
        <v>4199</v>
      </c>
      <c r="J529" s="63" t="s">
        <v>2225</v>
      </c>
      <c r="K529" s="63" t="s">
        <v>1601</v>
      </c>
      <c r="L529" s="63" t="s">
        <v>2282</v>
      </c>
      <c r="M529" s="63" t="s">
        <v>1595</v>
      </c>
      <c r="N529" s="63" t="s">
        <v>1595</v>
      </c>
      <c r="O529" s="63" t="s">
        <v>1604</v>
      </c>
      <c r="P529" s="63" t="s">
        <v>2134</v>
      </c>
      <c r="Q529" s="63" t="s">
        <v>4200</v>
      </c>
      <c r="R529" s="63" t="s">
        <v>4201</v>
      </c>
      <c r="S529" s="63" t="s">
        <v>538</v>
      </c>
      <c r="T529" s="63"/>
      <c r="U529" s="63"/>
      <c r="V529" s="63"/>
      <c r="W529" s="63"/>
      <c r="X529" s="63"/>
      <c r="Y529" s="63"/>
      <c r="Z529" s="63"/>
    </row>
    <row r="530" spans="1:26" ht="15.75" customHeight="1" x14ac:dyDescent="0.25">
      <c r="A530" s="63" t="s">
        <v>4157</v>
      </c>
      <c r="B530" s="63" t="s">
        <v>599</v>
      </c>
      <c r="C530" s="63" t="s">
        <v>468</v>
      </c>
      <c r="D530" s="63" t="s">
        <v>1595</v>
      </c>
      <c r="E530" s="63" t="s">
        <v>2092</v>
      </c>
      <c r="F530" s="63" t="s">
        <v>2079</v>
      </c>
      <c r="G530" s="63" t="s">
        <v>4203</v>
      </c>
      <c r="H530" s="63" t="s">
        <v>1619</v>
      </c>
      <c r="I530" s="63" t="s">
        <v>1654</v>
      </c>
      <c r="J530" s="63" t="s">
        <v>3467</v>
      </c>
      <c r="K530" s="63"/>
      <c r="L530" s="63" t="s">
        <v>1670</v>
      </c>
      <c r="M530" s="63" t="s">
        <v>1654</v>
      </c>
      <c r="N530" s="63" t="s">
        <v>1595</v>
      </c>
      <c r="O530" s="63" t="s">
        <v>1604</v>
      </c>
      <c r="P530" s="63" t="s">
        <v>1671</v>
      </c>
      <c r="Q530" s="63" t="s">
        <v>4204</v>
      </c>
      <c r="R530" s="63" t="s">
        <v>4205</v>
      </c>
      <c r="S530" s="63" t="s">
        <v>1607</v>
      </c>
      <c r="T530" s="63"/>
      <c r="U530" s="63"/>
      <c r="V530" s="63"/>
      <c r="W530" s="63"/>
      <c r="X530" s="63"/>
      <c r="Y530" s="63"/>
      <c r="Z530" s="63"/>
    </row>
    <row r="531" spans="1:26" ht="15.75" customHeight="1" x14ac:dyDescent="0.25">
      <c r="A531" s="63" t="s">
        <v>4161</v>
      </c>
      <c r="B531" s="63" t="s">
        <v>1519</v>
      </c>
      <c r="C531" s="63" t="s">
        <v>116</v>
      </c>
      <c r="D531" s="63" t="s">
        <v>1595</v>
      </c>
      <c r="E531" s="63" t="s">
        <v>2773</v>
      </c>
      <c r="F531" s="63" t="s">
        <v>1597</v>
      </c>
      <c r="G531" s="63" t="s">
        <v>4207</v>
      </c>
      <c r="H531" s="63" t="s">
        <v>1610</v>
      </c>
      <c r="I531" s="63" t="s">
        <v>2367</v>
      </c>
      <c r="J531" s="63" t="s">
        <v>1601</v>
      </c>
      <c r="K531" s="63" t="s">
        <v>1601</v>
      </c>
      <c r="L531" s="63" t="s">
        <v>1602</v>
      </c>
      <c r="M531" s="63" t="s">
        <v>1603</v>
      </c>
      <c r="N531" s="63" t="s">
        <v>1595</v>
      </c>
      <c r="O531" s="63" t="s">
        <v>1604</v>
      </c>
      <c r="P531" s="63" t="s">
        <v>1605</v>
      </c>
      <c r="Q531" s="63" t="s">
        <v>4208</v>
      </c>
      <c r="R531" s="63" t="s">
        <v>4208</v>
      </c>
      <c r="S531" s="63" t="s">
        <v>1723</v>
      </c>
      <c r="T531" s="63"/>
      <c r="U531" s="63"/>
      <c r="V531" s="63"/>
      <c r="W531" s="63"/>
      <c r="X531" s="63"/>
      <c r="Y531" s="63"/>
      <c r="Z531" s="63"/>
    </row>
    <row r="532" spans="1:26" ht="15.75" customHeight="1" x14ac:dyDescent="0.25">
      <c r="A532" s="63" t="s">
        <v>4166</v>
      </c>
      <c r="B532" s="63" t="s">
        <v>1455</v>
      </c>
      <c r="C532" s="63" t="s">
        <v>85</v>
      </c>
      <c r="D532" s="63" t="s">
        <v>1595</v>
      </c>
      <c r="E532" s="63" t="s">
        <v>2152</v>
      </c>
      <c r="F532" s="63" t="s">
        <v>1597</v>
      </c>
      <c r="G532" s="63" t="s">
        <v>4210</v>
      </c>
      <c r="H532" s="63" t="s">
        <v>1619</v>
      </c>
      <c r="I532" s="63" t="s">
        <v>4211</v>
      </c>
      <c r="J532" s="63" t="s">
        <v>2718</v>
      </c>
      <c r="K532" s="63" t="s">
        <v>1601</v>
      </c>
      <c r="L532" s="63" t="s">
        <v>1686</v>
      </c>
      <c r="M532" s="63" t="s">
        <v>1687</v>
      </c>
      <c r="N532" s="63" t="s">
        <v>1595</v>
      </c>
      <c r="O532" s="63" t="s">
        <v>1604</v>
      </c>
      <c r="P532" s="63" t="s">
        <v>1751</v>
      </c>
      <c r="Q532" s="63" t="s">
        <v>4212</v>
      </c>
      <c r="R532" s="63" t="s">
        <v>4213</v>
      </c>
      <c r="S532" s="63" t="s">
        <v>1616</v>
      </c>
      <c r="T532" s="63"/>
      <c r="U532" s="63"/>
      <c r="V532" s="63"/>
      <c r="W532" s="63"/>
      <c r="X532" s="63"/>
      <c r="Y532" s="63"/>
      <c r="Z532" s="63"/>
    </row>
    <row r="533" spans="1:26" ht="15.75" customHeight="1" x14ac:dyDescent="0.25">
      <c r="A533" s="63" t="s">
        <v>4171</v>
      </c>
      <c r="B533" s="63" t="s">
        <v>665</v>
      </c>
      <c r="C533" s="63" t="s">
        <v>501</v>
      </c>
      <c r="D533" s="63" t="s">
        <v>1595</v>
      </c>
      <c r="E533" s="63" t="s">
        <v>4215</v>
      </c>
      <c r="F533" s="63" t="s">
        <v>1597</v>
      </c>
      <c r="G533" s="63" t="s">
        <v>4216</v>
      </c>
      <c r="H533" s="63" t="s">
        <v>1610</v>
      </c>
      <c r="I533" s="63" t="s">
        <v>1620</v>
      </c>
      <c r="J533" s="63" t="s">
        <v>2483</v>
      </c>
      <c r="K533" s="63" t="s">
        <v>1601</v>
      </c>
      <c r="L533" s="63" t="s">
        <v>1621</v>
      </c>
      <c r="M533" s="63" t="s">
        <v>1622</v>
      </c>
      <c r="N533" s="63" t="s">
        <v>1595</v>
      </c>
      <c r="O533" s="63" t="s">
        <v>1604</v>
      </c>
      <c r="P533" s="63" t="s">
        <v>2095</v>
      </c>
      <c r="Q533" s="63" t="s">
        <v>4217</v>
      </c>
      <c r="R533" s="63" t="s">
        <v>4218</v>
      </c>
      <c r="S533" s="63" t="s">
        <v>1607</v>
      </c>
      <c r="T533" s="63"/>
      <c r="U533" s="63"/>
      <c r="V533" s="63"/>
      <c r="W533" s="63"/>
      <c r="X533" s="63"/>
      <c r="Y533" s="63"/>
      <c r="Z533" s="63"/>
    </row>
    <row r="534" spans="1:26" ht="15.75" customHeight="1" x14ac:dyDescent="0.25">
      <c r="A534" s="63" t="s">
        <v>4177</v>
      </c>
      <c r="B534" s="63" t="s">
        <v>1057</v>
      </c>
      <c r="C534" s="63" t="s">
        <v>439</v>
      </c>
      <c r="D534" s="63" t="s">
        <v>1595</v>
      </c>
      <c r="E534" s="63" t="s">
        <v>3457</v>
      </c>
      <c r="F534" s="63" t="s">
        <v>1597</v>
      </c>
      <c r="G534" s="63" t="s">
        <v>4220</v>
      </c>
      <c r="H534" s="63" t="s">
        <v>1610</v>
      </c>
      <c r="I534" s="63" t="s">
        <v>1630</v>
      </c>
      <c r="J534" s="63" t="s">
        <v>720</v>
      </c>
      <c r="K534" s="63"/>
      <c r="L534" s="63" t="s">
        <v>2065</v>
      </c>
      <c r="M534" s="63" t="s">
        <v>1622</v>
      </c>
      <c r="N534" s="63" t="s">
        <v>1595</v>
      </c>
      <c r="O534" s="63" t="s">
        <v>1604</v>
      </c>
      <c r="P534" s="63" t="s">
        <v>4221</v>
      </c>
      <c r="Q534" s="63" t="s">
        <v>4222</v>
      </c>
      <c r="R534" s="63" t="s">
        <v>4223</v>
      </c>
      <c r="S534" s="63" t="s">
        <v>1616</v>
      </c>
      <c r="T534" s="63"/>
      <c r="U534" s="63"/>
      <c r="V534" s="63"/>
      <c r="W534" s="63"/>
      <c r="X534" s="63"/>
      <c r="Y534" s="63"/>
      <c r="Z534" s="63"/>
    </row>
    <row r="535" spans="1:26" ht="15.75" customHeight="1" x14ac:dyDescent="0.25">
      <c r="A535" s="63" t="s">
        <v>4182</v>
      </c>
      <c r="B535" s="63" t="s">
        <v>1475</v>
      </c>
      <c r="C535" s="63" t="s">
        <v>95</v>
      </c>
      <c r="D535" s="63" t="s">
        <v>1595</v>
      </c>
      <c r="E535" s="63" t="s">
        <v>3610</v>
      </c>
      <c r="F535" s="63" t="s">
        <v>1597</v>
      </c>
      <c r="G535" s="63" t="s">
        <v>1845</v>
      </c>
      <c r="H535" s="63" t="s">
        <v>1610</v>
      </c>
      <c r="I535" s="63" t="s">
        <v>4225</v>
      </c>
      <c r="J535" s="63" t="s">
        <v>590</v>
      </c>
      <c r="K535" s="63" t="s">
        <v>1601</v>
      </c>
      <c r="L535" s="63" t="s">
        <v>2100</v>
      </c>
      <c r="M535" s="63" t="s">
        <v>1630</v>
      </c>
      <c r="N535" s="63" t="s">
        <v>1595</v>
      </c>
      <c r="O535" s="63" t="s">
        <v>1604</v>
      </c>
      <c r="P535" s="63" t="s">
        <v>2892</v>
      </c>
      <c r="Q535" s="63" t="s">
        <v>4226</v>
      </c>
      <c r="R535" s="63" t="s">
        <v>4227</v>
      </c>
      <c r="S535" s="63" t="s">
        <v>1633</v>
      </c>
      <c r="T535" s="63"/>
      <c r="U535" s="63"/>
      <c r="V535" s="63"/>
      <c r="W535" s="63"/>
      <c r="X535" s="63"/>
      <c r="Y535" s="63"/>
      <c r="Z535" s="63"/>
    </row>
    <row r="536" spans="1:26" ht="15.75" customHeight="1" x14ac:dyDescent="0.25">
      <c r="A536" s="63" t="s">
        <v>4188</v>
      </c>
      <c r="B536" s="63" t="s">
        <v>849</v>
      </c>
      <c r="C536" s="63" t="s">
        <v>340</v>
      </c>
      <c r="D536" s="63" t="s">
        <v>1595</v>
      </c>
      <c r="E536" s="63" t="s">
        <v>1724</v>
      </c>
      <c r="F536" s="63" t="s">
        <v>1597</v>
      </c>
      <c r="G536" s="63" t="s">
        <v>4229</v>
      </c>
      <c r="H536" s="63" t="s">
        <v>4230</v>
      </c>
      <c r="I536" s="63" t="s">
        <v>4168</v>
      </c>
      <c r="J536" s="63" t="s">
        <v>4231</v>
      </c>
      <c r="K536" s="63" t="s">
        <v>1601</v>
      </c>
      <c r="L536" s="63" t="s">
        <v>2100</v>
      </c>
      <c r="M536" s="63" t="s">
        <v>1630</v>
      </c>
      <c r="N536" s="63" t="s">
        <v>1595</v>
      </c>
      <c r="O536" s="63" t="s">
        <v>1604</v>
      </c>
      <c r="P536" s="63" t="s">
        <v>1680</v>
      </c>
      <c r="Q536" s="63" t="s">
        <v>4232</v>
      </c>
      <c r="R536" s="63" t="s">
        <v>4233</v>
      </c>
      <c r="S536" s="63" t="s">
        <v>1633</v>
      </c>
      <c r="T536" s="63"/>
      <c r="U536" s="63"/>
      <c r="V536" s="63"/>
      <c r="W536" s="63"/>
      <c r="X536" s="63"/>
      <c r="Y536" s="63"/>
      <c r="Z536" s="63"/>
    </row>
    <row r="537" spans="1:26" ht="15.75" customHeight="1" x14ac:dyDescent="0.25">
      <c r="A537" s="63" t="s">
        <v>4189</v>
      </c>
      <c r="B537" s="63" t="s">
        <v>1427</v>
      </c>
      <c r="C537" s="63" t="s">
        <v>70</v>
      </c>
      <c r="D537" s="63" t="s">
        <v>1595</v>
      </c>
      <c r="E537" s="63" t="s">
        <v>4235</v>
      </c>
      <c r="F537" s="63" t="s">
        <v>1597</v>
      </c>
      <c r="G537" s="63" t="s">
        <v>4236</v>
      </c>
      <c r="H537" s="63" t="s">
        <v>4237</v>
      </c>
      <c r="I537" s="63" t="s">
        <v>1937</v>
      </c>
      <c r="J537" s="63" t="s">
        <v>2483</v>
      </c>
      <c r="K537" s="63" t="s">
        <v>1601</v>
      </c>
      <c r="L537" s="63" t="s">
        <v>1822</v>
      </c>
      <c r="M537" s="63" t="s">
        <v>1613</v>
      </c>
      <c r="N537" s="63" t="s">
        <v>1595</v>
      </c>
      <c r="O537" s="63" t="s">
        <v>1604</v>
      </c>
      <c r="P537" s="63" t="s">
        <v>1666</v>
      </c>
      <c r="Q537" s="63" t="s">
        <v>4238</v>
      </c>
      <c r="R537" s="63" t="s">
        <v>4239</v>
      </c>
      <c r="S537" s="63" t="s">
        <v>1616</v>
      </c>
      <c r="T537" s="63"/>
      <c r="U537" s="63"/>
      <c r="V537" s="63"/>
      <c r="W537" s="63"/>
      <c r="X537" s="63"/>
      <c r="Y537" s="63"/>
      <c r="Z537" s="63"/>
    </row>
    <row r="538" spans="1:26" ht="15.75" customHeight="1" x14ac:dyDescent="0.25">
      <c r="A538" s="63" t="s">
        <v>4192</v>
      </c>
      <c r="B538" s="63" t="s">
        <v>573</v>
      </c>
      <c r="C538" s="63" t="s">
        <v>455</v>
      </c>
      <c r="D538" s="63" t="s">
        <v>1595</v>
      </c>
      <c r="E538" s="63" t="s">
        <v>2414</v>
      </c>
      <c r="F538" s="63" t="s">
        <v>1597</v>
      </c>
      <c r="G538" s="63" t="s">
        <v>4241</v>
      </c>
      <c r="H538" s="63" t="s">
        <v>1610</v>
      </c>
      <c r="I538" s="63" t="s">
        <v>4242</v>
      </c>
      <c r="J538" s="63" t="s">
        <v>566</v>
      </c>
      <c r="K538" s="63" t="s">
        <v>1601</v>
      </c>
      <c r="L538" s="63" t="s">
        <v>3356</v>
      </c>
      <c r="M538" s="63" t="s">
        <v>1630</v>
      </c>
      <c r="N538" s="63" t="s">
        <v>1595</v>
      </c>
      <c r="O538" s="63" t="s">
        <v>1604</v>
      </c>
      <c r="P538" s="63" t="s">
        <v>2061</v>
      </c>
      <c r="Q538" s="63" t="s">
        <v>4243</v>
      </c>
      <c r="R538" s="63" t="s">
        <v>4244</v>
      </c>
      <c r="S538" s="63" t="s">
        <v>1607</v>
      </c>
      <c r="T538" s="63"/>
      <c r="U538" s="63"/>
      <c r="V538" s="63"/>
      <c r="W538" s="63"/>
      <c r="X538" s="63"/>
      <c r="Y538" s="63"/>
      <c r="Z538" s="63"/>
    </row>
    <row r="539" spans="1:26" ht="15.75" customHeight="1" x14ac:dyDescent="0.25">
      <c r="A539" s="63" t="s">
        <v>4197</v>
      </c>
      <c r="B539" s="63" t="s">
        <v>1383</v>
      </c>
      <c r="C539" s="63" t="s">
        <v>289</v>
      </c>
      <c r="D539" s="63" t="s">
        <v>1595</v>
      </c>
      <c r="E539" s="63" t="s">
        <v>4246</v>
      </c>
      <c r="F539" s="63" t="s">
        <v>1597</v>
      </c>
      <c r="G539" s="63" t="s">
        <v>4247</v>
      </c>
      <c r="H539" s="63" t="s">
        <v>1610</v>
      </c>
      <c r="I539" s="63" t="s">
        <v>4248</v>
      </c>
      <c r="J539" s="63" t="s">
        <v>2225</v>
      </c>
      <c r="K539" s="63" t="s">
        <v>1601</v>
      </c>
      <c r="L539" s="63" t="s">
        <v>1832</v>
      </c>
      <c r="M539" s="63" t="s">
        <v>1630</v>
      </c>
      <c r="N539" s="63" t="s">
        <v>1595</v>
      </c>
      <c r="O539" s="63" t="s">
        <v>1604</v>
      </c>
      <c r="P539" s="63" t="s">
        <v>1631</v>
      </c>
      <c r="Q539" s="63" t="s">
        <v>4249</v>
      </c>
      <c r="R539" s="63" t="s">
        <v>4250</v>
      </c>
      <c r="S539" s="63" t="s">
        <v>1633</v>
      </c>
      <c r="T539" s="63"/>
      <c r="U539" s="63"/>
      <c r="V539" s="63"/>
      <c r="W539" s="63"/>
      <c r="X539" s="63"/>
      <c r="Y539" s="63"/>
      <c r="Z539" s="63"/>
    </row>
    <row r="540" spans="1:26" ht="15.75" customHeight="1" x14ac:dyDescent="0.25">
      <c r="A540" s="63" t="s">
        <v>4202</v>
      </c>
      <c r="B540" s="63" t="s">
        <v>737</v>
      </c>
      <c r="C540" s="63" t="s">
        <v>33</v>
      </c>
      <c r="D540" s="63" t="s">
        <v>1595</v>
      </c>
      <c r="E540" s="63" t="s">
        <v>4252</v>
      </c>
      <c r="F540" s="63" t="s">
        <v>1597</v>
      </c>
      <c r="G540" s="63" t="s">
        <v>4253</v>
      </c>
      <c r="H540" s="63" t="s">
        <v>2210</v>
      </c>
      <c r="I540" s="63" t="s">
        <v>4254</v>
      </c>
      <c r="J540" s="63" t="s">
        <v>2204</v>
      </c>
      <c r="K540" s="63" t="s">
        <v>1601</v>
      </c>
      <c r="L540" s="63" t="s">
        <v>1784</v>
      </c>
      <c r="M540" s="63" t="s">
        <v>1785</v>
      </c>
      <c r="N540" s="63" t="s">
        <v>1595</v>
      </c>
      <c r="O540" s="63" t="s">
        <v>1604</v>
      </c>
      <c r="P540" s="63" t="s">
        <v>1795</v>
      </c>
      <c r="Q540" s="63" t="s">
        <v>4255</v>
      </c>
      <c r="R540" s="63" t="s">
        <v>4255</v>
      </c>
      <c r="S540" s="63" t="s">
        <v>1633</v>
      </c>
      <c r="T540" s="63"/>
      <c r="U540" s="63"/>
      <c r="V540" s="63"/>
      <c r="W540" s="63"/>
      <c r="X540" s="63"/>
      <c r="Y540" s="63"/>
      <c r="Z540" s="63"/>
    </row>
    <row r="541" spans="1:26" ht="15.75" customHeight="1" x14ac:dyDescent="0.25">
      <c r="A541" s="63" t="s">
        <v>4206</v>
      </c>
      <c r="B541" s="63" t="s">
        <v>4257</v>
      </c>
      <c r="C541" s="63" t="s">
        <v>4258</v>
      </c>
      <c r="D541" s="63" t="s">
        <v>1595</v>
      </c>
      <c r="E541" s="63" t="s">
        <v>4259</v>
      </c>
      <c r="F541" s="63" t="s">
        <v>1597</v>
      </c>
      <c r="G541" s="63" t="s">
        <v>4260</v>
      </c>
      <c r="H541" s="63" t="s">
        <v>2210</v>
      </c>
      <c r="I541" s="63" t="s">
        <v>4261</v>
      </c>
      <c r="J541" s="63" t="s">
        <v>2939</v>
      </c>
      <c r="K541" s="63" t="s">
        <v>1601</v>
      </c>
      <c r="L541" s="63" t="s">
        <v>1595</v>
      </c>
      <c r="M541" s="63" t="s">
        <v>1595</v>
      </c>
      <c r="N541" s="63" t="s">
        <v>1595</v>
      </c>
      <c r="O541" s="63" t="s">
        <v>1604</v>
      </c>
      <c r="P541" s="63" t="s">
        <v>3679</v>
      </c>
      <c r="Q541" s="63" t="s">
        <v>4262</v>
      </c>
      <c r="R541" s="63" t="s">
        <v>4263</v>
      </c>
      <c r="S541" s="63" t="s">
        <v>1616</v>
      </c>
      <c r="T541" s="63"/>
      <c r="U541" s="63"/>
      <c r="V541" s="63"/>
      <c r="W541" s="63"/>
      <c r="X541" s="63"/>
      <c r="Y541" s="63"/>
      <c r="Z541" s="63"/>
    </row>
    <row r="542" spans="1:26" ht="15.75" customHeight="1" x14ac:dyDescent="0.25">
      <c r="A542" s="63" t="s">
        <v>4209</v>
      </c>
      <c r="B542" s="63" t="s">
        <v>4265</v>
      </c>
      <c r="C542" s="63" t="s">
        <v>4266</v>
      </c>
      <c r="D542" s="63" t="s">
        <v>1595</v>
      </c>
      <c r="E542" s="63" t="s">
        <v>3993</v>
      </c>
      <c r="F542" s="63" t="s">
        <v>1597</v>
      </c>
      <c r="G542" s="63" t="s">
        <v>4267</v>
      </c>
      <c r="H542" s="63" t="s">
        <v>1610</v>
      </c>
      <c r="I542" s="63" t="s">
        <v>4155</v>
      </c>
      <c r="J542" s="63" t="s">
        <v>572</v>
      </c>
      <c r="K542" s="63" t="s">
        <v>2468</v>
      </c>
      <c r="L542" s="63" t="s">
        <v>2320</v>
      </c>
      <c r="M542" s="63" t="s">
        <v>1622</v>
      </c>
      <c r="N542" s="63" t="s">
        <v>1595</v>
      </c>
      <c r="O542" s="63" t="s">
        <v>1604</v>
      </c>
      <c r="P542" s="63" t="s">
        <v>3479</v>
      </c>
      <c r="Q542" s="63" t="s">
        <v>4268</v>
      </c>
      <c r="R542" s="63" t="s">
        <v>4269</v>
      </c>
      <c r="S542" s="63" t="s">
        <v>1633</v>
      </c>
      <c r="T542" s="63"/>
      <c r="U542" s="63"/>
      <c r="V542" s="63"/>
      <c r="W542" s="63"/>
      <c r="X542" s="63"/>
      <c r="Y542" s="63"/>
      <c r="Z542" s="63"/>
    </row>
    <row r="543" spans="1:26" ht="15.75" customHeight="1" x14ac:dyDescent="0.25">
      <c r="A543" s="63" t="s">
        <v>4214</v>
      </c>
      <c r="B543" s="63" t="s">
        <v>4271</v>
      </c>
      <c r="C543" s="63" t="s">
        <v>4272</v>
      </c>
      <c r="D543" s="63" t="s">
        <v>1595</v>
      </c>
      <c r="E543" s="63" t="s">
        <v>1788</v>
      </c>
      <c r="F543" s="63" t="s">
        <v>2079</v>
      </c>
      <c r="G543" s="63" t="s">
        <v>4273</v>
      </c>
      <c r="H543" s="63" t="s">
        <v>1610</v>
      </c>
      <c r="I543" s="63" t="s">
        <v>4274</v>
      </c>
      <c r="J543" s="63" t="s">
        <v>2547</v>
      </c>
      <c r="K543" s="63"/>
      <c r="L543" s="63" t="s">
        <v>2996</v>
      </c>
      <c r="M543" s="63" t="s">
        <v>2283</v>
      </c>
      <c r="N543" s="63" t="s">
        <v>1595</v>
      </c>
      <c r="O543" s="63" t="s">
        <v>1604</v>
      </c>
      <c r="P543" s="63" t="s">
        <v>3313</v>
      </c>
      <c r="Q543" s="63" t="s">
        <v>4275</v>
      </c>
      <c r="R543" s="63" t="s">
        <v>4275</v>
      </c>
      <c r="S543" s="63" t="s">
        <v>1607</v>
      </c>
      <c r="T543" s="63"/>
      <c r="U543" s="63"/>
      <c r="V543" s="63"/>
      <c r="W543" s="63"/>
      <c r="X543" s="63"/>
      <c r="Y543" s="63"/>
      <c r="Z543" s="63"/>
    </row>
    <row r="544" spans="1:26" ht="15.75" customHeight="1" x14ac:dyDescent="0.25">
      <c r="A544" s="63" t="s">
        <v>4219</v>
      </c>
      <c r="B544" s="63" t="s">
        <v>1507</v>
      </c>
      <c r="C544" s="63" t="s">
        <v>73</v>
      </c>
      <c r="D544" s="63" t="s">
        <v>1595</v>
      </c>
      <c r="E544" s="63" t="s">
        <v>3922</v>
      </c>
      <c r="F544" s="63" t="s">
        <v>1597</v>
      </c>
      <c r="G544" s="63" t="s">
        <v>4277</v>
      </c>
      <c r="H544" s="63" t="s">
        <v>2938</v>
      </c>
      <c r="I544" s="63" t="s">
        <v>4278</v>
      </c>
      <c r="J544" s="63" t="s">
        <v>556</v>
      </c>
      <c r="K544" s="63"/>
      <c r="L544" s="63" t="s">
        <v>1706</v>
      </c>
      <c r="M544" s="63" t="s">
        <v>1696</v>
      </c>
      <c r="N544" s="63" t="s">
        <v>1595</v>
      </c>
      <c r="O544" s="63" t="s">
        <v>1604</v>
      </c>
      <c r="P544" s="63" t="s">
        <v>1817</v>
      </c>
      <c r="Q544" s="63" t="s">
        <v>4279</v>
      </c>
      <c r="R544" s="63" t="s">
        <v>4280</v>
      </c>
      <c r="S544" s="63" t="s">
        <v>1616</v>
      </c>
      <c r="T544" s="63"/>
      <c r="U544" s="63"/>
      <c r="V544" s="63"/>
      <c r="W544" s="63"/>
      <c r="X544" s="63"/>
      <c r="Y544" s="63"/>
      <c r="Z544" s="63"/>
    </row>
    <row r="545" spans="1:26" ht="15.75" customHeight="1" x14ac:dyDescent="0.25">
      <c r="A545" s="63" t="s">
        <v>4224</v>
      </c>
      <c r="B545" s="63" t="s">
        <v>1489</v>
      </c>
      <c r="C545" s="63" t="s">
        <v>102</v>
      </c>
      <c r="D545" s="63" t="s">
        <v>1595</v>
      </c>
      <c r="E545" s="63" t="s">
        <v>4282</v>
      </c>
      <c r="F545" s="63" t="s">
        <v>1597</v>
      </c>
      <c r="G545" s="63" t="s">
        <v>4283</v>
      </c>
      <c r="H545" s="63" t="s">
        <v>1610</v>
      </c>
      <c r="I545" s="63" t="s">
        <v>4284</v>
      </c>
      <c r="J545" s="63" t="s">
        <v>552</v>
      </c>
      <c r="K545" s="63"/>
      <c r="L545" s="63" t="s">
        <v>3567</v>
      </c>
      <c r="M545" s="63" t="s">
        <v>1785</v>
      </c>
      <c r="N545" s="63" t="s">
        <v>1595</v>
      </c>
      <c r="O545" s="63" t="s">
        <v>1604</v>
      </c>
      <c r="P545" s="63" t="s">
        <v>4285</v>
      </c>
      <c r="Q545" s="63" t="s">
        <v>4286</v>
      </c>
      <c r="R545" s="63" t="s">
        <v>4287</v>
      </c>
      <c r="S545" s="63" t="s">
        <v>1616</v>
      </c>
      <c r="T545" s="63"/>
      <c r="U545" s="63"/>
      <c r="V545" s="63"/>
      <c r="W545" s="63"/>
      <c r="X545" s="63"/>
      <c r="Y545" s="63"/>
      <c r="Z545" s="63"/>
    </row>
    <row r="546" spans="1:26" ht="15.75" customHeight="1" x14ac:dyDescent="0.25">
      <c r="A546" s="63" t="s">
        <v>4228</v>
      </c>
      <c r="B546" s="63" t="s">
        <v>815</v>
      </c>
      <c r="C546" s="63" t="s">
        <v>324</v>
      </c>
      <c r="D546" s="63" t="s">
        <v>1595</v>
      </c>
      <c r="E546" s="63" t="s">
        <v>1668</v>
      </c>
      <c r="F546" s="63" t="s">
        <v>1597</v>
      </c>
      <c r="G546" s="63" t="s">
        <v>4289</v>
      </c>
      <c r="H546" s="63" t="s">
        <v>1610</v>
      </c>
      <c r="I546" s="63" t="s">
        <v>1924</v>
      </c>
      <c r="J546" s="63" t="s">
        <v>552</v>
      </c>
      <c r="K546" s="63" t="s">
        <v>1601</v>
      </c>
      <c r="L546" s="63" t="s">
        <v>1910</v>
      </c>
      <c r="M546" s="63" t="s">
        <v>1595</v>
      </c>
      <c r="N546" s="63" t="s">
        <v>1595</v>
      </c>
      <c r="O546" s="63" t="s">
        <v>1604</v>
      </c>
      <c r="P546" s="63" t="s">
        <v>1731</v>
      </c>
      <c r="Q546" s="63" t="s">
        <v>4290</v>
      </c>
      <c r="R546" s="63" t="s">
        <v>4291</v>
      </c>
      <c r="S546" s="63" t="s">
        <v>1616</v>
      </c>
      <c r="T546" s="63"/>
      <c r="U546" s="63"/>
      <c r="V546" s="63"/>
      <c r="W546" s="63"/>
      <c r="X546" s="63"/>
      <c r="Y546" s="63"/>
      <c r="Z546" s="63"/>
    </row>
    <row r="547" spans="1:26" ht="15.75" customHeight="1" x14ac:dyDescent="0.25">
      <c r="A547" s="63" t="s">
        <v>4234</v>
      </c>
      <c r="B547" s="63" t="s">
        <v>1549</v>
      </c>
      <c r="C547" s="63" t="s">
        <v>131</v>
      </c>
      <c r="D547" s="63" t="s">
        <v>1595</v>
      </c>
      <c r="E547" s="63" t="s">
        <v>4293</v>
      </c>
      <c r="F547" s="63" t="s">
        <v>1597</v>
      </c>
      <c r="G547" s="63" t="s">
        <v>4294</v>
      </c>
      <c r="H547" s="63" t="s">
        <v>1742</v>
      </c>
      <c r="I547" s="63" t="s">
        <v>4295</v>
      </c>
      <c r="J547" s="63" t="s">
        <v>558</v>
      </c>
      <c r="K547" s="63"/>
      <c r="L547" s="63" t="s">
        <v>2996</v>
      </c>
      <c r="M547" s="63" t="s">
        <v>2283</v>
      </c>
      <c r="N547" s="63" t="s">
        <v>1595</v>
      </c>
      <c r="O547" s="63" t="s">
        <v>1604</v>
      </c>
      <c r="P547" s="63" t="s">
        <v>3313</v>
      </c>
      <c r="Q547" s="63" t="s">
        <v>4296</v>
      </c>
      <c r="R547" s="63" t="s">
        <v>4296</v>
      </c>
      <c r="S547" s="63" t="s">
        <v>1723</v>
      </c>
      <c r="T547" s="63"/>
      <c r="U547" s="63"/>
      <c r="V547" s="63"/>
      <c r="W547" s="63"/>
      <c r="X547" s="63"/>
      <c r="Y547" s="63"/>
      <c r="Z547" s="63"/>
    </row>
    <row r="548" spans="1:26" ht="15.75" customHeight="1" x14ac:dyDescent="0.25">
      <c r="A548" s="63" t="s">
        <v>4240</v>
      </c>
      <c r="B548" s="63" t="s">
        <v>733</v>
      </c>
      <c r="C548" s="63" t="s">
        <v>31</v>
      </c>
      <c r="D548" s="63" t="s">
        <v>1595</v>
      </c>
      <c r="E548" s="63" t="s">
        <v>4298</v>
      </c>
      <c r="F548" s="63" t="s">
        <v>1597</v>
      </c>
      <c r="G548" s="63" t="s">
        <v>4299</v>
      </c>
      <c r="H548" s="63" t="s">
        <v>4300</v>
      </c>
      <c r="I548" s="63" t="s">
        <v>4301</v>
      </c>
      <c r="J548" s="63" t="s">
        <v>588</v>
      </c>
      <c r="K548" s="63"/>
      <c r="L548" s="63" t="s">
        <v>2065</v>
      </c>
      <c r="M548" s="63" t="s">
        <v>1622</v>
      </c>
      <c r="N548" s="63" t="s">
        <v>1595</v>
      </c>
      <c r="O548" s="63" t="s">
        <v>1604</v>
      </c>
      <c r="P548" s="63" t="s">
        <v>1823</v>
      </c>
      <c r="Q548" s="63" t="s">
        <v>4302</v>
      </c>
      <c r="R548" s="63" t="s">
        <v>4303</v>
      </c>
      <c r="S548" s="63" t="s">
        <v>538</v>
      </c>
      <c r="T548" s="63"/>
      <c r="U548" s="63"/>
      <c r="V548" s="63"/>
      <c r="W548" s="63"/>
      <c r="X548" s="63"/>
      <c r="Y548" s="63"/>
      <c r="Z548" s="63"/>
    </row>
    <row r="549" spans="1:26" ht="15.75" customHeight="1" x14ac:dyDescent="0.25">
      <c r="A549" s="63" t="s">
        <v>4245</v>
      </c>
      <c r="B549" s="63" t="s">
        <v>1037</v>
      </c>
      <c r="C549" s="63" t="s">
        <v>429</v>
      </c>
      <c r="D549" s="63" t="s">
        <v>1595</v>
      </c>
      <c r="E549" s="63" t="s">
        <v>2241</v>
      </c>
      <c r="F549" s="63" t="s">
        <v>1597</v>
      </c>
      <c r="G549" s="63" t="s">
        <v>4305</v>
      </c>
      <c r="H549" s="63" t="s">
        <v>1610</v>
      </c>
      <c r="I549" s="63" t="s">
        <v>4306</v>
      </c>
      <c r="J549" s="63" t="s">
        <v>566</v>
      </c>
      <c r="K549" s="63" t="s">
        <v>1601</v>
      </c>
      <c r="L549" s="63" t="s">
        <v>1637</v>
      </c>
      <c r="M549" s="63" t="s">
        <v>1595</v>
      </c>
      <c r="N549" s="63" t="s">
        <v>1595</v>
      </c>
      <c r="O549" s="63" t="s">
        <v>1604</v>
      </c>
      <c r="P549" s="63" t="s">
        <v>2108</v>
      </c>
      <c r="Q549" s="63" t="s">
        <v>4307</v>
      </c>
      <c r="R549" s="63" t="s">
        <v>4308</v>
      </c>
      <c r="S549" s="63" t="s">
        <v>1616</v>
      </c>
      <c r="T549" s="63"/>
      <c r="U549" s="63"/>
      <c r="V549" s="63"/>
      <c r="W549" s="63"/>
      <c r="X549" s="63"/>
      <c r="Y549" s="63"/>
      <c r="Z549" s="63"/>
    </row>
    <row r="550" spans="1:26" ht="15.75" customHeight="1" x14ac:dyDescent="0.25">
      <c r="A550" s="63" t="s">
        <v>4251</v>
      </c>
      <c r="B550" s="63" t="s">
        <v>791</v>
      </c>
      <c r="C550" s="63" t="s">
        <v>312</v>
      </c>
      <c r="D550" s="63" t="s">
        <v>1595</v>
      </c>
      <c r="E550" s="63" t="s">
        <v>3194</v>
      </c>
      <c r="F550" s="63" t="s">
        <v>1597</v>
      </c>
      <c r="G550" s="63" t="s">
        <v>4310</v>
      </c>
      <c r="H550" s="63" t="s">
        <v>1610</v>
      </c>
      <c r="I550" s="63" t="s">
        <v>4311</v>
      </c>
      <c r="J550" s="63" t="s">
        <v>2939</v>
      </c>
      <c r="K550" s="63"/>
      <c r="L550" s="63" t="s">
        <v>2320</v>
      </c>
      <c r="M550" s="63" t="s">
        <v>1622</v>
      </c>
      <c r="N550" s="63" t="s">
        <v>1595</v>
      </c>
      <c r="O550" s="63" t="s">
        <v>1604</v>
      </c>
      <c r="P550" s="63" t="s">
        <v>2108</v>
      </c>
      <c r="Q550" s="63" t="s">
        <v>4312</v>
      </c>
      <c r="R550" s="63" t="s">
        <v>4313</v>
      </c>
      <c r="S550" s="63" t="s">
        <v>1616</v>
      </c>
      <c r="T550" s="63"/>
      <c r="U550" s="63"/>
      <c r="V550" s="63"/>
      <c r="W550" s="63"/>
      <c r="X550" s="63"/>
      <c r="Y550" s="63"/>
      <c r="Z550" s="63"/>
    </row>
    <row r="551" spans="1:26" ht="15.75" customHeight="1" x14ac:dyDescent="0.25">
      <c r="A551" s="63" t="s">
        <v>4256</v>
      </c>
      <c r="B551" s="63" t="s">
        <v>577</v>
      </c>
      <c r="C551" s="63" t="s">
        <v>457</v>
      </c>
      <c r="D551" s="63" t="s">
        <v>1595</v>
      </c>
      <c r="E551" s="63" t="s">
        <v>2340</v>
      </c>
      <c r="F551" s="63" t="s">
        <v>1597</v>
      </c>
      <c r="G551" s="63" t="s">
        <v>4315</v>
      </c>
      <c r="H551" s="63" t="s">
        <v>1610</v>
      </c>
      <c r="I551" s="63" t="s">
        <v>4316</v>
      </c>
      <c r="J551" s="63" t="s">
        <v>552</v>
      </c>
      <c r="K551" s="63"/>
      <c r="L551" s="63" t="s">
        <v>1938</v>
      </c>
      <c r="M551" s="63" t="s">
        <v>1603</v>
      </c>
      <c r="N551" s="63" t="s">
        <v>1595</v>
      </c>
      <c r="O551" s="63" t="s">
        <v>1604</v>
      </c>
      <c r="P551" s="63" t="s">
        <v>2108</v>
      </c>
      <c r="Q551" s="63" t="s">
        <v>4317</v>
      </c>
      <c r="R551" s="63" t="s">
        <v>4318</v>
      </c>
      <c r="S551" s="63" t="s">
        <v>1607</v>
      </c>
      <c r="T551" s="63"/>
      <c r="U551" s="63"/>
      <c r="V551" s="63"/>
      <c r="W551" s="63"/>
      <c r="X551" s="63"/>
      <c r="Y551" s="63"/>
      <c r="Z551" s="63"/>
    </row>
    <row r="552" spans="1:26" ht="15.75" customHeight="1" x14ac:dyDescent="0.25">
      <c r="A552" s="63" t="s">
        <v>4264</v>
      </c>
      <c r="B552" s="63" t="s">
        <v>717</v>
      </c>
      <c r="C552" s="63" t="s">
        <v>23</v>
      </c>
      <c r="D552" s="63" t="s">
        <v>2077</v>
      </c>
      <c r="E552" s="63" t="s">
        <v>4320</v>
      </c>
      <c r="F552" s="63" t="s">
        <v>1597</v>
      </c>
      <c r="G552" s="63" t="s">
        <v>4321</v>
      </c>
      <c r="H552" s="63" t="s">
        <v>1610</v>
      </c>
      <c r="I552" s="63" t="s">
        <v>4130</v>
      </c>
      <c r="J552" s="63" t="s">
        <v>552</v>
      </c>
      <c r="K552" s="63" t="s">
        <v>1601</v>
      </c>
      <c r="L552" s="63" t="s">
        <v>1637</v>
      </c>
      <c r="M552" s="63" t="s">
        <v>1595</v>
      </c>
      <c r="N552" s="63" t="s">
        <v>1595</v>
      </c>
      <c r="O552" s="63" t="s">
        <v>1604</v>
      </c>
      <c r="P552" s="63" t="s">
        <v>1902</v>
      </c>
      <c r="Q552" s="63" t="s">
        <v>4322</v>
      </c>
      <c r="R552" s="63" t="s">
        <v>4323</v>
      </c>
      <c r="S552" s="63" t="s">
        <v>538</v>
      </c>
      <c r="T552" s="63"/>
      <c r="U552" s="63"/>
      <c r="V552" s="63"/>
      <c r="W552" s="63"/>
      <c r="X552" s="63"/>
      <c r="Y552" s="63"/>
      <c r="Z552" s="63"/>
    </row>
    <row r="553" spans="1:26" ht="15.75" customHeight="1" x14ac:dyDescent="0.25">
      <c r="A553" s="63" t="s">
        <v>4270</v>
      </c>
      <c r="B553" s="63" t="s">
        <v>4325</v>
      </c>
      <c r="C553" s="63" t="s">
        <v>4326</v>
      </c>
      <c r="D553" s="63" t="s">
        <v>1595</v>
      </c>
      <c r="E553" s="63" t="s">
        <v>4327</v>
      </c>
      <c r="F553" s="63" t="s">
        <v>1597</v>
      </c>
      <c r="G553" s="63" t="s">
        <v>4328</v>
      </c>
      <c r="H553" s="63" t="s">
        <v>1610</v>
      </c>
      <c r="I553" s="63" t="s">
        <v>3652</v>
      </c>
      <c r="J553" s="63" t="s">
        <v>558</v>
      </c>
      <c r="K553" s="63" t="s">
        <v>1601</v>
      </c>
      <c r="L553" s="63" t="s">
        <v>2489</v>
      </c>
      <c r="M553" s="63" t="s">
        <v>2283</v>
      </c>
      <c r="N553" s="63" t="s">
        <v>1595</v>
      </c>
      <c r="O553" s="63" t="s">
        <v>1604</v>
      </c>
      <c r="P553" s="63" t="s">
        <v>3313</v>
      </c>
      <c r="Q553" s="63" t="s">
        <v>4329</v>
      </c>
      <c r="R553" s="63" t="s">
        <v>4330</v>
      </c>
      <c r="S553" s="63" t="s">
        <v>1633</v>
      </c>
      <c r="T553" s="63"/>
      <c r="U553" s="63"/>
      <c r="V553" s="63"/>
      <c r="W553" s="63"/>
      <c r="X553" s="63"/>
      <c r="Y553" s="63"/>
      <c r="Z553" s="63"/>
    </row>
    <row r="554" spans="1:26" ht="15.75" customHeight="1" x14ac:dyDescent="0.25">
      <c r="A554" s="63" t="s">
        <v>4276</v>
      </c>
      <c r="B554" s="63" t="s">
        <v>801</v>
      </c>
      <c r="C554" s="63" t="s">
        <v>317</v>
      </c>
      <c r="D554" s="63" t="s">
        <v>1595</v>
      </c>
      <c r="E554" s="63" t="s">
        <v>4124</v>
      </c>
      <c r="F554" s="63" t="s">
        <v>1597</v>
      </c>
      <c r="G554" s="63" t="s">
        <v>4332</v>
      </c>
      <c r="H554" s="63" t="s">
        <v>1610</v>
      </c>
      <c r="I554" s="63" t="s">
        <v>4333</v>
      </c>
      <c r="J554" s="63" t="s">
        <v>554</v>
      </c>
      <c r="K554" s="63"/>
      <c r="L554" s="63" t="s">
        <v>2190</v>
      </c>
      <c r="M554" s="63" t="s">
        <v>1603</v>
      </c>
      <c r="N554" s="63" t="s">
        <v>1595</v>
      </c>
      <c r="O554" s="63" t="s">
        <v>1604</v>
      </c>
      <c r="P554" s="63" t="s">
        <v>2158</v>
      </c>
      <c r="Q554" s="63" t="s">
        <v>4334</v>
      </c>
      <c r="R554" s="63" t="s">
        <v>4335</v>
      </c>
      <c r="S554" s="63" t="s">
        <v>1616</v>
      </c>
      <c r="T554" s="63"/>
      <c r="U554" s="63"/>
      <c r="V554" s="63"/>
      <c r="W554" s="63"/>
      <c r="X554" s="63"/>
      <c r="Y554" s="63"/>
      <c r="Z554" s="63"/>
    </row>
    <row r="555" spans="1:26" ht="15.75" customHeight="1" x14ac:dyDescent="0.25">
      <c r="A555" s="63" t="s">
        <v>4281</v>
      </c>
      <c r="B555" s="63" t="s">
        <v>681</v>
      </c>
      <c r="C555" s="63" t="s">
        <v>508</v>
      </c>
      <c r="D555" s="63" t="s">
        <v>1595</v>
      </c>
      <c r="E555" s="63" t="s">
        <v>3052</v>
      </c>
      <c r="F555" s="63" t="s">
        <v>1597</v>
      </c>
      <c r="G555" s="63" t="s">
        <v>4337</v>
      </c>
      <c r="H555" s="63" t="s">
        <v>1610</v>
      </c>
      <c r="I555" s="63" t="s">
        <v>4338</v>
      </c>
      <c r="J555" s="63" t="s">
        <v>2718</v>
      </c>
      <c r="K555" s="63" t="s">
        <v>1601</v>
      </c>
      <c r="L555" s="63" t="s">
        <v>1785</v>
      </c>
      <c r="M555" s="63" t="s">
        <v>1785</v>
      </c>
      <c r="N555" s="63" t="s">
        <v>1595</v>
      </c>
      <c r="O555" s="63" t="s">
        <v>1604</v>
      </c>
      <c r="P555" s="63" t="s">
        <v>1786</v>
      </c>
      <c r="Q555" s="63" t="s">
        <v>4339</v>
      </c>
      <c r="R555" s="63" t="s">
        <v>4340</v>
      </c>
      <c r="S555" s="63" t="s">
        <v>1607</v>
      </c>
      <c r="T555" s="63"/>
      <c r="U555" s="63"/>
      <c r="V555" s="63"/>
      <c r="W555" s="63"/>
      <c r="X555" s="63"/>
      <c r="Y555" s="63"/>
      <c r="Z555" s="63"/>
    </row>
    <row r="556" spans="1:26" ht="15.75" customHeight="1" x14ac:dyDescent="0.25">
      <c r="A556" s="63" t="s">
        <v>4288</v>
      </c>
      <c r="B556" s="63" t="s">
        <v>4342</v>
      </c>
      <c r="C556" s="63" t="s">
        <v>4343</v>
      </c>
      <c r="D556" s="63" t="s">
        <v>1595</v>
      </c>
      <c r="E556" s="63" t="s">
        <v>4344</v>
      </c>
      <c r="F556" s="63" t="s">
        <v>1597</v>
      </c>
      <c r="G556" s="63" t="s">
        <v>4345</v>
      </c>
      <c r="H556" s="63" t="s">
        <v>1627</v>
      </c>
      <c r="I556" s="63" t="s">
        <v>3915</v>
      </c>
      <c r="J556" s="63" t="s">
        <v>2204</v>
      </c>
      <c r="K556" s="63"/>
      <c r="L556" s="63" t="s">
        <v>1832</v>
      </c>
      <c r="M556" s="63" t="s">
        <v>1630</v>
      </c>
      <c r="N556" s="63" t="s">
        <v>1595</v>
      </c>
      <c r="O556" s="63" t="s">
        <v>1604</v>
      </c>
      <c r="P556" s="63" t="s">
        <v>1833</v>
      </c>
      <c r="Q556" s="63" t="s">
        <v>4346</v>
      </c>
      <c r="R556" s="63" t="s">
        <v>4347</v>
      </c>
      <c r="S556" s="63" t="s">
        <v>1607</v>
      </c>
      <c r="T556" s="63"/>
      <c r="U556" s="63"/>
      <c r="V556" s="63"/>
      <c r="W556" s="63"/>
      <c r="X556" s="63"/>
      <c r="Y556" s="63"/>
      <c r="Z556" s="63"/>
    </row>
    <row r="557" spans="1:26" ht="15.75" customHeight="1" x14ac:dyDescent="0.25">
      <c r="A557" s="63" t="s">
        <v>4292</v>
      </c>
      <c r="B557" s="63" t="s">
        <v>1061</v>
      </c>
      <c r="C557" s="63" t="s">
        <v>441</v>
      </c>
      <c r="D557" s="63" t="s">
        <v>1595</v>
      </c>
      <c r="E557" s="63" t="s">
        <v>2700</v>
      </c>
      <c r="F557" s="63" t="s">
        <v>1597</v>
      </c>
      <c r="G557" s="63" t="s">
        <v>4349</v>
      </c>
      <c r="H557" s="63" t="s">
        <v>1610</v>
      </c>
      <c r="I557" s="63" t="s">
        <v>2449</v>
      </c>
      <c r="J557" s="63" t="s">
        <v>2225</v>
      </c>
      <c r="K557" s="63" t="s">
        <v>1601</v>
      </c>
      <c r="L557" s="63" t="s">
        <v>1637</v>
      </c>
      <c r="M557" s="63" t="s">
        <v>1595</v>
      </c>
      <c r="N557" s="63" t="s">
        <v>1595</v>
      </c>
      <c r="O557" s="63" t="s">
        <v>1604</v>
      </c>
      <c r="P557" s="63" t="s">
        <v>1731</v>
      </c>
      <c r="Q557" s="63" t="s">
        <v>4350</v>
      </c>
      <c r="R557" s="63" t="s">
        <v>4350</v>
      </c>
      <c r="S557" s="63" t="s">
        <v>1616</v>
      </c>
      <c r="T557" s="63"/>
      <c r="U557" s="63"/>
      <c r="V557" s="63"/>
      <c r="W557" s="63"/>
      <c r="X557" s="63"/>
      <c r="Y557" s="63"/>
      <c r="Z557" s="63"/>
    </row>
    <row r="558" spans="1:26" ht="15.75" customHeight="1" x14ac:dyDescent="0.25">
      <c r="A558" s="63" t="s">
        <v>4297</v>
      </c>
      <c r="B558" s="63" t="s">
        <v>1533</v>
      </c>
      <c r="C558" s="63" t="s">
        <v>123</v>
      </c>
      <c r="D558" s="63" t="s">
        <v>1595</v>
      </c>
      <c r="E558" s="63" t="s">
        <v>4352</v>
      </c>
      <c r="F558" s="63" t="s">
        <v>1597</v>
      </c>
      <c r="G558" s="63" t="s">
        <v>4353</v>
      </c>
      <c r="H558" s="63" t="s">
        <v>1610</v>
      </c>
      <c r="I558" s="63" t="s">
        <v>4354</v>
      </c>
      <c r="J558" s="63" t="s">
        <v>2547</v>
      </c>
      <c r="K558" s="63" t="s">
        <v>2468</v>
      </c>
      <c r="L558" s="63" t="s">
        <v>1621</v>
      </c>
      <c r="M558" s="63" t="s">
        <v>1622</v>
      </c>
      <c r="N558" s="63" t="s">
        <v>1595</v>
      </c>
      <c r="O558" s="63" t="s">
        <v>1604</v>
      </c>
      <c r="P558" s="63" t="s">
        <v>1823</v>
      </c>
      <c r="Q558" s="63" t="s">
        <v>4355</v>
      </c>
      <c r="R558" s="63" t="s">
        <v>4356</v>
      </c>
      <c r="S558" s="63" t="s">
        <v>1616</v>
      </c>
      <c r="T558" s="63"/>
      <c r="U558" s="63"/>
      <c r="V558" s="63"/>
      <c r="W558" s="63"/>
      <c r="X558" s="63"/>
      <c r="Y558" s="63"/>
      <c r="Z558" s="63"/>
    </row>
    <row r="559" spans="1:26" ht="15.75" customHeight="1" x14ac:dyDescent="0.25">
      <c r="A559" s="63" t="s">
        <v>4304</v>
      </c>
      <c r="B559" s="63" t="s">
        <v>1277</v>
      </c>
      <c r="C559" s="63" t="s">
        <v>238</v>
      </c>
      <c r="D559" s="63" t="s">
        <v>1595</v>
      </c>
      <c r="E559" s="63" t="s">
        <v>3228</v>
      </c>
      <c r="F559" s="63" t="s">
        <v>1597</v>
      </c>
      <c r="G559" s="63" t="s">
        <v>4358</v>
      </c>
      <c r="H559" s="63" t="s">
        <v>1610</v>
      </c>
      <c r="I559" s="63" t="s">
        <v>4359</v>
      </c>
      <c r="J559" s="63" t="s">
        <v>2547</v>
      </c>
      <c r="K559" s="63" t="s">
        <v>2468</v>
      </c>
      <c r="L559" s="63" t="s">
        <v>1822</v>
      </c>
      <c r="M559" s="63" t="s">
        <v>1613</v>
      </c>
      <c r="N559" s="63" t="s">
        <v>1595</v>
      </c>
      <c r="O559" s="63" t="s">
        <v>1604</v>
      </c>
      <c r="P559" s="63" t="s">
        <v>1666</v>
      </c>
      <c r="Q559" s="63" t="s">
        <v>4360</v>
      </c>
      <c r="R559" s="63" t="s">
        <v>4361</v>
      </c>
      <c r="S559" s="63" t="s">
        <v>1633</v>
      </c>
      <c r="T559" s="63"/>
      <c r="U559" s="63"/>
      <c r="V559" s="63"/>
      <c r="W559" s="63"/>
      <c r="X559" s="63"/>
      <c r="Y559" s="63"/>
      <c r="Z559" s="63"/>
    </row>
    <row r="560" spans="1:26" ht="15.75" customHeight="1" x14ac:dyDescent="0.25">
      <c r="A560" s="63" t="s">
        <v>4309</v>
      </c>
      <c r="B560" s="63" t="s">
        <v>1523</v>
      </c>
      <c r="C560" s="63" t="s">
        <v>118</v>
      </c>
      <c r="D560" s="63" t="s">
        <v>1595</v>
      </c>
      <c r="E560" s="63" t="s">
        <v>4363</v>
      </c>
      <c r="F560" s="63" t="s">
        <v>1597</v>
      </c>
      <c r="G560" s="63" t="s">
        <v>4364</v>
      </c>
      <c r="H560" s="63" t="s">
        <v>2938</v>
      </c>
      <c r="I560" s="63" t="s">
        <v>3282</v>
      </c>
      <c r="J560" s="63" t="s">
        <v>654</v>
      </c>
      <c r="K560" s="63"/>
      <c r="L560" s="63" t="s">
        <v>2065</v>
      </c>
      <c r="M560" s="63" t="s">
        <v>1622</v>
      </c>
      <c r="N560" s="63" t="s">
        <v>1595</v>
      </c>
      <c r="O560" s="63" t="s">
        <v>1885</v>
      </c>
      <c r="P560" s="63" t="s">
        <v>2158</v>
      </c>
      <c r="Q560" s="63" t="s">
        <v>4365</v>
      </c>
      <c r="R560" s="63" t="s">
        <v>4366</v>
      </c>
      <c r="S560" s="63" t="s">
        <v>1616</v>
      </c>
      <c r="T560" s="63"/>
      <c r="U560" s="63"/>
      <c r="V560" s="63"/>
      <c r="W560" s="63"/>
      <c r="X560" s="63"/>
      <c r="Y560" s="63"/>
      <c r="Z560" s="63"/>
    </row>
    <row r="561" spans="1:26" ht="15.75" customHeight="1" x14ac:dyDescent="0.25">
      <c r="A561" s="63" t="s">
        <v>4314</v>
      </c>
      <c r="B561" s="63" t="s">
        <v>1479</v>
      </c>
      <c r="C561" s="63" t="s">
        <v>97</v>
      </c>
      <c r="D561" s="63" t="s">
        <v>1595</v>
      </c>
      <c r="E561" s="63" t="s">
        <v>4368</v>
      </c>
      <c r="F561" s="63" t="s">
        <v>1597</v>
      </c>
      <c r="G561" s="63" t="s">
        <v>4369</v>
      </c>
      <c r="H561" s="63" t="s">
        <v>4370</v>
      </c>
      <c r="I561" s="63" t="s">
        <v>4371</v>
      </c>
      <c r="J561" s="63" t="s">
        <v>2718</v>
      </c>
      <c r="K561" s="63" t="s">
        <v>2121</v>
      </c>
      <c r="L561" s="63" t="s">
        <v>4372</v>
      </c>
      <c r="M561" s="63" t="s">
        <v>3659</v>
      </c>
      <c r="N561" s="63" t="s">
        <v>4373</v>
      </c>
      <c r="O561" s="63" t="s">
        <v>3844</v>
      </c>
      <c r="P561" s="63" t="s">
        <v>5077</v>
      </c>
      <c r="Q561" s="63" t="s">
        <v>4374</v>
      </c>
      <c r="R561" s="63" t="s">
        <v>4375</v>
      </c>
      <c r="S561" s="63" t="s">
        <v>1616</v>
      </c>
      <c r="T561" s="63"/>
      <c r="U561" s="63"/>
      <c r="V561" s="63"/>
      <c r="W561" s="63"/>
      <c r="X561" s="63"/>
      <c r="Y561" s="63"/>
      <c r="Z561" s="63"/>
    </row>
    <row r="562" spans="1:26" ht="15.75" customHeight="1" x14ac:dyDescent="0.25">
      <c r="A562" s="63" t="s">
        <v>4319</v>
      </c>
      <c r="B562" s="63" t="s">
        <v>715</v>
      </c>
      <c r="C562" s="63" t="s">
        <v>22</v>
      </c>
      <c r="D562" s="63" t="s">
        <v>1595</v>
      </c>
      <c r="E562" s="63" t="s">
        <v>1907</v>
      </c>
      <c r="F562" s="63" t="s">
        <v>1597</v>
      </c>
      <c r="G562" s="63" t="s">
        <v>4377</v>
      </c>
      <c r="H562" s="63" t="s">
        <v>1610</v>
      </c>
      <c r="I562" s="63" t="s">
        <v>4378</v>
      </c>
      <c r="J562" s="63" t="s">
        <v>552</v>
      </c>
      <c r="K562" s="63"/>
      <c r="L562" s="63" t="s">
        <v>2696</v>
      </c>
      <c r="M562" s="63" t="s">
        <v>1785</v>
      </c>
      <c r="N562" s="63" t="s">
        <v>1595</v>
      </c>
      <c r="O562" s="63" t="s">
        <v>1885</v>
      </c>
      <c r="P562" s="63" t="s">
        <v>1786</v>
      </c>
      <c r="Q562" s="63" t="s">
        <v>4379</v>
      </c>
      <c r="R562" s="63" t="s">
        <v>4380</v>
      </c>
      <c r="S562" s="63" t="s">
        <v>538</v>
      </c>
      <c r="T562" s="63"/>
      <c r="U562" s="63"/>
      <c r="V562" s="63"/>
      <c r="W562" s="63"/>
      <c r="X562" s="63"/>
      <c r="Y562" s="63"/>
      <c r="Z562" s="63"/>
    </row>
    <row r="563" spans="1:26" ht="15.75" customHeight="1" x14ac:dyDescent="0.25">
      <c r="A563" s="63" t="s">
        <v>4324</v>
      </c>
      <c r="B563" s="63" t="s">
        <v>1109</v>
      </c>
      <c r="C563" s="63" t="s">
        <v>156</v>
      </c>
      <c r="D563" s="63" t="s">
        <v>1595</v>
      </c>
      <c r="E563" s="63" t="s">
        <v>2273</v>
      </c>
      <c r="F563" s="63" t="s">
        <v>1597</v>
      </c>
      <c r="G563" s="63" t="s">
        <v>4382</v>
      </c>
      <c r="H563" s="63" t="s">
        <v>1610</v>
      </c>
      <c r="I563" s="63" t="s">
        <v>4383</v>
      </c>
      <c r="J563" s="63" t="s">
        <v>554</v>
      </c>
      <c r="K563" s="63"/>
      <c r="L563" s="63" t="s">
        <v>4384</v>
      </c>
      <c r="M563" s="63" t="s">
        <v>2145</v>
      </c>
      <c r="N563" s="63" t="s">
        <v>1595</v>
      </c>
      <c r="O563" s="63" t="s">
        <v>1885</v>
      </c>
      <c r="P563" s="63" t="s">
        <v>4385</v>
      </c>
      <c r="Q563" s="63" t="s">
        <v>4386</v>
      </c>
      <c r="R563" s="63" t="s">
        <v>4387</v>
      </c>
      <c r="S563" s="63" t="s">
        <v>1633</v>
      </c>
      <c r="T563" s="63"/>
      <c r="U563" s="63"/>
      <c r="V563" s="63"/>
      <c r="W563" s="63"/>
      <c r="X563" s="63"/>
      <c r="Y563" s="63"/>
      <c r="Z563" s="63"/>
    </row>
    <row r="564" spans="1:26" ht="15.75" customHeight="1" x14ac:dyDescent="0.25">
      <c r="A564" s="63" t="s">
        <v>4331</v>
      </c>
      <c r="B564" s="63" t="s">
        <v>1161</v>
      </c>
      <c r="C564" s="63" t="s">
        <v>181</v>
      </c>
      <c r="D564" s="63" t="s">
        <v>1595</v>
      </c>
      <c r="E564" s="63" t="s">
        <v>4389</v>
      </c>
      <c r="F564" s="63" t="s">
        <v>1597</v>
      </c>
      <c r="G564" s="63" t="s">
        <v>4390</v>
      </c>
      <c r="H564" s="63" t="s">
        <v>1619</v>
      </c>
      <c r="I564" s="63" t="s">
        <v>2809</v>
      </c>
      <c r="J564" s="63" t="s">
        <v>552</v>
      </c>
      <c r="K564" s="63"/>
      <c r="L564" s="63" t="s">
        <v>2282</v>
      </c>
      <c r="M564" s="63" t="s">
        <v>2283</v>
      </c>
      <c r="N564" s="63" t="s">
        <v>1595</v>
      </c>
      <c r="O564" s="63" t="s">
        <v>1885</v>
      </c>
      <c r="P564" s="63" t="s">
        <v>4391</v>
      </c>
      <c r="Q564" s="63" t="s">
        <v>4392</v>
      </c>
      <c r="R564" s="63" t="s">
        <v>4393</v>
      </c>
      <c r="S564" s="63" t="s">
        <v>1633</v>
      </c>
      <c r="T564" s="63"/>
      <c r="U564" s="63"/>
      <c r="V564" s="63"/>
      <c r="W564" s="63"/>
      <c r="X564" s="63"/>
      <c r="Y564" s="63"/>
      <c r="Z564" s="63"/>
    </row>
    <row r="565" spans="1:26" ht="15.75" customHeight="1" x14ac:dyDescent="0.25">
      <c r="A565" s="63" t="s">
        <v>4336</v>
      </c>
      <c r="B565" s="63" t="s">
        <v>1175</v>
      </c>
      <c r="C565" s="63" t="s">
        <v>188</v>
      </c>
      <c r="D565" s="63" t="s">
        <v>1595</v>
      </c>
      <c r="E565" s="63" t="s">
        <v>4395</v>
      </c>
      <c r="F565" s="63" t="s">
        <v>1597</v>
      </c>
      <c r="G565" s="63" t="s">
        <v>4396</v>
      </c>
      <c r="H565" s="63" t="s">
        <v>4397</v>
      </c>
      <c r="I565" s="63" t="s">
        <v>3269</v>
      </c>
      <c r="J565" s="63" t="s">
        <v>2204</v>
      </c>
      <c r="K565" s="63"/>
      <c r="L565" s="63" t="s">
        <v>1706</v>
      </c>
      <c r="M565" s="63" t="s">
        <v>4398</v>
      </c>
      <c r="N565" s="63" t="s">
        <v>1595</v>
      </c>
      <c r="O565" s="63" t="s">
        <v>1604</v>
      </c>
      <c r="P565" s="63" t="s">
        <v>2352</v>
      </c>
      <c r="Q565" s="63" t="s">
        <v>4399</v>
      </c>
      <c r="R565" s="63" t="s">
        <v>4400</v>
      </c>
      <c r="S565" s="63" t="s">
        <v>1633</v>
      </c>
      <c r="T565" s="63"/>
      <c r="U565" s="63"/>
      <c r="V565" s="63"/>
      <c r="W565" s="63"/>
      <c r="X565" s="63"/>
      <c r="Y565" s="63"/>
      <c r="Z565" s="63"/>
    </row>
    <row r="566" spans="1:26" ht="15.75" customHeight="1" x14ac:dyDescent="0.25">
      <c r="A566" s="63" t="s">
        <v>4341</v>
      </c>
      <c r="B566" s="63" t="s">
        <v>641</v>
      </c>
      <c r="C566" s="63" t="s">
        <v>489</v>
      </c>
      <c r="D566" s="63" t="s">
        <v>1595</v>
      </c>
      <c r="E566" s="63" t="s">
        <v>4402</v>
      </c>
      <c r="F566" s="63" t="s">
        <v>1597</v>
      </c>
      <c r="G566" s="63" t="s">
        <v>4403</v>
      </c>
      <c r="H566" s="63" t="s">
        <v>1619</v>
      </c>
      <c r="I566" s="63" t="s">
        <v>4404</v>
      </c>
      <c r="J566" s="63" t="s">
        <v>2718</v>
      </c>
      <c r="K566" s="63"/>
      <c r="L566" s="63" t="s">
        <v>1637</v>
      </c>
      <c r="M566" s="63" t="s">
        <v>1595</v>
      </c>
      <c r="N566" s="63" t="s">
        <v>1595</v>
      </c>
      <c r="O566" s="63" t="s">
        <v>1604</v>
      </c>
      <c r="P566" s="63" t="s">
        <v>2423</v>
      </c>
      <c r="Q566" s="63" t="s">
        <v>4405</v>
      </c>
      <c r="R566" s="63" t="s">
        <v>4406</v>
      </c>
      <c r="S566" s="63" t="s">
        <v>1607</v>
      </c>
      <c r="T566" s="63"/>
      <c r="U566" s="63"/>
      <c r="V566" s="63"/>
      <c r="W566" s="63"/>
      <c r="X566" s="63"/>
      <c r="Y566" s="63"/>
      <c r="Z566" s="63"/>
    </row>
    <row r="567" spans="1:26" ht="15.75" customHeight="1" x14ac:dyDescent="0.25">
      <c r="A567" s="63" t="s">
        <v>4348</v>
      </c>
      <c r="B567" s="63" t="s">
        <v>671</v>
      </c>
      <c r="C567" s="63" t="s">
        <v>5097</v>
      </c>
      <c r="D567" s="63" t="s">
        <v>1595</v>
      </c>
      <c r="E567" s="63" t="s">
        <v>2259</v>
      </c>
      <c r="F567" s="63" t="s">
        <v>1597</v>
      </c>
      <c r="G567" s="63" t="s">
        <v>4408</v>
      </c>
      <c r="H567" s="63" t="s">
        <v>1610</v>
      </c>
      <c r="I567" s="63" t="s">
        <v>4409</v>
      </c>
      <c r="J567" s="63" t="s">
        <v>640</v>
      </c>
      <c r="K567" s="63" t="s">
        <v>2121</v>
      </c>
      <c r="L567" s="63" t="s">
        <v>2065</v>
      </c>
      <c r="M567" s="63" t="s">
        <v>1622</v>
      </c>
      <c r="N567" s="63" t="s">
        <v>1595</v>
      </c>
      <c r="O567" s="63" t="s">
        <v>1604</v>
      </c>
      <c r="P567" s="63" t="s">
        <v>2108</v>
      </c>
      <c r="Q567" s="63" t="s">
        <v>4410</v>
      </c>
      <c r="R567" s="63" t="s">
        <v>4411</v>
      </c>
      <c r="S567" s="63" t="s">
        <v>1633</v>
      </c>
      <c r="T567" s="63"/>
      <c r="U567" s="63"/>
      <c r="V567" s="63"/>
      <c r="W567" s="63"/>
      <c r="X567" s="63"/>
      <c r="Y567" s="63"/>
      <c r="Z567" s="63"/>
    </row>
    <row r="568" spans="1:26" ht="15.75" customHeight="1" x14ac:dyDescent="0.25">
      <c r="A568" s="63" t="s">
        <v>4351</v>
      </c>
      <c r="B568" s="63" t="s">
        <v>1513</v>
      </c>
      <c r="C568" s="63" t="s">
        <v>113</v>
      </c>
      <c r="D568" s="63" t="s">
        <v>1595</v>
      </c>
      <c r="E568" s="63" t="s">
        <v>4413</v>
      </c>
      <c r="F568" s="63" t="s">
        <v>1597</v>
      </c>
      <c r="G568" s="63" t="s">
        <v>4414</v>
      </c>
      <c r="H568" s="63" t="s">
        <v>1610</v>
      </c>
      <c r="I568" s="63" t="s">
        <v>3355</v>
      </c>
      <c r="J568" s="63" t="s">
        <v>554</v>
      </c>
      <c r="K568" s="63" t="s">
        <v>1601</v>
      </c>
      <c r="L568" s="63" t="s">
        <v>3356</v>
      </c>
      <c r="M568" s="63" t="s">
        <v>1630</v>
      </c>
      <c r="N568" s="63" t="s">
        <v>1595</v>
      </c>
      <c r="O568" s="63" t="s">
        <v>1604</v>
      </c>
      <c r="P568" s="63" t="s">
        <v>5066</v>
      </c>
      <c r="Q568" s="63" t="s">
        <v>4415</v>
      </c>
      <c r="R568" s="63" t="s">
        <v>4415</v>
      </c>
      <c r="S568" s="63" t="s">
        <v>1616</v>
      </c>
      <c r="T568" s="63"/>
      <c r="U568" s="63"/>
      <c r="V568" s="63"/>
      <c r="W568" s="63"/>
      <c r="X568" s="63"/>
      <c r="Y568" s="63"/>
      <c r="Z568" s="63"/>
    </row>
    <row r="569" spans="1:26" ht="15.75" customHeight="1" x14ac:dyDescent="0.25">
      <c r="A569" s="63" t="s">
        <v>4357</v>
      </c>
      <c r="B569" s="63" t="s">
        <v>1415</v>
      </c>
      <c r="C569" s="63" t="s">
        <v>64</v>
      </c>
      <c r="D569" s="63" t="s">
        <v>1595</v>
      </c>
      <c r="E569" s="63" t="s">
        <v>2097</v>
      </c>
      <c r="F569" s="63" t="s">
        <v>1597</v>
      </c>
      <c r="G569" s="63" t="s">
        <v>4417</v>
      </c>
      <c r="H569" s="63" t="s">
        <v>1610</v>
      </c>
      <c r="I569" s="63" t="s">
        <v>4284</v>
      </c>
      <c r="J569" s="63" t="s">
        <v>558</v>
      </c>
      <c r="K569" s="63" t="s">
        <v>1601</v>
      </c>
      <c r="L569" s="63" t="s">
        <v>3567</v>
      </c>
      <c r="M569" s="63" t="s">
        <v>1785</v>
      </c>
      <c r="N569" s="63" t="s">
        <v>1595</v>
      </c>
      <c r="O569" s="63" t="s">
        <v>1604</v>
      </c>
      <c r="P569" s="63" t="s">
        <v>2583</v>
      </c>
      <c r="Q569" s="63" t="s">
        <v>4418</v>
      </c>
      <c r="R569" s="63" t="s">
        <v>4419</v>
      </c>
      <c r="S569" s="63" t="s">
        <v>1723</v>
      </c>
      <c r="T569" s="63"/>
      <c r="U569" s="63"/>
      <c r="V569" s="63"/>
      <c r="W569" s="63"/>
      <c r="X569" s="63"/>
      <c r="Y569" s="63"/>
      <c r="Z569" s="63"/>
    </row>
    <row r="570" spans="1:26" ht="15.75" customHeight="1" x14ac:dyDescent="0.25">
      <c r="A570" s="63" t="s">
        <v>4362</v>
      </c>
      <c r="B570" s="63" t="s">
        <v>591</v>
      </c>
      <c r="C570" s="63" t="s">
        <v>464</v>
      </c>
      <c r="D570" s="63" t="s">
        <v>1595</v>
      </c>
      <c r="E570" s="63" t="s">
        <v>3645</v>
      </c>
      <c r="F570" s="63" t="s">
        <v>2079</v>
      </c>
      <c r="G570" s="63" t="s">
        <v>4421</v>
      </c>
      <c r="H570" s="63" t="s">
        <v>1610</v>
      </c>
      <c r="I570" s="63" t="s">
        <v>4422</v>
      </c>
      <c r="J570" s="63" t="s">
        <v>2225</v>
      </c>
      <c r="K570" s="63" t="s">
        <v>2121</v>
      </c>
      <c r="L570" s="63" t="s">
        <v>4423</v>
      </c>
      <c r="M570" s="63" t="s">
        <v>2145</v>
      </c>
      <c r="N570" s="63" t="s">
        <v>1595</v>
      </c>
      <c r="O570" s="63" t="s">
        <v>1604</v>
      </c>
      <c r="P570" s="63" t="s">
        <v>2146</v>
      </c>
      <c r="Q570" s="63" t="s">
        <v>4424</v>
      </c>
      <c r="R570" s="63" t="s">
        <v>4425</v>
      </c>
      <c r="S570" s="63" t="s">
        <v>1607</v>
      </c>
      <c r="T570" s="63"/>
      <c r="U570" s="63"/>
      <c r="V570" s="63"/>
      <c r="W570" s="63"/>
      <c r="X570" s="63"/>
      <c r="Y570" s="63"/>
      <c r="Z570" s="63"/>
    </row>
    <row r="571" spans="1:26" ht="15.75" customHeight="1" x14ac:dyDescent="0.25">
      <c r="A571" s="63" t="s">
        <v>4367</v>
      </c>
      <c r="B571" s="63" t="s">
        <v>1169</v>
      </c>
      <c r="C571" s="63" t="s">
        <v>185</v>
      </c>
      <c r="D571" s="63" t="s">
        <v>4427</v>
      </c>
      <c r="E571" s="63" t="s">
        <v>4428</v>
      </c>
      <c r="F571" s="63" t="s">
        <v>1597</v>
      </c>
      <c r="G571" s="63" t="s">
        <v>4429</v>
      </c>
      <c r="H571" s="63" t="s">
        <v>1610</v>
      </c>
      <c r="I571" s="63" t="s">
        <v>3788</v>
      </c>
      <c r="J571" s="63" t="s">
        <v>2318</v>
      </c>
      <c r="K571" s="63" t="s">
        <v>2718</v>
      </c>
      <c r="L571" s="63" t="s">
        <v>4430</v>
      </c>
      <c r="M571" s="63" t="s">
        <v>4431</v>
      </c>
      <c r="N571" s="63" t="s">
        <v>1595</v>
      </c>
      <c r="O571" s="63" t="s">
        <v>1604</v>
      </c>
      <c r="P571" s="63" t="s">
        <v>2352</v>
      </c>
      <c r="Q571" s="63" t="s">
        <v>4432</v>
      </c>
      <c r="R571" s="63" t="s">
        <v>4433</v>
      </c>
      <c r="S571" s="63" t="s">
        <v>1633</v>
      </c>
      <c r="T571" s="63"/>
      <c r="U571" s="63"/>
      <c r="V571" s="63"/>
      <c r="W571" s="63"/>
      <c r="X571" s="63"/>
      <c r="Y571" s="63"/>
      <c r="Z571" s="63"/>
    </row>
    <row r="572" spans="1:26" ht="15.75" customHeight="1" x14ac:dyDescent="0.25">
      <c r="A572" s="63" t="s">
        <v>4376</v>
      </c>
      <c r="B572" s="63" t="s">
        <v>4435</v>
      </c>
      <c r="C572" s="63" t="s">
        <v>4436</v>
      </c>
      <c r="D572" s="63" t="s">
        <v>4437</v>
      </c>
      <c r="E572" s="63" t="s">
        <v>4438</v>
      </c>
      <c r="F572" s="63" t="s">
        <v>1597</v>
      </c>
      <c r="G572" s="63" t="s">
        <v>4439</v>
      </c>
      <c r="H572" s="63" t="s">
        <v>3793</v>
      </c>
      <c r="I572" s="63" t="s">
        <v>4440</v>
      </c>
      <c r="J572" s="63" t="s">
        <v>2483</v>
      </c>
      <c r="K572" s="63" t="s">
        <v>2121</v>
      </c>
      <c r="L572" s="63" t="s">
        <v>1595</v>
      </c>
      <c r="M572" s="63" t="s">
        <v>1595</v>
      </c>
      <c r="N572" s="63" t="s">
        <v>1595</v>
      </c>
      <c r="O572" s="63" t="s">
        <v>1604</v>
      </c>
      <c r="P572" s="63" t="s">
        <v>4441</v>
      </c>
      <c r="Q572" s="63" t="s">
        <v>4442</v>
      </c>
      <c r="R572" s="63" t="s">
        <v>4443</v>
      </c>
      <c r="S572" s="63" t="s">
        <v>1607</v>
      </c>
      <c r="T572" s="63"/>
      <c r="U572" s="63"/>
      <c r="V572" s="63"/>
      <c r="W572" s="63"/>
      <c r="X572" s="63"/>
      <c r="Y572" s="63"/>
      <c r="Z572" s="63"/>
    </row>
    <row r="573" spans="1:26" ht="15.75" customHeight="1" x14ac:dyDescent="0.25">
      <c r="A573" s="63" t="s">
        <v>4381</v>
      </c>
      <c r="B573" s="63" t="s">
        <v>763</v>
      </c>
      <c r="C573" s="63" t="s">
        <v>45</v>
      </c>
      <c r="D573" s="63" t="s">
        <v>1595</v>
      </c>
      <c r="E573" s="63" t="s">
        <v>4445</v>
      </c>
      <c r="F573" s="63" t="s">
        <v>1597</v>
      </c>
      <c r="G573" s="63" t="s">
        <v>4446</v>
      </c>
      <c r="H573" s="63" t="s">
        <v>1610</v>
      </c>
      <c r="I573" s="63" t="s">
        <v>4422</v>
      </c>
      <c r="J573" s="63" t="s">
        <v>558</v>
      </c>
      <c r="K573" s="63" t="s">
        <v>1601</v>
      </c>
      <c r="L573" s="63" t="s">
        <v>4423</v>
      </c>
      <c r="M573" s="63" t="s">
        <v>2145</v>
      </c>
      <c r="N573" s="63" t="s">
        <v>1595</v>
      </c>
      <c r="O573" s="63" t="s">
        <v>1604</v>
      </c>
      <c r="P573" s="63" t="s">
        <v>2146</v>
      </c>
      <c r="Q573" s="63" t="s">
        <v>4447</v>
      </c>
      <c r="R573" s="63" t="s">
        <v>2121</v>
      </c>
      <c r="S573" s="63" t="s">
        <v>1607</v>
      </c>
      <c r="T573" s="63"/>
      <c r="U573" s="63"/>
      <c r="V573" s="63"/>
      <c r="W573" s="63"/>
      <c r="X573" s="63"/>
      <c r="Y573" s="63"/>
      <c r="Z573" s="63"/>
    </row>
    <row r="574" spans="1:26" ht="15.75" customHeight="1" x14ac:dyDescent="0.25">
      <c r="A574" s="63" t="s">
        <v>4388</v>
      </c>
      <c r="B574" s="63" t="s">
        <v>1447</v>
      </c>
      <c r="C574" s="63" t="s">
        <v>81</v>
      </c>
      <c r="D574" s="63" t="s">
        <v>1595</v>
      </c>
      <c r="E574" s="63" t="s">
        <v>3367</v>
      </c>
      <c r="F574" s="63" t="s">
        <v>1597</v>
      </c>
      <c r="G574" s="63" t="s">
        <v>2971</v>
      </c>
      <c r="H574" s="63" t="s">
        <v>1610</v>
      </c>
      <c r="I574" s="63" t="s">
        <v>4449</v>
      </c>
      <c r="J574" s="63" t="s">
        <v>2718</v>
      </c>
      <c r="K574" s="63"/>
      <c r="L574" s="63" t="s">
        <v>3904</v>
      </c>
      <c r="M574" s="63" t="s">
        <v>1785</v>
      </c>
      <c r="N574" s="63" t="s">
        <v>1595</v>
      </c>
      <c r="O574" s="63" t="s">
        <v>1604</v>
      </c>
      <c r="P574" s="63" t="s">
        <v>2490</v>
      </c>
      <c r="Q574" s="63" t="s">
        <v>4450</v>
      </c>
      <c r="R574" s="63" t="s">
        <v>4450</v>
      </c>
      <c r="S574" s="63" t="s">
        <v>1607</v>
      </c>
      <c r="T574" s="63"/>
      <c r="U574" s="63"/>
      <c r="V574" s="63"/>
      <c r="W574" s="63"/>
      <c r="X574" s="63"/>
      <c r="Y574" s="63"/>
      <c r="Z574" s="63"/>
    </row>
    <row r="575" spans="1:26" ht="15.75" customHeight="1" x14ac:dyDescent="0.25">
      <c r="A575" s="63" t="s">
        <v>4394</v>
      </c>
      <c r="B575" s="63" t="s">
        <v>865</v>
      </c>
      <c r="C575" s="63" t="s">
        <v>5054</v>
      </c>
      <c r="D575" s="63" t="s">
        <v>1595</v>
      </c>
      <c r="E575" s="63" t="s">
        <v>3334</v>
      </c>
      <c r="F575" s="63" t="s">
        <v>1597</v>
      </c>
      <c r="G575" s="63" t="s">
        <v>4452</v>
      </c>
      <c r="H575" s="63" t="s">
        <v>2223</v>
      </c>
      <c r="I575" s="63" t="s">
        <v>4453</v>
      </c>
      <c r="J575" s="63" t="s">
        <v>2718</v>
      </c>
      <c r="K575" s="63" t="s">
        <v>2468</v>
      </c>
      <c r="L575" s="63" t="s">
        <v>1858</v>
      </c>
      <c r="M575" s="63" t="s">
        <v>1859</v>
      </c>
      <c r="N575" s="63" t="s">
        <v>1595</v>
      </c>
      <c r="O575" s="63" t="s">
        <v>1604</v>
      </c>
      <c r="P575" s="63" t="s">
        <v>1860</v>
      </c>
      <c r="Q575" s="63" t="s">
        <v>4454</v>
      </c>
      <c r="R575" s="63" t="s">
        <v>4454</v>
      </c>
      <c r="S575" s="63" t="s">
        <v>1633</v>
      </c>
      <c r="T575" s="63"/>
      <c r="U575" s="63"/>
      <c r="V575" s="63"/>
      <c r="W575" s="63"/>
      <c r="X575" s="63"/>
      <c r="Y575" s="63"/>
      <c r="Z575" s="63"/>
    </row>
    <row r="576" spans="1:26" ht="15.75" customHeight="1" x14ac:dyDescent="0.25">
      <c r="A576" s="63" t="s">
        <v>4401</v>
      </c>
      <c r="B576" s="63" t="s">
        <v>765</v>
      </c>
      <c r="C576" s="63" t="s">
        <v>46</v>
      </c>
      <c r="D576" s="63" t="s">
        <v>1595</v>
      </c>
      <c r="E576" s="63" t="s">
        <v>2706</v>
      </c>
      <c r="F576" s="63" t="s">
        <v>1597</v>
      </c>
      <c r="G576" s="63" t="s">
        <v>4456</v>
      </c>
      <c r="H576" s="63" t="s">
        <v>1610</v>
      </c>
      <c r="I576" s="63" t="s">
        <v>3491</v>
      </c>
      <c r="J576" s="63" t="s">
        <v>562</v>
      </c>
      <c r="K576" s="63" t="s">
        <v>1601</v>
      </c>
      <c r="L576" s="63" t="s">
        <v>1832</v>
      </c>
      <c r="M576" s="63" t="s">
        <v>1630</v>
      </c>
      <c r="N576" s="63" t="s">
        <v>1595</v>
      </c>
      <c r="O576" s="63" t="s">
        <v>1604</v>
      </c>
      <c r="P576" s="63" t="s">
        <v>1631</v>
      </c>
      <c r="Q576" s="63" t="s">
        <v>4457</v>
      </c>
      <c r="R576" s="63" t="s">
        <v>4458</v>
      </c>
      <c r="S576" s="63" t="s">
        <v>1633</v>
      </c>
      <c r="T576" s="63"/>
      <c r="U576" s="63"/>
      <c r="V576" s="63"/>
      <c r="W576" s="63"/>
      <c r="X576" s="63"/>
      <c r="Y576" s="63"/>
      <c r="Z576" s="63"/>
    </row>
    <row r="577" spans="1:26" ht="15.75" customHeight="1" x14ac:dyDescent="0.25">
      <c r="A577" s="63" t="s">
        <v>4407</v>
      </c>
      <c r="B577" s="63" t="s">
        <v>1539</v>
      </c>
      <c r="C577" s="63" t="s">
        <v>126</v>
      </c>
      <c r="D577" s="63" t="s">
        <v>1595</v>
      </c>
      <c r="E577" s="63" t="s">
        <v>4460</v>
      </c>
      <c r="F577" s="63" t="s">
        <v>1597</v>
      </c>
      <c r="G577" s="63" t="s">
        <v>4461</v>
      </c>
      <c r="H577" s="63" t="s">
        <v>1610</v>
      </c>
      <c r="I577" s="63" t="s">
        <v>2913</v>
      </c>
      <c r="J577" s="63" t="s">
        <v>2428</v>
      </c>
      <c r="K577" s="63"/>
      <c r="L577" s="63" t="s">
        <v>1670</v>
      </c>
      <c r="M577" s="63" t="s">
        <v>1654</v>
      </c>
      <c r="N577" s="63" t="s">
        <v>1595</v>
      </c>
      <c r="O577" s="63" t="s">
        <v>1604</v>
      </c>
      <c r="P577" s="63" t="s">
        <v>1671</v>
      </c>
      <c r="Q577" s="63" t="s">
        <v>4462</v>
      </c>
      <c r="R577" s="63" t="s">
        <v>4463</v>
      </c>
      <c r="S577" s="63" t="s">
        <v>1723</v>
      </c>
      <c r="T577" s="63"/>
      <c r="U577" s="63"/>
      <c r="V577" s="63"/>
      <c r="W577" s="63"/>
      <c r="X577" s="63"/>
      <c r="Y577" s="63"/>
      <c r="Z577" s="63"/>
    </row>
    <row r="578" spans="1:26" ht="15.75" customHeight="1" x14ac:dyDescent="0.25">
      <c r="A578" s="63" t="s">
        <v>4412</v>
      </c>
      <c r="B578" s="63" t="s">
        <v>571</v>
      </c>
      <c r="C578" s="63" t="s">
        <v>454</v>
      </c>
      <c r="D578" s="63" t="s">
        <v>1595</v>
      </c>
      <c r="E578" s="63" t="s">
        <v>4465</v>
      </c>
      <c r="F578" s="63" t="s">
        <v>1597</v>
      </c>
      <c r="G578" s="63" t="s">
        <v>4466</v>
      </c>
      <c r="H578" s="63" t="s">
        <v>1610</v>
      </c>
      <c r="I578" s="63" t="s">
        <v>4467</v>
      </c>
      <c r="J578" s="63" t="s">
        <v>4468</v>
      </c>
      <c r="K578" s="63"/>
      <c r="L578" s="63" t="s">
        <v>2166</v>
      </c>
      <c r="M578" s="63" t="s">
        <v>1603</v>
      </c>
      <c r="N578" s="63" t="s">
        <v>1595</v>
      </c>
      <c r="O578" s="63" t="s">
        <v>1604</v>
      </c>
      <c r="P578" s="63" t="s">
        <v>1605</v>
      </c>
      <c r="Q578" s="63" t="s">
        <v>4469</v>
      </c>
      <c r="R578" s="63" t="s">
        <v>4470</v>
      </c>
      <c r="S578" s="63" t="s">
        <v>1607</v>
      </c>
      <c r="T578" s="63"/>
      <c r="U578" s="63"/>
      <c r="V578" s="63"/>
      <c r="W578" s="63"/>
      <c r="X578" s="63"/>
      <c r="Y578" s="63"/>
      <c r="Z578" s="63"/>
    </row>
    <row r="579" spans="1:26" ht="15.75" customHeight="1" x14ac:dyDescent="0.25">
      <c r="A579" s="63" t="s">
        <v>4416</v>
      </c>
      <c r="B579" s="63" t="s">
        <v>1459</v>
      </c>
      <c r="C579" s="63" t="s">
        <v>87</v>
      </c>
      <c r="D579" s="63" t="s">
        <v>1595</v>
      </c>
      <c r="E579" s="63" t="s">
        <v>4471</v>
      </c>
      <c r="F579" s="63" t="s">
        <v>1597</v>
      </c>
      <c r="G579" s="63" t="s">
        <v>4216</v>
      </c>
      <c r="H579" s="63" t="s">
        <v>1610</v>
      </c>
      <c r="I579" s="63" t="s">
        <v>4472</v>
      </c>
      <c r="J579" s="63" t="s">
        <v>564</v>
      </c>
      <c r="K579" s="63" t="s">
        <v>1601</v>
      </c>
      <c r="L579" s="63" t="s">
        <v>1800</v>
      </c>
      <c r="M579" s="63" t="s">
        <v>1595</v>
      </c>
      <c r="N579" s="63" t="s">
        <v>1595</v>
      </c>
      <c r="O579" s="63" t="s">
        <v>1604</v>
      </c>
      <c r="P579" s="63" t="s">
        <v>1688</v>
      </c>
      <c r="Q579" s="63" t="s">
        <v>4473</v>
      </c>
      <c r="R579" s="63" t="s">
        <v>5078</v>
      </c>
      <c r="S579" s="63" t="s">
        <v>1723</v>
      </c>
      <c r="T579" s="63"/>
      <c r="U579" s="63"/>
      <c r="V579" s="63"/>
      <c r="W579" s="63"/>
      <c r="X579" s="63"/>
      <c r="Y579" s="63"/>
      <c r="Z579" s="63"/>
    </row>
    <row r="580" spans="1:26" ht="15.75" customHeight="1" x14ac:dyDescent="0.25">
      <c r="A580" s="63" t="s">
        <v>4420</v>
      </c>
      <c r="B580" s="63" t="s">
        <v>693</v>
      </c>
      <c r="C580" s="63" t="s">
        <v>514</v>
      </c>
      <c r="D580" s="63" t="s">
        <v>1595</v>
      </c>
      <c r="E580" s="63" t="s">
        <v>4474</v>
      </c>
      <c r="F580" s="63" t="s">
        <v>1597</v>
      </c>
      <c r="G580" s="63" t="s">
        <v>4475</v>
      </c>
      <c r="H580" s="63" t="s">
        <v>1610</v>
      </c>
      <c r="I580" s="63" t="s">
        <v>4476</v>
      </c>
      <c r="J580" s="63" t="s">
        <v>566</v>
      </c>
      <c r="K580" s="63" t="s">
        <v>1601</v>
      </c>
      <c r="L580" s="63" t="s">
        <v>2282</v>
      </c>
      <c r="M580" s="63" t="s">
        <v>2283</v>
      </c>
      <c r="N580" s="63" t="s">
        <v>1595</v>
      </c>
      <c r="O580" s="63" t="s">
        <v>1604</v>
      </c>
      <c r="P580" s="63" t="s">
        <v>2477</v>
      </c>
      <c r="Q580" s="63" t="s">
        <v>4477</v>
      </c>
      <c r="R580" s="63" t="s">
        <v>4478</v>
      </c>
      <c r="S580" s="63" t="s">
        <v>1607</v>
      </c>
      <c r="T580" s="63"/>
      <c r="U580" s="63"/>
      <c r="V580" s="63"/>
      <c r="W580" s="63"/>
      <c r="X580" s="63"/>
      <c r="Y580" s="63"/>
      <c r="Z580" s="63"/>
    </row>
    <row r="581" spans="1:26" ht="15.75" customHeight="1" x14ac:dyDescent="0.25">
      <c r="A581" s="63" t="s">
        <v>4426</v>
      </c>
      <c r="B581" s="63" t="s">
        <v>643</v>
      </c>
      <c r="C581" s="63" t="s">
        <v>490</v>
      </c>
      <c r="D581" s="63" t="s">
        <v>1595</v>
      </c>
      <c r="E581" s="63" t="s">
        <v>4479</v>
      </c>
      <c r="F581" s="63" t="s">
        <v>1597</v>
      </c>
      <c r="G581" s="63" t="s">
        <v>4480</v>
      </c>
      <c r="H581" s="63" t="s">
        <v>1619</v>
      </c>
      <c r="I581" s="63" t="s">
        <v>4481</v>
      </c>
      <c r="J581" s="63" t="s">
        <v>562</v>
      </c>
      <c r="K581" s="63" t="s">
        <v>1601</v>
      </c>
      <c r="L581" s="63" t="s">
        <v>3904</v>
      </c>
      <c r="M581" s="63" t="s">
        <v>1785</v>
      </c>
      <c r="N581" s="63" t="s">
        <v>1595</v>
      </c>
      <c r="O581" s="63" t="s">
        <v>1604</v>
      </c>
      <c r="P581" s="63" t="s">
        <v>4482</v>
      </c>
      <c r="Q581" s="63" t="s">
        <v>4483</v>
      </c>
      <c r="R581" s="63" t="s">
        <v>4484</v>
      </c>
      <c r="S581" s="63" t="s">
        <v>538</v>
      </c>
      <c r="T581" s="63"/>
      <c r="U581" s="63"/>
      <c r="V581" s="63"/>
      <c r="W581" s="63"/>
      <c r="X581" s="63"/>
      <c r="Y581" s="63"/>
      <c r="Z581" s="63"/>
    </row>
    <row r="582" spans="1:26" ht="15.75" customHeight="1" x14ac:dyDescent="0.25">
      <c r="A582" s="63" t="s">
        <v>4434</v>
      </c>
      <c r="B582" s="63" t="s">
        <v>1483</v>
      </c>
      <c r="C582" s="63" t="s">
        <v>99</v>
      </c>
      <c r="D582" s="63" t="s">
        <v>1595</v>
      </c>
      <c r="E582" s="63" t="s">
        <v>4485</v>
      </c>
      <c r="F582" s="63" t="s">
        <v>1597</v>
      </c>
      <c r="G582" s="63" t="s">
        <v>4486</v>
      </c>
      <c r="H582" s="63" t="s">
        <v>1610</v>
      </c>
      <c r="I582" s="63" t="s">
        <v>4487</v>
      </c>
      <c r="J582" s="63" t="s">
        <v>554</v>
      </c>
      <c r="K582" s="63" t="s">
        <v>1601</v>
      </c>
      <c r="L582" s="63" t="s">
        <v>2514</v>
      </c>
      <c r="M582" s="63" t="s">
        <v>2283</v>
      </c>
      <c r="N582" s="63" t="s">
        <v>1595</v>
      </c>
      <c r="O582" s="63" t="s">
        <v>1604</v>
      </c>
      <c r="P582" s="63" t="s">
        <v>3313</v>
      </c>
      <c r="Q582" s="63" t="s">
        <v>4488</v>
      </c>
      <c r="R582" s="63" t="s">
        <v>4489</v>
      </c>
      <c r="S582" s="63" t="s">
        <v>1723</v>
      </c>
      <c r="T582" s="63"/>
      <c r="U582" s="63"/>
      <c r="V582" s="63"/>
      <c r="W582" s="63"/>
      <c r="X582" s="63"/>
      <c r="Y582" s="63"/>
      <c r="Z582" s="63"/>
    </row>
    <row r="583" spans="1:26" ht="15.75" customHeight="1" x14ac:dyDescent="0.25">
      <c r="A583" s="63" t="s">
        <v>4444</v>
      </c>
      <c r="B583" s="63" t="s">
        <v>4492</v>
      </c>
      <c r="C583" s="63" t="s">
        <v>4493</v>
      </c>
      <c r="D583" s="63" t="s">
        <v>1595</v>
      </c>
      <c r="E583" s="63" t="s">
        <v>4494</v>
      </c>
      <c r="F583" s="63" t="s">
        <v>1597</v>
      </c>
      <c r="G583" s="63" t="s">
        <v>4495</v>
      </c>
      <c r="H583" s="63" t="s">
        <v>1610</v>
      </c>
      <c r="I583" s="63" t="s">
        <v>4496</v>
      </c>
      <c r="J583" s="63" t="s">
        <v>562</v>
      </c>
      <c r="K583" s="63" t="s">
        <v>1601</v>
      </c>
      <c r="L583" s="63" t="s">
        <v>1637</v>
      </c>
      <c r="M583" s="63" t="s">
        <v>1595</v>
      </c>
      <c r="N583" s="63" t="s">
        <v>1595</v>
      </c>
      <c r="O583" s="63" t="s">
        <v>1604</v>
      </c>
      <c r="P583" s="63" t="s">
        <v>1731</v>
      </c>
      <c r="Q583" s="63" t="s">
        <v>4497</v>
      </c>
      <c r="R583" s="63" t="s">
        <v>4498</v>
      </c>
      <c r="S583" s="63" t="s">
        <v>1607</v>
      </c>
      <c r="T583" s="63"/>
      <c r="U583" s="63"/>
      <c r="V583" s="63"/>
      <c r="W583" s="63"/>
      <c r="X583" s="63"/>
      <c r="Y583" s="63"/>
      <c r="Z583" s="63"/>
    </row>
    <row r="584" spans="1:26" ht="15.75" customHeight="1" x14ac:dyDescent="0.25">
      <c r="A584" s="63" t="s">
        <v>4448</v>
      </c>
      <c r="B584" s="63" t="s">
        <v>4515</v>
      </c>
      <c r="C584" s="63" t="s">
        <v>4516</v>
      </c>
      <c r="D584" s="63" t="s">
        <v>2732</v>
      </c>
      <c r="E584" s="63" t="s">
        <v>4517</v>
      </c>
      <c r="F584" s="63" t="s">
        <v>1597</v>
      </c>
      <c r="G584" s="63" t="s">
        <v>4518</v>
      </c>
      <c r="H584" s="63" t="s">
        <v>2210</v>
      </c>
      <c r="I584" s="63" t="s">
        <v>4519</v>
      </c>
      <c r="J584" s="63" t="s">
        <v>564</v>
      </c>
      <c r="K584" s="63" t="s">
        <v>1601</v>
      </c>
      <c r="L584" s="63" t="s">
        <v>1832</v>
      </c>
      <c r="M584" s="63" t="s">
        <v>1630</v>
      </c>
      <c r="N584" s="63" t="s">
        <v>1595</v>
      </c>
      <c r="O584" s="63" t="s">
        <v>1604</v>
      </c>
      <c r="P584" s="63" t="s">
        <v>2892</v>
      </c>
      <c r="Q584" s="63" t="s">
        <v>4520</v>
      </c>
      <c r="R584" s="63" t="s">
        <v>4521</v>
      </c>
      <c r="S584" s="63" t="s">
        <v>1607</v>
      </c>
      <c r="T584" s="63"/>
      <c r="U584" s="63"/>
      <c r="V584" s="63"/>
      <c r="W584" s="63"/>
      <c r="X584" s="63"/>
      <c r="Y584" s="63"/>
      <c r="Z584" s="63"/>
    </row>
    <row r="585" spans="1:26" ht="15.75" customHeight="1" x14ac:dyDescent="0.25">
      <c r="A585" s="63" t="s">
        <v>4451</v>
      </c>
      <c r="B585" s="63" t="s">
        <v>4523</v>
      </c>
      <c r="C585" s="63" t="s">
        <v>4524</v>
      </c>
      <c r="D585" s="63" t="s">
        <v>1595</v>
      </c>
      <c r="E585" s="63" t="s">
        <v>4525</v>
      </c>
      <c r="F585" s="63" t="s">
        <v>1597</v>
      </c>
      <c r="G585" s="63" t="s">
        <v>4526</v>
      </c>
      <c r="H585" s="63" t="s">
        <v>1610</v>
      </c>
      <c r="I585" s="63" t="s">
        <v>4527</v>
      </c>
      <c r="J585" s="63" t="s">
        <v>556</v>
      </c>
      <c r="K585" s="63" t="s">
        <v>1601</v>
      </c>
      <c r="L585" s="63" t="s">
        <v>2489</v>
      </c>
      <c r="M585" s="63" t="s">
        <v>2283</v>
      </c>
      <c r="N585" s="63" t="s">
        <v>1595</v>
      </c>
      <c r="O585" s="63" t="s">
        <v>1604</v>
      </c>
      <c r="P585" s="63" t="s">
        <v>2445</v>
      </c>
      <c r="Q585" s="63" t="s">
        <v>4528</v>
      </c>
      <c r="R585" s="63" t="s">
        <v>4529</v>
      </c>
      <c r="S585" s="63" t="s">
        <v>1616</v>
      </c>
      <c r="T585" s="63"/>
      <c r="U585" s="63"/>
      <c r="V585" s="63"/>
      <c r="W585" s="63"/>
      <c r="X585" s="63"/>
      <c r="Y585" s="63"/>
      <c r="Z585" s="63"/>
    </row>
    <row r="586" spans="1:26" ht="15.75" customHeight="1" x14ac:dyDescent="0.25">
      <c r="A586" s="63" t="s">
        <v>4455</v>
      </c>
      <c r="B586" s="63" t="s">
        <v>4530</v>
      </c>
      <c r="C586" s="63" t="s">
        <v>4531</v>
      </c>
      <c r="D586" s="63" t="s">
        <v>1595</v>
      </c>
      <c r="E586" s="63" t="s">
        <v>4178</v>
      </c>
      <c r="F586" s="63" t="s">
        <v>2079</v>
      </c>
      <c r="G586" s="63" t="s">
        <v>4532</v>
      </c>
      <c r="H586" s="63" t="s">
        <v>1610</v>
      </c>
      <c r="I586" s="63" t="s">
        <v>4533</v>
      </c>
      <c r="J586" s="63" t="s">
        <v>558</v>
      </c>
      <c r="K586" s="63" t="s">
        <v>1601</v>
      </c>
      <c r="L586" s="63" t="s">
        <v>1938</v>
      </c>
      <c r="M586" s="63" t="s">
        <v>1603</v>
      </c>
      <c r="N586" s="63" t="s">
        <v>1595</v>
      </c>
      <c r="O586" s="63" t="s">
        <v>1604</v>
      </c>
      <c r="P586" s="63" t="s">
        <v>1605</v>
      </c>
      <c r="Q586" s="63" t="s">
        <v>4534</v>
      </c>
      <c r="R586" s="63" t="s">
        <v>4535</v>
      </c>
      <c r="S586" s="63" t="s">
        <v>1607</v>
      </c>
      <c r="T586" s="63"/>
      <c r="U586" s="63"/>
      <c r="V586" s="63"/>
      <c r="W586" s="63"/>
      <c r="X586" s="63"/>
      <c r="Y586" s="63"/>
      <c r="Z586" s="63"/>
    </row>
    <row r="587" spans="1:26" ht="15.75" customHeight="1" x14ac:dyDescent="0.25">
      <c r="A587" s="63" t="s">
        <v>4459</v>
      </c>
      <c r="B587" s="63" t="s">
        <v>5044</v>
      </c>
      <c r="C587" s="63" t="s">
        <v>5045</v>
      </c>
      <c r="D587" s="63" t="s">
        <v>1595</v>
      </c>
      <c r="E587" s="63" t="s">
        <v>5046</v>
      </c>
      <c r="F587" s="63" t="s">
        <v>1597</v>
      </c>
      <c r="G587" s="63" t="s">
        <v>5047</v>
      </c>
      <c r="H587" s="63" t="s">
        <v>1610</v>
      </c>
      <c r="I587" s="63" t="s">
        <v>3355</v>
      </c>
      <c r="J587" s="63" t="s">
        <v>580</v>
      </c>
      <c r="K587" s="63" t="s">
        <v>1601</v>
      </c>
      <c r="L587" s="63" t="s">
        <v>3356</v>
      </c>
      <c r="M587" s="63" t="s">
        <v>1630</v>
      </c>
      <c r="N587" s="63" t="s">
        <v>1595</v>
      </c>
      <c r="O587" s="63" t="s">
        <v>1604</v>
      </c>
      <c r="P587" s="63" t="s">
        <v>2061</v>
      </c>
      <c r="Q587" s="63" t="s">
        <v>5048</v>
      </c>
      <c r="R587" s="63" t="s">
        <v>5049</v>
      </c>
      <c r="S587" s="63" t="s">
        <v>1607</v>
      </c>
      <c r="T587" s="63"/>
      <c r="U587" s="63"/>
      <c r="V587" s="63"/>
      <c r="W587" s="63"/>
      <c r="X587" s="63"/>
      <c r="Y587" s="63"/>
      <c r="Z587" s="63"/>
    </row>
    <row r="588" spans="1:26" ht="15.75" customHeight="1" x14ac:dyDescent="0.25">
      <c r="A588" s="63" t="s">
        <v>4464</v>
      </c>
      <c r="B588" s="63" t="s">
        <v>5079</v>
      </c>
      <c r="C588" s="63" t="s">
        <v>5080</v>
      </c>
      <c r="D588" s="63" t="s">
        <v>1595</v>
      </c>
      <c r="E588" s="63" t="s">
        <v>1862</v>
      </c>
      <c r="F588" s="63" t="s">
        <v>1597</v>
      </c>
      <c r="G588" s="63" t="s">
        <v>5081</v>
      </c>
      <c r="H588" s="63" t="s">
        <v>2210</v>
      </c>
      <c r="I588" s="63" t="s">
        <v>5082</v>
      </c>
      <c r="J588" s="63" t="s">
        <v>566</v>
      </c>
      <c r="K588" s="63" t="s">
        <v>1601</v>
      </c>
      <c r="L588" s="63" t="s">
        <v>3356</v>
      </c>
      <c r="M588" s="63" t="s">
        <v>1630</v>
      </c>
      <c r="N588" s="63" t="s">
        <v>1595</v>
      </c>
      <c r="O588" s="63" t="s">
        <v>1604</v>
      </c>
      <c r="P588" s="63" t="s">
        <v>1833</v>
      </c>
      <c r="Q588" s="63" t="s">
        <v>5083</v>
      </c>
      <c r="R588" s="63" t="s">
        <v>5084</v>
      </c>
      <c r="S588" s="63" t="s">
        <v>1607</v>
      </c>
      <c r="T588" s="63"/>
      <c r="U588" s="63"/>
      <c r="V588" s="63"/>
      <c r="W588" s="63"/>
      <c r="X588" s="63"/>
      <c r="Y588" s="63"/>
      <c r="Z588" s="63"/>
    </row>
    <row r="589" spans="1:26" ht="15.75" customHeight="1" x14ac:dyDescent="0.25">
      <c r="A589" s="63" t="s">
        <v>5050</v>
      </c>
      <c r="B589" s="63" t="s">
        <v>5085</v>
      </c>
      <c r="C589" s="63" t="s">
        <v>5086</v>
      </c>
      <c r="D589" s="63" t="s">
        <v>2077</v>
      </c>
      <c r="E589" s="63" t="s">
        <v>5087</v>
      </c>
      <c r="F589" s="63" t="s">
        <v>1597</v>
      </c>
      <c r="G589" s="63" t="s">
        <v>3280</v>
      </c>
      <c r="H589" s="63" t="s">
        <v>1619</v>
      </c>
      <c r="I589" s="63" t="s">
        <v>5088</v>
      </c>
      <c r="J589" s="63" t="s">
        <v>558</v>
      </c>
      <c r="K589" s="63" t="s">
        <v>1601</v>
      </c>
      <c r="L589" s="63" t="s">
        <v>2310</v>
      </c>
      <c r="M589" s="63" t="s">
        <v>1647</v>
      </c>
      <c r="N589" s="63" t="s">
        <v>1595</v>
      </c>
      <c r="O589" s="63" t="s">
        <v>1604</v>
      </c>
      <c r="P589" s="63" t="s">
        <v>1745</v>
      </c>
      <c r="Q589" s="63" t="s">
        <v>5089</v>
      </c>
      <c r="R589" s="63" t="s">
        <v>5090</v>
      </c>
      <c r="S589" s="63" t="s">
        <v>1607</v>
      </c>
      <c r="T589" s="63"/>
      <c r="U589" s="63"/>
      <c r="V589" s="63"/>
      <c r="W589" s="63"/>
      <c r="X589" s="63"/>
      <c r="Y589" s="63"/>
      <c r="Z589" s="63"/>
    </row>
    <row r="590" spans="1:26" ht="15.75" customHeight="1" x14ac:dyDescent="0.25">
      <c r="A590" s="63" t="s">
        <v>5105</v>
      </c>
      <c r="B590" s="63" t="s">
        <v>5100</v>
      </c>
      <c r="C590" s="63" t="s">
        <v>5101</v>
      </c>
      <c r="D590" s="63" t="s">
        <v>1595</v>
      </c>
      <c r="E590" s="63" t="s">
        <v>2122</v>
      </c>
      <c r="F590" s="63" t="s">
        <v>1597</v>
      </c>
      <c r="G590" s="63" t="s">
        <v>5102</v>
      </c>
      <c r="H590" s="63" t="s">
        <v>1610</v>
      </c>
      <c r="I590" s="63" t="s">
        <v>3304</v>
      </c>
      <c r="J590" s="63" t="s">
        <v>554</v>
      </c>
      <c r="K590" s="63" t="s">
        <v>1601</v>
      </c>
      <c r="L590" s="63" t="s">
        <v>1938</v>
      </c>
      <c r="M590" s="63" t="s">
        <v>1603</v>
      </c>
      <c r="N590" s="63" t="s">
        <v>1595</v>
      </c>
      <c r="O590" s="63" t="s">
        <v>1604</v>
      </c>
      <c r="P590" s="63" t="s">
        <v>2158</v>
      </c>
      <c r="Q590" s="63" t="s">
        <v>5103</v>
      </c>
      <c r="R590" s="63" t="s">
        <v>5104</v>
      </c>
      <c r="S590" s="63" t="s">
        <v>1607</v>
      </c>
      <c r="T590" s="63"/>
      <c r="U590" s="63"/>
      <c r="V590" s="63"/>
      <c r="W590" s="63"/>
      <c r="X590" s="63"/>
      <c r="Y590" s="63"/>
      <c r="Z590" s="63"/>
    </row>
    <row r="591" spans="1:26" ht="15.75" customHeight="1" x14ac:dyDescent="0.25">
      <c r="A591" s="63" t="s">
        <v>5115</v>
      </c>
      <c r="B591" s="63" t="s">
        <v>5109</v>
      </c>
      <c r="C591" s="63" t="s">
        <v>5110</v>
      </c>
      <c r="D591" s="63" t="s">
        <v>1595</v>
      </c>
      <c r="E591" s="63" t="s">
        <v>5111</v>
      </c>
      <c r="F591" s="63" t="s">
        <v>1597</v>
      </c>
      <c r="G591" s="63" t="s">
        <v>5112</v>
      </c>
      <c r="H591" s="63" t="s">
        <v>1610</v>
      </c>
      <c r="I591" s="63" t="s">
        <v>1679</v>
      </c>
      <c r="J591" s="63" t="s">
        <v>558</v>
      </c>
      <c r="K591" s="63" t="s">
        <v>1601</v>
      </c>
      <c r="L591" s="63" t="s">
        <v>1653</v>
      </c>
      <c r="M591" s="63" t="s">
        <v>1654</v>
      </c>
      <c r="N591" s="63" t="s">
        <v>1595</v>
      </c>
      <c r="O591" s="63" t="s">
        <v>1604</v>
      </c>
      <c r="P591" s="63" t="s">
        <v>1869</v>
      </c>
      <c r="Q591" s="63" t="s">
        <v>5113</v>
      </c>
      <c r="R591" s="63" t="s">
        <v>5114</v>
      </c>
      <c r="S591" s="63" t="s">
        <v>1607</v>
      </c>
      <c r="T591" s="63"/>
      <c r="U591" s="63"/>
      <c r="V591" s="63"/>
      <c r="W591" s="63"/>
      <c r="X591" s="63"/>
      <c r="Y591" s="63"/>
      <c r="Z591" s="63"/>
    </row>
    <row r="592" spans="1:26" ht="15.75" customHeight="1" x14ac:dyDescent="0.25">
      <c r="A592" s="63" t="s">
        <v>5124</v>
      </c>
      <c r="B592" s="63" t="s">
        <v>5118</v>
      </c>
      <c r="C592" s="63" t="s">
        <v>5119</v>
      </c>
      <c r="D592" s="63" t="s">
        <v>1595</v>
      </c>
      <c r="E592" s="63" t="s">
        <v>5120</v>
      </c>
      <c r="F592" s="63" t="s">
        <v>1597</v>
      </c>
      <c r="G592" s="63" t="s">
        <v>5121</v>
      </c>
      <c r="H592" s="63" t="s">
        <v>1610</v>
      </c>
      <c r="I592" s="63" t="s">
        <v>2342</v>
      </c>
      <c r="J592" s="63" t="s">
        <v>608</v>
      </c>
      <c r="K592" s="63" t="s">
        <v>1601</v>
      </c>
      <c r="L592" s="63" t="s">
        <v>2065</v>
      </c>
      <c r="M592" s="63" t="s">
        <v>1622</v>
      </c>
      <c r="N592" s="63" t="s">
        <v>1595</v>
      </c>
      <c r="O592" s="63" t="s">
        <v>1604</v>
      </c>
      <c r="P592" s="63" t="s">
        <v>2108</v>
      </c>
      <c r="Q592" s="63" t="s">
        <v>5122</v>
      </c>
      <c r="R592" s="63" t="s">
        <v>5123</v>
      </c>
      <c r="S592" s="63" t="s">
        <v>1723</v>
      </c>
      <c r="T592" s="63"/>
      <c r="U592" s="63"/>
      <c r="V592" s="63"/>
      <c r="W592" s="63"/>
      <c r="X592" s="63"/>
      <c r="Y592" s="63"/>
      <c r="Z592" s="63"/>
    </row>
    <row r="593" spans="1:26" ht="15.75" customHeight="1" x14ac:dyDescent="0.25">
      <c r="A593" s="63" t="s">
        <v>5132</v>
      </c>
      <c r="B593" s="63" t="s">
        <v>5126</v>
      </c>
      <c r="C593" s="63" t="s">
        <v>5127</v>
      </c>
      <c r="D593" s="63" t="s">
        <v>1885</v>
      </c>
      <c r="E593" s="63" t="s">
        <v>5128</v>
      </c>
      <c r="F593" s="63" t="s">
        <v>1597</v>
      </c>
      <c r="G593" s="63" t="s">
        <v>5129</v>
      </c>
      <c r="H593" s="63" t="s">
        <v>2210</v>
      </c>
      <c r="I593" s="63" t="s">
        <v>1799</v>
      </c>
      <c r="J593" s="63" t="s">
        <v>556</v>
      </c>
      <c r="K593" s="63" t="s">
        <v>1601</v>
      </c>
      <c r="L593" s="63" t="s">
        <v>1800</v>
      </c>
      <c r="M593" s="63" t="s">
        <v>1595</v>
      </c>
      <c r="N593" s="63" t="s">
        <v>1595</v>
      </c>
      <c r="O593" s="63" t="s">
        <v>1604</v>
      </c>
      <c r="P593" s="63" t="s">
        <v>1946</v>
      </c>
      <c r="Q593" s="63" t="s">
        <v>5130</v>
      </c>
      <c r="R593" s="63" t="s">
        <v>5131</v>
      </c>
      <c r="S593" s="63" t="s">
        <v>1723</v>
      </c>
      <c r="T593" s="63"/>
      <c r="U593" s="63"/>
      <c r="V593" s="63"/>
      <c r="W593" s="63"/>
      <c r="X593" s="63"/>
      <c r="Y593" s="63"/>
      <c r="Z593" s="63"/>
    </row>
    <row r="594" spans="1:26" ht="15.75" customHeight="1" x14ac:dyDescent="0.25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spans="1:26" ht="15.75" customHeight="1" x14ac:dyDescent="0.2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spans="1:26" ht="15.75" customHeight="1" x14ac:dyDescent="0.25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spans="1:26" ht="15.75" customHeight="1" x14ac:dyDescent="0.25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spans="1:26" ht="15.75" customHeight="1" x14ac:dyDescent="0.25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spans="1:26" ht="15.75" customHeight="1" x14ac:dyDescent="0.25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spans="1:26" ht="15.75" customHeight="1" x14ac:dyDescent="0.25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spans="1:26" ht="15.75" customHeight="1" x14ac:dyDescent="0.25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spans="1:26" ht="15.75" customHeight="1" x14ac:dyDescent="0.25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spans="1:26" ht="15.75" customHeight="1" x14ac:dyDescent="0.25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spans="1:26" ht="15.75" customHeight="1" x14ac:dyDescent="0.25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spans="1:26" ht="15.75" customHeight="1" x14ac:dyDescent="0.2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spans="1:26" ht="15.75" customHeight="1" x14ac:dyDescent="0.25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spans="1:26" ht="15.75" customHeight="1" x14ac:dyDescent="0.25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spans="1:26" ht="15.75" customHeight="1" x14ac:dyDescent="0.25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spans="1:26" ht="15.75" customHeight="1" x14ac:dyDescent="0.25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spans="1:26" ht="15.75" customHeight="1" x14ac:dyDescent="0.25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spans="1:26" ht="15.75" customHeight="1" x14ac:dyDescent="0.25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spans="1:26" ht="15.75" customHeight="1" x14ac:dyDescent="0.25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spans="1:26" ht="15.75" customHeight="1" x14ac:dyDescent="0.25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spans="1:26" ht="15.75" customHeight="1" x14ac:dyDescent="0.25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spans="1:26" ht="15.75" customHeight="1" x14ac:dyDescent="0.2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spans="1:26" ht="15.75" customHeight="1" x14ac:dyDescent="0.25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spans="1:26" ht="15.75" customHeight="1" x14ac:dyDescent="0.25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spans="1:26" ht="15.75" customHeight="1" x14ac:dyDescent="0.25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spans="1:26" ht="15.75" customHeight="1" x14ac:dyDescent="0.25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spans="1:26" ht="15.75" customHeight="1" x14ac:dyDescent="0.25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spans="1:26" ht="15.75" customHeight="1" x14ac:dyDescent="0.25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spans="1:26" ht="15.75" customHeight="1" x14ac:dyDescent="0.25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spans="1:26" ht="15.75" customHeight="1" x14ac:dyDescent="0.25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spans="1:26" ht="15.75" customHeight="1" x14ac:dyDescent="0.25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spans="1:26" ht="15.75" customHeight="1" x14ac:dyDescent="0.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spans="1:26" ht="15.75" customHeight="1" x14ac:dyDescent="0.25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spans="1:26" ht="15.75" customHeight="1" x14ac:dyDescent="0.25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spans="1:26" ht="15.75" customHeight="1" x14ac:dyDescent="0.25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spans="1:26" ht="15.75" customHeight="1" x14ac:dyDescent="0.25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spans="1:26" ht="15.75" customHeight="1" x14ac:dyDescent="0.25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spans="1:26" ht="15.75" customHeight="1" x14ac:dyDescent="0.25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spans="1:26" ht="15.75" customHeight="1" x14ac:dyDescent="0.25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spans="1:26" ht="15.75" customHeight="1" x14ac:dyDescent="0.25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spans="1:26" ht="15.75" customHeight="1" x14ac:dyDescent="0.25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spans="1:26" ht="15.75" customHeight="1" x14ac:dyDescent="0.2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spans="1:26" ht="15.75" customHeight="1" x14ac:dyDescent="0.25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spans="1:26" ht="15.75" customHeight="1" x14ac:dyDescent="0.25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spans="1:26" ht="15.75" customHeight="1" x14ac:dyDescent="0.25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spans="1:26" ht="15.75" customHeight="1" x14ac:dyDescent="0.25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spans="1:26" ht="15.75" customHeight="1" x14ac:dyDescent="0.25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spans="1:26" ht="15.75" customHeight="1" x14ac:dyDescent="0.25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spans="1:26" ht="15.75" customHeight="1" x14ac:dyDescent="0.25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spans="1:26" ht="15.75" customHeight="1" x14ac:dyDescent="0.25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spans="1:26" ht="15.75" customHeight="1" x14ac:dyDescent="0.25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spans="1:26" ht="15.75" customHeight="1" x14ac:dyDescent="0.2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spans="1:26" ht="15.75" customHeight="1" x14ac:dyDescent="0.25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spans="1:26" ht="15.75" customHeight="1" x14ac:dyDescent="0.25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spans="1:26" ht="15.75" customHeight="1" x14ac:dyDescent="0.25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spans="1:26" ht="15.75" customHeight="1" x14ac:dyDescent="0.25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spans="1:26" ht="15.75" customHeight="1" x14ac:dyDescent="0.25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spans="1:26" ht="15.75" customHeight="1" x14ac:dyDescent="0.25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spans="1:26" ht="15.75" customHeight="1" x14ac:dyDescent="0.25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spans="1:26" ht="15.75" customHeight="1" x14ac:dyDescent="0.25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spans="1:26" ht="15.75" customHeight="1" x14ac:dyDescent="0.25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spans="1:26" ht="15.75" customHeight="1" x14ac:dyDescent="0.2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spans="1:26" ht="15.75" customHeight="1" x14ac:dyDescent="0.25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spans="1:26" ht="15.75" customHeight="1" x14ac:dyDescent="0.25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spans="1:26" ht="15.75" customHeight="1" x14ac:dyDescent="0.25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spans="1:26" ht="15.75" customHeight="1" x14ac:dyDescent="0.25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spans="1:26" ht="15.75" customHeight="1" x14ac:dyDescent="0.25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spans="1:26" ht="15.75" customHeight="1" x14ac:dyDescent="0.25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spans="1:26" ht="15.75" customHeight="1" x14ac:dyDescent="0.25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spans="1:26" ht="15.75" customHeight="1" x14ac:dyDescent="0.25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spans="1:26" ht="15.75" customHeight="1" x14ac:dyDescent="0.25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spans="1:26" ht="15.75" customHeight="1" x14ac:dyDescent="0.2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spans="1:26" ht="15.75" customHeight="1" x14ac:dyDescent="0.25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spans="1:26" ht="15.75" customHeight="1" x14ac:dyDescent="0.25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spans="1:26" ht="15.75" customHeight="1" x14ac:dyDescent="0.25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spans="1:26" ht="15.75" customHeight="1" x14ac:dyDescent="0.25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spans="1:26" ht="15.75" customHeight="1" x14ac:dyDescent="0.25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spans="1:26" ht="15.75" customHeight="1" x14ac:dyDescent="0.25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spans="1:26" ht="15.75" customHeight="1" x14ac:dyDescent="0.25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spans="1:26" ht="15.75" customHeight="1" x14ac:dyDescent="0.25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spans="1:26" ht="15.75" customHeight="1" x14ac:dyDescent="0.25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spans="1:26" ht="15.75" customHeight="1" x14ac:dyDescent="0.2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spans="1:26" ht="15.75" customHeight="1" x14ac:dyDescent="0.25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spans="1:26" ht="15.75" customHeight="1" x14ac:dyDescent="0.25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spans="1:26" ht="15.75" customHeight="1" x14ac:dyDescent="0.25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spans="1:26" ht="15.75" customHeight="1" x14ac:dyDescent="0.25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spans="1:26" ht="15.75" customHeight="1" x14ac:dyDescent="0.25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spans="1:26" ht="15.75" customHeight="1" x14ac:dyDescent="0.25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spans="1:26" ht="15.75" customHeight="1" x14ac:dyDescent="0.25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spans="1:26" ht="15.75" customHeight="1" x14ac:dyDescent="0.25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spans="1:26" ht="15.75" customHeight="1" x14ac:dyDescent="0.25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spans="1:26" ht="15.75" customHeight="1" x14ac:dyDescent="0.2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spans="1:26" ht="15.75" customHeight="1" x14ac:dyDescent="0.25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spans="1:26" ht="15.75" customHeight="1" x14ac:dyDescent="0.25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spans="1:26" ht="15.75" customHeight="1" x14ac:dyDescent="0.25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spans="1:26" ht="15.75" customHeight="1" x14ac:dyDescent="0.25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spans="1:26" ht="15.75" customHeight="1" x14ac:dyDescent="0.25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spans="1:26" ht="15.75" customHeight="1" x14ac:dyDescent="0.25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spans="1:26" ht="15.75" customHeight="1" x14ac:dyDescent="0.25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spans="1:26" ht="15.75" customHeight="1" x14ac:dyDescent="0.25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spans="1:26" ht="15.75" customHeight="1" x14ac:dyDescent="0.25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spans="1:26" ht="15.75" customHeight="1" x14ac:dyDescent="0.2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spans="1:26" ht="15.75" customHeight="1" x14ac:dyDescent="0.25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spans="1:26" ht="15.75" customHeight="1" x14ac:dyDescent="0.25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spans="1:26" ht="15.75" customHeight="1" x14ac:dyDescent="0.25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spans="1:26" ht="15.75" customHeight="1" x14ac:dyDescent="0.25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spans="1:26" ht="15.75" customHeight="1" x14ac:dyDescent="0.25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spans="1:26" ht="15.75" customHeight="1" x14ac:dyDescent="0.25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spans="1:26" ht="15.75" customHeight="1" x14ac:dyDescent="0.25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spans="1:26" ht="15.75" customHeight="1" x14ac:dyDescent="0.25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spans="1:26" ht="15.75" customHeight="1" x14ac:dyDescent="0.25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spans="1:26" ht="15.75" customHeight="1" x14ac:dyDescent="0.2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spans="1:26" ht="15.75" customHeight="1" x14ac:dyDescent="0.25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spans="1:26" ht="15.75" customHeight="1" x14ac:dyDescent="0.25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spans="1:26" ht="15.75" customHeight="1" x14ac:dyDescent="0.25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spans="1:26" ht="15.75" customHeight="1" x14ac:dyDescent="0.25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spans="1:26" ht="15.75" customHeight="1" x14ac:dyDescent="0.25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spans="1:26" ht="15.75" customHeight="1" x14ac:dyDescent="0.25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spans="1:26" ht="15.75" customHeight="1" x14ac:dyDescent="0.25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spans="1:26" ht="15.75" customHeight="1" x14ac:dyDescent="0.25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spans="1:26" ht="15.75" customHeight="1" x14ac:dyDescent="0.25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spans="1:26" ht="15.75" customHeight="1" x14ac:dyDescent="0.2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spans="1:26" ht="15.75" customHeight="1" x14ac:dyDescent="0.25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spans="1:26" ht="15.75" customHeight="1" x14ac:dyDescent="0.25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spans="1:26" ht="15.75" customHeight="1" x14ac:dyDescent="0.25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spans="1:26" ht="15.75" customHeight="1" x14ac:dyDescent="0.25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spans="1:26" ht="15.75" customHeight="1" x14ac:dyDescent="0.25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spans="1:26" ht="15.75" customHeight="1" x14ac:dyDescent="0.25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spans="1:26" ht="15.75" customHeight="1" x14ac:dyDescent="0.25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spans="1:26" ht="15.75" customHeight="1" x14ac:dyDescent="0.25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spans="1:26" ht="15.75" customHeight="1" x14ac:dyDescent="0.25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spans="1:26" ht="15.75" customHeight="1" x14ac:dyDescent="0.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spans="1:26" ht="15.75" customHeight="1" x14ac:dyDescent="0.25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spans="1:26" ht="15.75" customHeight="1" x14ac:dyDescent="0.25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spans="1:26" ht="15.75" customHeight="1" x14ac:dyDescent="0.25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spans="1:26" ht="15.75" customHeight="1" x14ac:dyDescent="0.25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spans="1:26" ht="15.75" customHeight="1" x14ac:dyDescent="0.25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spans="1:26" ht="15.75" customHeight="1" x14ac:dyDescent="0.25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spans="1:26" ht="15.75" customHeight="1" x14ac:dyDescent="0.25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spans="1:26" ht="15.75" customHeight="1" x14ac:dyDescent="0.25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spans="1:26" ht="15.75" customHeight="1" x14ac:dyDescent="0.25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spans="1:26" ht="15.75" customHeight="1" x14ac:dyDescent="0.2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spans="1:26" ht="15.75" customHeight="1" x14ac:dyDescent="0.25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spans="1:26" ht="15.75" customHeight="1" x14ac:dyDescent="0.25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spans="1:26" ht="15.75" customHeight="1" x14ac:dyDescent="0.25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spans="1:26" ht="15.75" customHeight="1" x14ac:dyDescent="0.25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spans="1:26" ht="15.75" customHeight="1" x14ac:dyDescent="0.25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spans="1:26" ht="15.75" customHeight="1" x14ac:dyDescent="0.25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spans="1:26" ht="15.75" customHeight="1" x14ac:dyDescent="0.25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spans="1:26" ht="15.75" customHeight="1" x14ac:dyDescent="0.25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spans="1:26" ht="15.75" customHeight="1" x14ac:dyDescent="0.25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spans="1:26" ht="15.75" customHeight="1" x14ac:dyDescent="0.2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spans="1:26" ht="15.75" customHeight="1" x14ac:dyDescent="0.25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spans="1:26" ht="15.75" customHeight="1" x14ac:dyDescent="0.25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spans="1:26" ht="15.75" customHeight="1" x14ac:dyDescent="0.25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spans="1:26" ht="15.75" customHeight="1" x14ac:dyDescent="0.25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spans="1:26" ht="15.75" customHeight="1" x14ac:dyDescent="0.25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spans="1:26" ht="15.75" customHeight="1" x14ac:dyDescent="0.25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spans="1:26" ht="15.75" customHeight="1" x14ac:dyDescent="0.25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spans="1:26" ht="15.75" customHeight="1" x14ac:dyDescent="0.25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spans="1:26" ht="15.75" customHeight="1" x14ac:dyDescent="0.25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spans="1:26" ht="15.75" customHeight="1" x14ac:dyDescent="0.2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spans="1:26" ht="15.75" customHeight="1" x14ac:dyDescent="0.25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spans="1:26" ht="15.75" customHeight="1" x14ac:dyDescent="0.25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spans="1:26" ht="15.75" customHeight="1" x14ac:dyDescent="0.25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spans="1:26" ht="15.75" customHeight="1" x14ac:dyDescent="0.25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spans="1:26" ht="15.75" customHeight="1" x14ac:dyDescent="0.25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spans="1:26" ht="15.75" customHeight="1" x14ac:dyDescent="0.25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spans="1:26" ht="15.75" customHeight="1" x14ac:dyDescent="0.25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spans="1:26" ht="15.75" customHeight="1" x14ac:dyDescent="0.25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spans="1:26" ht="15.75" customHeight="1" x14ac:dyDescent="0.25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spans="1:26" ht="15.75" customHeight="1" x14ac:dyDescent="0.2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spans="1:26" ht="15.75" customHeight="1" x14ac:dyDescent="0.25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spans="1:26" ht="15.75" customHeight="1" x14ac:dyDescent="0.25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spans="1:26" ht="15.75" customHeight="1" x14ac:dyDescent="0.25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spans="1:26" ht="15.75" customHeight="1" x14ac:dyDescent="0.25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spans="1:26" ht="15.75" customHeight="1" x14ac:dyDescent="0.25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spans="1:26" ht="15.75" customHeight="1" x14ac:dyDescent="0.25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spans="1:26" ht="15.75" customHeight="1" x14ac:dyDescent="0.25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spans="1:26" ht="15.75" customHeight="1" x14ac:dyDescent="0.25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spans="1:26" ht="15.75" customHeight="1" x14ac:dyDescent="0.25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spans="1:26" ht="15.75" customHeight="1" x14ac:dyDescent="0.2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spans="1:26" ht="15.75" customHeight="1" x14ac:dyDescent="0.25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spans="1:26" ht="15.75" customHeight="1" x14ac:dyDescent="0.25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spans="1:26" ht="15.75" customHeight="1" x14ac:dyDescent="0.25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spans="1:26" ht="15.75" customHeight="1" x14ac:dyDescent="0.25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spans="1:26" ht="15.75" customHeight="1" x14ac:dyDescent="0.25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spans="1:26" ht="15.75" customHeight="1" x14ac:dyDescent="0.25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spans="1:26" ht="15.75" customHeight="1" x14ac:dyDescent="0.25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spans="1:26" ht="15.75" customHeight="1" x14ac:dyDescent="0.25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spans="1:26" ht="15.75" customHeight="1" x14ac:dyDescent="0.25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spans="1:26" ht="15.75" customHeight="1" x14ac:dyDescent="0.2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spans="1:26" ht="15.75" customHeight="1" x14ac:dyDescent="0.25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spans="1:26" ht="15.75" customHeight="1" x14ac:dyDescent="0.25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spans="1:26" ht="15.75" customHeight="1" x14ac:dyDescent="0.25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spans="1:26" ht="15.75" customHeight="1" x14ac:dyDescent="0.25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spans="1:26" ht="15.75" customHeight="1" x14ac:dyDescent="0.25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spans="1:26" ht="15.75" customHeight="1" x14ac:dyDescent="0.25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spans="1:26" ht="15.75" customHeight="1" x14ac:dyDescent="0.25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spans="1:26" ht="15.75" customHeight="1" x14ac:dyDescent="0.25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spans="1:26" ht="15.75" customHeight="1" x14ac:dyDescent="0.25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spans="1:26" ht="15.75" customHeight="1" x14ac:dyDescent="0.2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spans="1:26" ht="15.75" customHeight="1" x14ac:dyDescent="0.25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spans="1:26" ht="15.75" customHeight="1" x14ac:dyDescent="0.25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spans="1:26" ht="15.75" customHeight="1" x14ac:dyDescent="0.25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spans="1:26" ht="15.75" customHeight="1" x14ac:dyDescent="0.25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spans="1:26" ht="15.75" customHeight="1" x14ac:dyDescent="0.25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spans="1:26" ht="15.75" customHeight="1" x14ac:dyDescent="0.25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spans="1:26" ht="15.75" customHeight="1" x14ac:dyDescent="0.25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spans="1:26" ht="15.75" customHeight="1" x14ac:dyDescent="0.25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spans="1:26" ht="15.75" customHeight="1" x14ac:dyDescent="0.25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spans="1:26" ht="15.75" customHeight="1" x14ac:dyDescent="0.2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spans="1:26" ht="15.75" customHeight="1" x14ac:dyDescent="0.25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spans="1:26" ht="15.75" customHeight="1" x14ac:dyDescent="0.25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spans="1:26" ht="15.75" customHeight="1" x14ac:dyDescent="0.25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spans="1:26" ht="15.75" customHeight="1" x14ac:dyDescent="0.25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spans="1:26" ht="15.75" customHeight="1" x14ac:dyDescent="0.25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spans="1:26" ht="15.75" customHeight="1" x14ac:dyDescent="0.25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spans="1:26" ht="15.75" customHeight="1" x14ac:dyDescent="0.25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spans="1:26" ht="15.75" customHeight="1" x14ac:dyDescent="0.25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spans="1:26" ht="15.75" customHeight="1" x14ac:dyDescent="0.25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spans="1:26" ht="15.75" customHeight="1" x14ac:dyDescent="0.2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spans="1:26" ht="15.75" customHeight="1" x14ac:dyDescent="0.25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spans="1:26" ht="15.75" customHeight="1" x14ac:dyDescent="0.25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spans="1:26" ht="15.75" customHeight="1" x14ac:dyDescent="0.25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spans="1:26" ht="15.75" customHeight="1" x14ac:dyDescent="0.25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spans="1:26" ht="15.75" customHeight="1" x14ac:dyDescent="0.25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spans="1:26" ht="15.75" customHeight="1" x14ac:dyDescent="0.25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spans="1:26" ht="15.75" customHeight="1" x14ac:dyDescent="0.25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spans="1:26" ht="15.75" customHeight="1" x14ac:dyDescent="0.25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spans="1:26" ht="15.75" customHeight="1" x14ac:dyDescent="0.25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spans="1:26" ht="15.75" customHeight="1" x14ac:dyDescent="0.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spans="1:26" ht="15.75" customHeight="1" x14ac:dyDescent="0.25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spans="1:26" ht="15.75" customHeight="1" x14ac:dyDescent="0.25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spans="1:26" ht="15.75" customHeight="1" x14ac:dyDescent="0.25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spans="1:26" ht="15.75" customHeight="1" x14ac:dyDescent="0.25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spans="1:26" ht="15.75" customHeight="1" x14ac:dyDescent="0.25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spans="1:26" ht="15.75" customHeight="1" x14ac:dyDescent="0.25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spans="1:26" ht="15.75" customHeight="1" x14ac:dyDescent="0.25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spans="1:26" ht="15.75" customHeight="1" x14ac:dyDescent="0.25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spans="1:26" ht="15.75" customHeight="1" x14ac:dyDescent="0.25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spans="1:26" ht="15.75" customHeight="1" x14ac:dyDescent="0.2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spans="1:26" ht="15.75" customHeight="1" x14ac:dyDescent="0.25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spans="1:26" ht="15.75" customHeight="1" x14ac:dyDescent="0.25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spans="1:26" ht="15.75" customHeight="1" x14ac:dyDescent="0.25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spans="1:26" ht="15.75" customHeight="1" x14ac:dyDescent="0.25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spans="1:26" ht="15.75" customHeight="1" x14ac:dyDescent="0.25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spans="1:26" ht="15.75" customHeight="1" x14ac:dyDescent="0.25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spans="1:26" ht="15.75" customHeight="1" x14ac:dyDescent="0.25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spans="1:26" ht="15.75" customHeight="1" x14ac:dyDescent="0.25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spans="1:26" ht="15.75" customHeight="1" x14ac:dyDescent="0.25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spans="1:26" ht="15.75" customHeight="1" x14ac:dyDescent="0.2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spans="1:26" ht="15.75" customHeight="1" x14ac:dyDescent="0.25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spans="1:26" ht="15.75" customHeight="1" x14ac:dyDescent="0.25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spans="1:26" ht="15.75" customHeight="1" x14ac:dyDescent="0.25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spans="1:26" ht="15.75" customHeight="1" x14ac:dyDescent="0.25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spans="1:26" ht="15.75" customHeight="1" x14ac:dyDescent="0.25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spans="1:26" ht="15.75" customHeight="1" x14ac:dyDescent="0.25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spans="1:26" ht="15.75" customHeight="1" x14ac:dyDescent="0.25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spans="1:26" ht="15.75" customHeight="1" x14ac:dyDescent="0.25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spans="1:26" ht="15.75" customHeight="1" x14ac:dyDescent="0.25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spans="1:26" ht="15.75" customHeight="1" x14ac:dyDescent="0.2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spans="1:26" ht="15.75" customHeight="1" x14ac:dyDescent="0.25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spans="1:26" ht="15.75" customHeight="1" x14ac:dyDescent="0.25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spans="1:26" ht="15.75" customHeight="1" x14ac:dyDescent="0.25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spans="1:26" ht="15.75" customHeight="1" x14ac:dyDescent="0.25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spans="1:26" ht="15.75" customHeight="1" x14ac:dyDescent="0.25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spans="1:26" ht="15.75" customHeight="1" x14ac:dyDescent="0.25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spans="1:26" ht="15.75" customHeight="1" x14ac:dyDescent="0.25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spans="1:26" ht="15.75" customHeight="1" x14ac:dyDescent="0.25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spans="1:26" ht="15.75" customHeight="1" x14ac:dyDescent="0.25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spans="1:26" ht="15.75" customHeight="1" x14ac:dyDescent="0.2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spans="1:26" ht="15.75" customHeight="1" x14ac:dyDescent="0.25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spans="1:26" ht="15.75" customHeight="1" x14ac:dyDescent="0.25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spans="1:26" ht="15.75" customHeight="1" x14ac:dyDescent="0.25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spans="1:26" ht="15.75" customHeight="1" x14ac:dyDescent="0.25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spans="1:26" ht="15.75" customHeight="1" x14ac:dyDescent="0.25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spans="1:26" ht="15.75" customHeight="1" x14ac:dyDescent="0.25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spans="1:26" ht="15.75" customHeight="1" x14ac:dyDescent="0.25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spans="1:26" ht="15.75" customHeight="1" x14ac:dyDescent="0.25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spans="1:26" ht="15.75" customHeight="1" x14ac:dyDescent="0.25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spans="1:26" ht="15.75" customHeight="1" x14ac:dyDescent="0.2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spans="1:26" ht="15.75" customHeight="1" x14ac:dyDescent="0.25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spans="1:26" ht="15.75" customHeight="1" x14ac:dyDescent="0.25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spans="1:26" ht="15.75" customHeight="1" x14ac:dyDescent="0.25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spans="1:26" ht="15.75" customHeight="1" x14ac:dyDescent="0.25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spans="1:26" ht="15.75" customHeight="1" x14ac:dyDescent="0.25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spans="1:26" ht="15.75" customHeight="1" x14ac:dyDescent="0.25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spans="1:26" ht="15.75" customHeight="1" x14ac:dyDescent="0.25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spans="1:26" ht="15.75" customHeight="1" x14ac:dyDescent="0.25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spans="1:26" ht="15.75" customHeight="1" x14ac:dyDescent="0.25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spans="1:26" ht="15.75" customHeight="1" x14ac:dyDescent="0.2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spans="1:26" ht="15.75" customHeight="1" x14ac:dyDescent="0.25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spans="1:26" ht="15.75" customHeight="1" x14ac:dyDescent="0.25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spans="1:26" ht="15.75" customHeight="1" x14ac:dyDescent="0.25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spans="1:26" ht="15.75" customHeight="1" x14ac:dyDescent="0.25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spans="1:26" ht="15.75" customHeight="1" x14ac:dyDescent="0.25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spans="1:26" ht="15.75" customHeight="1" x14ac:dyDescent="0.25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spans="1:26" ht="15.75" customHeight="1" x14ac:dyDescent="0.25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spans="1:26" ht="15.75" customHeight="1" x14ac:dyDescent="0.25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spans="1:26" ht="15.75" customHeight="1" x14ac:dyDescent="0.25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spans="1:26" ht="15.75" customHeight="1" x14ac:dyDescent="0.2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spans="1:26" ht="15.75" customHeight="1" x14ac:dyDescent="0.25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spans="1:26" ht="15.75" customHeight="1" x14ac:dyDescent="0.25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spans="1:26" ht="15.75" customHeight="1" x14ac:dyDescent="0.25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spans="1:26" ht="15.75" customHeight="1" x14ac:dyDescent="0.25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spans="1:26" ht="15.75" customHeight="1" x14ac:dyDescent="0.25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spans="1:26" ht="15.75" customHeight="1" x14ac:dyDescent="0.25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spans="1:26" ht="15.75" customHeight="1" x14ac:dyDescent="0.25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spans="1:26" ht="15.75" customHeight="1" x14ac:dyDescent="0.25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spans="1:26" ht="15.75" customHeight="1" x14ac:dyDescent="0.25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spans="1:26" ht="15.75" customHeight="1" x14ac:dyDescent="0.2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spans="1:26" ht="15.75" customHeight="1" x14ac:dyDescent="0.25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spans="1:26" ht="15.75" customHeight="1" x14ac:dyDescent="0.25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spans="1:26" ht="15.75" customHeight="1" x14ac:dyDescent="0.25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spans="1:26" ht="15.75" customHeight="1" x14ac:dyDescent="0.25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spans="1:26" ht="15.75" customHeight="1" x14ac:dyDescent="0.25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spans="1:26" ht="15.75" customHeight="1" x14ac:dyDescent="0.25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spans="1:26" ht="15.75" customHeight="1" x14ac:dyDescent="0.25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spans="1:26" ht="15.75" customHeight="1" x14ac:dyDescent="0.25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spans="1:26" ht="15.75" customHeight="1" x14ac:dyDescent="0.25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spans="1:26" ht="15.75" customHeight="1" x14ac:dyDescent="0.2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spans="1:26" ht="15.75" customHeight="1" x14ac:dyDescent="0.25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spans="1:26" ht="15.75" customHeight="1" x14ac:dyDescent="0.25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spans="1:26" ht="15.75" customHeight="1" x14ac:dyDescent="0.25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spans="1:26" ht="15.75" customHeight="1" x14ac:dyDescent="0.25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spans="1:26" ht="15.75" customHeight="1" x14ac:dyDescent="0.25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spans="1:26" ht="15.75" customHeight="1" x14ac:dyDescent="0.25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spans="1:26" ht="15.75" customHeight="1" x14ac:dyDescent="0.25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spans="1:26" ht="15.75" customHeight="1" x14ac:dyDescent="0.25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spans="1:26" ht="15.75" customHeight="1" x14ac:dyDescent="0.25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spans="1:26" ht="15.75" customHeight="1" x14ac:dyDescent="0.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spans="1:26" ht="15.75" customHeight="1" x14ac:dyDescent="0.25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spans="1:26" ht="15.75" customHeight="1" x14ac:dyDescent="0.25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spans="1:26" ht="15.75" customHeight="1" x14ac:dyDescent="0.25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spans="1:26" ht="15.75" customHeight="1" x14ac:dyDescent="0.25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spans="1:26" ht="15.75" customHeight="1" x14ac:dyDescent="0.25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spans="1:26" ht="15.75" customHeight="1" x14ac:dyDescent="0.25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spans="1:26" ht="15.75" customHeight="1" x14ac:dyDescent="0.25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spans="1:26" ht="15.75" customHeight="1" x14ac:dyDescent="0.25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spans="1:26" ht="15.75" customHeight="1" x14ac:dyDescent="0.25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spans="1:26" ht="15.75" customHeight="1" x14ac:dyDescent="0.2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spans="1:26" ht="15.75" customHeight="1" x14ac:dyDescent="0.25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spans="1:26" ht="15.75" customHeight="1" x14ac:dyDescent="0.25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spans="1:26" ht="15.75" customHeight="1" x14ac:dyDescent="0.25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spans="1:26" ht="15.75" customHeight="1" x14ac:dyDescent="0.25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spans="1:26" ht="15.75" customHeight="1" x14ac:dyDescent="0.25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spans="1:26" ht="15.75" customHeight="1" x14ac:dyDescent="0.25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spans="1:26" ht="15.75" customHeight="1" x14ac:dyDescent="0.25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spans="1:26" ht="15.75" customHeight="1" x14ac:dyDescent="0.25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spans="1:26" ht="15.75" customHeight="1" x14ac:dyDescent="0.25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spans="1:26" ht="15.75" customHeight="1" x14ac:dyDescent="0.2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spans="1:26" ht="15.75" customHeight="1" x14ac:dyDescent="0.25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spans="1:26" ht="15.75" customHeight="1" x14ac:dyDescent="0.25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spans="1:26" ht="15.75" customHeight="1" x14ac:dyDescent="0.25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spans="1:26" ht="15.75" customHeight="1" x14ac:dyDescent="0.25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spans="1:26" ht="15.75" customHeight="1" x14ac:dyDescent="0.25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spans="1:26" ht="15.75" customHeight="1" x14ac:dyDescent="0.25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spans="1:26" ht="15.75" customHeight="1" x14ac:dyDescent="0.25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spans="1:26" ht="15.75" customHeight="1" x14ac:dyDescent="0.25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spans="1:26" ht="15.75" customHeight="1" x14ac:dyDescent="0.25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spans="1:26" ht="15.75" customHeight="1" x14ac:dyDescent="0.2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spans="1:26" ht="15.75" customHeight="1" x14ac:dyDescent="0.25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spans="1:26" ht="15.75" customHeight="1" x14ac:dyDescent="0.25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spans="1:26" ht="15.75" customHeight="1" x14ac:dyDescent="0.25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spans="1:26" ht="15.75" customHeight="1" x14ac:dyDescent="0.25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spans="1:26" ht="15.75" customHeight="1" x14ac:dyDescent="0.25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spans="1:26" ht="15.75" customHeight="1" x14ac:dyDescent="0.25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spans="1:26" ht="15.75" customHeight="1" x14ac:dyDescent="0.25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spans="1:26" ht="15.75" customHeight="1" x14ac:dyDescent="0.25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spans="1:26" ht="15.75" customHeight="1" x14ac:dyDescent="0.25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spans="1:26" ht="15.75" customHeight="1" x14ac:dyDescent="0.2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spans="1:26" ht="15.75" customHeight="1" x14ac:dyDescent="0.25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spans="1:26" ht="15.75" customHeight="1" x14ac:dyDescent="0.25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spans="1:26" ht="15.75" customHeight="1" x14ac:dyDescent="0.25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spans="1:26" ht="15.75" customHeight="1" x14ac:dyDescent="0.25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spans="1:26" ht="15.75" customHeight="1" x14ac:dyDescent="0.25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spans="1:26" ht="15.75" customHeight="1" x14ac:dyDescent="0.25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spans="1:26" ht="15.75" customHeight="1" x14ac:dyDescent="0.25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spans="1:26" ht="15.75" customHeight="1" x14ac:dyDescent="0.25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spans="1:26" ht="15.75" customHeight="1" x14ac:dyDescent="0.25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spans="1:26" ht="15.75" customHeight="1" x14ac:dyDescent="0.2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spans="1:26" ht="15.75" customHeight="1" x14ac:dyDescent="0.25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spans="1:26" ht="15.75" customHeight="1" x14ac:dyDescent="0.25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spans="1:26" ht="15.75" customHeight="1" x14ac:dyDescent="0.25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spans="1:26" ht="15.75" customHeight="1" x14ac:dyDescent="0.25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spans="1:26" ht="15.75" customHeight="1" x14ac:dyDescent="0.25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spans="1:26" ht="15.75" customHeight="1" x14ac:dyDescent="0.25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spans="1:26" ht="15.75" customHeight="1" x14ac:dyDescent="0.25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spans="1:26" ht="15.75" customHeight="1" x14ac:dyDescent="0.25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</sheetData>
  <phoneticPr fontId="20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TAV 1</vt:lpstr>
      <vt:lpstr>TPM 1</vt:lpstr>
      <vt:lpstr>TPM 2</vt:lpstr>
      <vt:lpstr>TKRO 1</vt:lpstr>
      <vt:lpstr>TKRO 2</vt:lpstr>
      <vt:lpstr>TKRO 3</vt:lpstr>
      <vt:lpstr>TKRO 4</vt:lpstr>
      <vt:lpstr>TKRO 5</vt:lpstr>
      <vt:lpstr>TBSM 1</vt:lpstr>
      <vt:lpstr>TBSM 2</vt:lpstr>
      <vt:lpstr>TBSM 3</vt:lpstr>
      <vt:lpstr>TBSM 4</vt:lpstr>
      <vt:lpstr>RPL 1</vt:lpstr>
      <vt:lpstr>RPL 2</vt:lpstr>
      <vt:lpstr>RPL 3</vt:lpstr>
      <vt:lpstr>stat</vt:lpstr>
      <vt:lpstr>Total</vt:lpstr>
      <vt:lpstr>alamat</vt:lpstr>
      <vt:lpstr>master</vt:lpstr>
      <vt:lpstr>alamat!Print_Area</vt:lpstr>
      <vt:lpstr>alamat!Print_Titles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Huda</dc:creator>
  <cp:lastModifiedBy>MSB-TU</cp:lastModifiedBy>
  <cp:lastPrinted>2024-10-11T03:41:46Z</cp:lastPrinted>
  <dcterms:created xsi:type="dcterms:W3CDTF">2019-07-25T05:41:31Z</dcterms:created>
  <dcterms:modified xsi:type="dcterms:W3CDTF">2025-11-03T05:53:55Z</dcterms:modified>
</cp:coreProperties>
</file>